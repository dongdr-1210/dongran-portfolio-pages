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xcelsior\Desktop\第二章-Excel工作场景实战\"/>
    </mc:Choice>
  </mc:AlternateContent>
  <xr:revisionPtr revIDLastSave="0" documentId="13_ncr:1_{CCD0FF48-142D-4BC2-BC1A-C07066ED4D9D}" xr6:coauthVersionLast="47" xr6:coauthVersionMax="47" xr10:uidLastSave="{00000000-0000-0000-0000-000000000000}"/>
  <bookViews>
    <workbookView xWindow="-110" yWindow="-110" windowWidth="25820" windowHeight="15500" activeTab="4" xr2:uid="{494592BD-0985-4475-AAE7-4C5254874942}"/>
  </bookViews>
  <sheets>
    <sheet name="8月成交数据" sheetId="2" r:id="rId1"/>
    <sheet name="战区信息" sheetId="3" r:id="rId2"/>
    <sheet name="城市信息" sheetId="4" r:id="rId3"/>
    <sheet name="自动化报表" sheetId="5" r:id="rId4"/>
    <sheet name="自动化报表 (最终版)" sheetId="6" r:id="rId5"/>
  </sheets>
  <externalReferences>
    <externalReference r:id="rId6"/>
  </externalReferences>
  <definedNames>
    <definedName name="_xlnm._FilterDatabase" localSheetId="0" hidden="1">'8月成交数据'!$A$1:$H$867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6" l="1"/>
  <c r="M18" i="6"/>
  <c r="C19" i="5"/>
  <c r="M9" i="6"/>
  <c r="M8" i="6"/>
  <c r="C8" i="5"/>
  <c r="V7" i="6"/>
  <c r="V18" i="6" s="1"/>
  <c r="T3" i="6"/>
  <c r="T4" i="6" s="1"/>
  <c r="T5" i="6" s="1"/>
  <c r="T6" i="6" s="1"/>
  <c r="B8" i="6"/>
  <c r="B9" i="6" s="1"/>
  <c r="V9" i="6" s="1"/>
  <c r="L7" i="6"/>
  <c r="L18" i="6" s="1"/>
  <c r="C4" i="6" a="1"/>
  <c r="C4" i="6" s="1"/>
  <c r="P3" i="6"/>
  <c r="N3" i="6"/>
  <c r="L3" i="6"/>
  <c r="J3" i="6"/>
  <c r="H3" i="6"/>
  <c r="F3" i="6"/>
  <c r="E2" i="6"/>
  <c r="D18" i="5"/>
  <c r="C18" i="5"/>
  <c r="D7" i="5"/>
  <c r="C7" i="5"/>
  <c r="M3" i="5"/>
  <c r="L5" i="5"/>
  <c r="K5" i="5"/>
  <c r="J5" i="5"/>
  <c r="I5" i="5"/>
  <c r="H5" i="5"/>
  <c r="G5" i="5"/>
  <c r="A19" i="5"/>
  <c r="S15" i="5"/>
  <c r="S16" i="5" s="1"/>
  <c r="S17" i="5" s="1"/>
  <c r="S18" i="5" s="1"/>
  <c r="S19" i="5" s="1"/>
  <c r="S20" i="5" s="1"/>
  <c r="S21" i="5" s="1"/>
  <c r="S22" i="5" s="1"/>
  <c r="S23" i="5" s="1"/>
  <c r="S24" i="5" s="1"/>
  <c r="O3" i="5"/>
  <c r="K3" i="5"/>
  <c r="I3" i="5"/>
  <c r="G3" i="5"/>
  <c r="E3" i="5"/>
  <c r="A8" i="5"/>
  <c r="A9" i="5" s="1"/>
  <c r="N9" i="5" s="1"/>
  <c r="P2" i="2" a="1"/>
  <c r="P2" i="2" s="1"/>
  <c r="B4" i="5" a="1"/>
  <c r="B4" i="5" s="1"/>
  <c r="B5" i="5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D2" i="5"/>
  <c r="P671" i="2" a="1"/>
  <c r="P671" i="2"/>
  <c r="P672" i="2" a="1"/>
  <c r="P672" i="2"/>
  <c r="P673" i="2" a="1"/>
  <c r="P673" i="2"/>
  <c r="P674" i="2" a="1"/>
  <c r="P674" i="2"/>
  <c r="P675" i="2" a="1"/>
  <c r="P675" i="2"/>
  <c r="P676" i="2" a="1"/>
  <c r="P676" i="2"/>
  <c r="P677" i="2" a="1"/>
  <c r="P677" i="2"/>
  <c r="P678" i="2" a="1"/>
  <c r="P678" i="2"/>
  <c r="P679" i="2" a="1"/>
  <c r="P679" i="2"/>
  <c r="P680" i="2" a="1"/>
  <c r="P680" i="2"/>
  <c r="P681" i="2" a="1"/>
  <c r="P681" i="2"/>
  <c r="P682" i="2" a="1"/>
  <c r="P682" i="2"/>
  <c r="P683" i="2" a="1"/>
  <c r="P683" i="2"/>
  <c r="P684" i="2" a="1"/>
  <c r="P684" i="2"/>
  <c r="P685" i="2" a="1"/>
  <c r="P685" i="2"/>
  <c r="P686" i="2" a="1"/>
  <c r="P686" i="2"/>
  <c r="P687" i="2" a="1"/>
  <c r="P687" i="2"/>
  <c r="P688" i="2" a="1"/>
  <c r="P688" i="2"/>
  <c r="P689" i="2" a="1"/>
  <c r="P689" i="2"/>
  <c r="P690" i="2" a="1"/>
  <c r="P690" i="2"/>
  <c r="P691" i="2" a="1"/>
  <c r="P691" i="2"/>
  <c r="P692" i="2" a="1"/>
  <c r="P692" i="2"/>
  <c r="P693" i="2" a="1"/>
  <c r="P693" i="2"/>
  <c r="P694" i="2" a="1"/>
  <c r="P694" i="2"/>
  <c r="P695" i="2" a="1"/>
  <c r="P695" i="2"/>
  <c r="P696" i="2" a="1"/>
  <c r="P696" i="2"/>
  <c r="P697" i="2" a="1"/>
  <c r="P697" i="2"/>
  <c r="P698" i="2" a="1"/>
  <c r="P698" i="2"/>
  <c r="P699" i="2" a="1"/>
  <c r="P699" i="2"/>
  <c r="P700" i="2" a="1"/>
  <c r="P700" i="2"/>
  <c r="P701" i="2" a="1"/>
  <c r="P701" i="2"/>
  <c r="P702" i="2" a="1"/>
  <c r="P702" i="2"/>
  <c r="P703" i="2" a="1"/>
  <c r="P703" i="2"/>
  <c r="P704" i="2" a="1"/>
  <c r="P704" i="2"/>
  <c r="P705" i="2" a="1"/>
  <c r="P705" i="2"/>
  <c r="P706" i="2" a="1"/>
  <c r="P706" i="2"/>
  <c r="P707" i="2" a="1"/>
  <c r="P707" i="2"/>
  <c r="P708" i="2" a="1"/>
  <c r="P708" i="2"/>
  <c r="P709" i="2" a="1"/>
  <c r="P709" i="2"/>
  <c r="P710" i="2" a="1"/>
  <c r="P710" i="2"/>
  <c r="P711" i="2" a="1"/>
  <c r="P711" i="2"/>
  <c r="P712" i="2" a="1"/>
  <c r="P712" i="2"/>
  <c r="P713" i="2" a="1"/>
  <c r="P713" i="2"/>
  <c r="P714" i="2" a="1"/>
  <c r="P714" i="2"/>
  <c r="P715" i="2" a="1"/>
  <c r="P715" i="2"/>
  <c r="P716" i="2" a="1"/>
  <c r="P716" i="2"/>
  <c r="P717" i="2" a="1"/>
  <c r="P717" i="2"/>
  <c r="P718" i="2" a="1"/>
  <c r="P718" i="2"/>
  <c r="P719" i="2" a="1"/>
  <c r="P719" i="2"/>
  <c r="P720" i="2" a="1"/>
  <c r="P720" i="2"/>
  <c r="P721" i="2" a="1"/>
  <c r="P721" i="2"/>
  <c r="P722" i="2" a="1"/>
  <c r="P722" i="2"/>
  <c r="P723" i="2" a="1"/>
  <c r="P723" i="2"/>
  <c r="P724" i="2" a="1"/>
  <c r="P724" i="2"/>
  <c r="P725" i="2" a="1"/>
  <c r="P725" i="2"/>
  <c r="P726" i="2" a="1"/>
  <c r="P726" i="2"/>
  <c r="P727" i="2" a="1"/>
  <c r="P727" i="2"/>
  <c r="P728" i="2" a="1"/>
  <c r="P728" i="2"/>
  <c r="P729" i="2" a="1"/>
  <c r="P729" i="2"/>
  <c r="P730" i="2" a="1"/>
  <c r="P730" i="2"/>
  <c r="P731" i="2" a="1"/>
  <c r="P731" i="2"/>
  <c r="P732" i="2" a="1"/>
  <c r="P732" i="2"/>
  <c r="P733" i="2" a="1"/>
  <c r="P733" i="2"/>
  <c r="P734" i="2" a="1"/>
  <c r="P734" i="2"/>
  <c r="P735" i="2" a="1"/>
  <c r="P735" i="2"/>
  <c r="P736" i="2" a="1"/>
  <c r="P736" i="2"/>
  <c r="P737" i="2" a="1"/>
  <c r="P737" i="2"/>
  <c r="P738" i="2" a="1"/>
  <c r="P738" i="2"/>
  <c r="P739" i="2" a="1"/>
  <c r="P739" i="2"/>
  <c r="P740" i="2" a="1"/>
  <c r="P740" i="2"/>
  <c r="P741" i="2" a="1"/>
  <c r="P741" i="2"/>
  <c r="P742" i="2" a="1"/>
  <c r="P742" i="2"/>
  <c r="P743" i="2" a="1"/>
  <c r="P743" i="2"/>
  <c r="P744" i="2" a="1"/>
  <c r="P744" i="2"/>
  <c r="P745" i="2" a="1"/>
  <c r="P745" i="2"/>
  <c r="P746" i="2" a="1"/>
  <c r="P746" i="2"/>
  <c r="P747" i="2" a="1"/>
  <c r="P747" i="2"/>
  <c r="P748" i="2" a="1"/>
  <c r="P748" i="2"/>
  <c r="P749" i="2" a="1"/>
  <c r="P749" i="2"/>
  <c r="P750" i="2" a="1"/>
  <c r="P750" i="2"/>
  <c r="P751" i="2" a="1"/>
  <c r="P751" i="2"/>
  <c r="P752" i="2" a="1"/>
  <c r="P752" i="2"/>
  <c r="P753" i="2" a="1"/>
  <c r="P753" i="2"/>
  <c r="P754" i="2" a="1"/>
  <c r="P754" i="2"/>
  <c r="P755" i="2" a="1"/>
  <c r="P755" i="2"/>
  <c r="P756" i="2" a="1"/>
  <c r="P756" i="2"/>
  <c r="P757" i="2" a="1"/>
  <c r="P757" i="2"/>
  <c r="P758" i="2" a="1"/>
  <c r="P758" i="2"/>
  <c r="P759" i="2" a="1"/>
  <c r="P759" i="2"/>
  <c r="P760" i="2" a="1"/>
  <c r="P760" i="2"/>
  <c r="P761" i="2" a="1"/>
  <c r="P761" i="2"/>
  <c r="P762" i="2" a="1"/>
  <c r="P762" i="2"/>
  <c r="P763" i="2" a="1"/>
  <c r="P763" i="2"/>
  <c r="P764" i="2" a="1"/>
  <c r="P764" i="2"/>
  <c r="P765" i="2" a="1"/>
  <c r="P765" i="2"/>
  <c r="P766" i="2" a="1"/>
  <c r="P766" i="2"/>
  <c r="P767" i="2" a="1"/>
  <c r="P767" i="2"/>
  <c r="P768" i="2" a="1"/>
  <c r="P768" i="2"/>
  <c r="P769" i="2" a="1"/>
  <c r="P769" i="2"/>
  <c r="P770" i="2" a="1"/>
  <c r="P770" i="2"/>
  <c r="P771" i="2" a="1"/>
  <c r="P771" i="2"/>
  <c r="P772" i="2" a="1"/>
  <c r="P772" i="2"/>
  <c r="P773" i="2" a="1"/>
  <c r="P773" i="2"/>
  <c r="P774" i="2" a="1"/>
  <c r="P774" i="2"/>
  <c r="P775" i="2" a="1"/>
  <c r="P775" i="2"/>
  <c r="P776" i="2" a="1"/>
  <c r="P776" i="2"/>
  <c r="P777" i="2" a="1"/>
  <c r="P777" i="2"/>
  <c r="P778" i="2" a="1"/>
  <c r="P778" i="2"/>
  <c r="P779" i="2" a="1"/>
  <c r="P779" i="2"/>
  <c r="P780" i="2" a="1"/>
  <c r="P780" i="2"/>
  <c r="P781" i="2" a="1"/>
  <c r="P781" i="2"/>
  <c r="P782" i="2" a="1"/>
  <c r="P782" i="2"/>
  <c r="P783" i="2" a="1"/>
  <c r="P783" i="2"/>
  <c r="P784" i="2" a="1"/>
  <c r="P784" i="2"/>
  <c r="P785" i="2" a="1"/>
  <c r="P785" i="2"/>
  <c r="P786" i="2" a="1"/>
  <c r="P786" i="2"/>
  <c r="P787" i="2" a="1"/>
  <c r="P787" i="2"/>
  <c r="P788" i="2" a="1"/>
  <c r="P788" i="2"/>
  <c r="P789" i="2" a="1"/>
  <c r="P789" i="2"/>
  <c r="P790" i="2" a="1"/>
  <c r="P790" i="2"/>
  <c r="P791" i="2" a="1"/>
  <c r="P791" i="2"/>
  <c r="P792" i="2" a="1"/>
  <c r="P792" i="2"/>
  <c r="P793" i="2" a="1"/>
  <c r="P793" i="2"/>
  <c r="P794" i="2" a="1"/>
  <c r="P794" i="2"/>
  <c r="P795" i="2" a="1"/>
  <c r="P795" i="2"/>
  <c r="P796" i="2" a="1"/>
  <c r="P796" i="2"/>
  <c r="P797" i="2" a="1"/>
  <c r="P797" i="2"/>
  <c r="P798" i="2" a="1"/>
  <c r="P798" i="2"/>
  <c r="P799" i="2" a="1"/>
  <c r="P799" i="2"/>
  <c r="P800" i="2" a="1"/>
  <c r="P800" i="2"/>
  <c r="P801" i="2" a="1"/>
  <c r="P801" i="2"/>
  <c r="P802" i="2" a="1"/>
  <c r="P802" i="2"/>
  <c r="P803" i="2" a="1"/>
  <c r="P803" i="2"/>
  <c r="P804" i="2" a="1"/>
  <c r="P804" i="2"/>
  <c r="P805" i="2" a="1"/>
  <c r="P805" i="2"/>
  <c r="P806" i="2" a="1"/>
  <c r="P806" i="2"/>
  <c r="P807" i="2" a="1"/>
  <c r="P807" i="2"/>
  <c r="P808" i="2" a="1"/>
  <c r="P808" i="2"/>
  <c r="P809" i="2" a="1"/>
  <c r="P809" i="2"/>
  <c r="P810" i="2" a="1"/>
  <c r="P810" i="2"/>
  <c r="P811" i="2" a="1"/>
  <c r="P811" i="2"/>
  <c r="P812" i="2" a="1"/>
  <c r="P812" i="2"/>
  <c r="P813" i="2" a="1"/>
  <c r="P813" i="2"/>
  <c r="P814" i="2" a="1"/>
  <c r="P814" i="2"/>
  <c r="P815" i="2" a="1"/>
  <c r="P815" i="2"/>
  <c r="P816" i="2" a="1"/>
  <c r="P816" i="2"/>
  <c r="P817" i="2" a="1"/>
  <c r="P817" i="2"/>
  <c r="P818" i="2" a="1"/>
  <c r="P818" i="2"/>
  <c r="P819" i="2" a="1"/>
  <c r="P819" i="2"/>
  <c r="P820" i="2" a="1"/>
  <c r="P820" i="2"/>
  <c r="P821" i="2" a="1"/>
  <c r="P821" i="2"/>
  <c r="P822" i="2" a="1"/>
  <c r="P822" i="2"/>
  <c r="P823" i="2" a="1"/>
  <c r="P823" i="2"/>
  <c r="P824" i="2" a="1"/>
  <c r="P824" i="2"/>
  <c r="P825" i="2" a="1"/>
  <c r="P825" i="2"/>
  <c r="P826" i="2" a="1"/>
  <c r="P826" i="2"/>
  <c r="P827" i="2" a="1"/>
  <c r="P827" i="2"/>
  <c r="P828" i="2" a="1"/>
  <c r="P828" i="2"/>
  <c r="P829" i="2" a="1"/>
  <c r="P829" i="2"/>
  <c r="P830" i="2" a="1"/>
  <c r="P830" i="2"/>
  <c r="P831" i="2" a="1"/>
  <c r="P831" i="2"/>
  <c r="P832" i="2" a="1"/>
  <c r="P832" i="2"/>
  <c r="P833" i="2" a="1"/>
  <c r="P833" i="2"/>
  <c r="P834" i="2" a="1"/>
  <c r="P834" i="2"/>
  <c r="P835" i="2" a="1"/>
  <c r="P835" i="2"/>
  <c r="P836" i="2" a="1"/>
  <c r="P836" i="2"/>
  <c r="P837" i="2" a="1"/>
  <c r="P837" i="2"/>
  <c r="P838" i="2" a="1"/>
  <c r="P838" i="2"/>
  <c r="P839" i="2" a="1"/>
  <c r="P839" i="2"/>
  <c r="P840" i="2" a="1"/>
  <c r="P840" i="2"/>
  <c r="P841" i="2" a="1"/>
  <c r="P841" i="2"/>
  <c r="P842" i="2" a="1"/>
  <c r="P842" i="2"/>
  <c r="P843" i="2" a="1"/>
  <c r="P843" i="2"/>
  <c r="P844" i="2" a="1"/>
  <c r="P844" i="2"/>
  <c r="P845" i="2" a="1"/>
  <c r="P845" i="2"/>
  <c r="P846" i="2" a="1"/>
  <c r="P846" i="2"/>
  <c r="P847" i="2" a="1"/>
  <c r="P847" i="2"/>
  <c r="P848" i="2" a="1"/>
  <c r="P848" i="2"/>
  <c r="P849" i="2" a="1"/>
  <c r="P849" i="2"/>
  <c r="P850" i="2" a="1"/>
  <c r="P850" i="2" s="1"/>
  <c r="P851" i="2" a="1"/>
  <c r="P851" i="2"/>
  <c r="P852" i="2" a="1"/>
  <c r="P852" i="2" s="1"/>
  <c r="P853" i="2" a="1"/>
  <c r="P853" i="2"/>
  <c r="P854" i="2" a="1"/>
  <c r="P854" i="2"/>
  <c r="P855" i="2" a="1"/>
  <c r="P855" i="2"/>
  <c r="P856" i="2" a="1"/>
  <c r="P856" i="2" s="1"/>
  <c r="P857" i="2" a="1"/>
  <c r="P857" i="2" s="1"/>
  <c r="P858" i="2" a="1"/>
  <c r="P858" i="2" s="1"/>
  <c r="P859" i="2" a="1"/>
  <c r="P859" i="2" s="1"/>
  <c r="P860" i="2" a="1"/>
  <c r="P860" i="2" s="1"/>
  <c r="P861" i="2" a="1"/>
  <c r="P861" i="2" s="1"/>
  <c r="P862" i="2" a="1"/>
  <c r="P862" i="2" s="1"/>
  <c r="P863" i="2" a="1"/>
  <c r="P863" i="2" s="1"/>
  <c r="P864" i="2" a="1"/>
  <c r="P864" i="2" s="1"/>
  <c r="P865" i="2" a="1"/>
  <c r="P865" i="2" s="1"/>
  <c r="P866" i="2" a="1"/>
  <c r="P866" i="2" s="1"/>
  <c r="P867" i="2" a="1"/>
  <c r="P867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1" i="2" a="1"/>
  <c r="P51" i="2" s="1"/>
  <c r="P52" i="2" a="1"/>
  <c r="P52" i="2" s="1"/>
  <c r="P53" i="2" a="1"/>
  <c r="P53" i="2" s="1"/>
  <c r="P54" i="2" a="1"/>
  <c r="P54" i="2" s="1"/>
  <c r="P55" i="2" a="1"/>
  <c r="P55" i="2" s="1"/>
  <c r="P56" i="2" a="1"/>
  <c r="P56" i="2" s="1"/>
  <c r="P57" i="2" a="1"/>
  <c r="P57" i="2" s="1"/>
  <c r="P58" i="2" a="1"/>
  <c r="P58" i="2" s="1"/>
  <c r="P59" i="2" a="1"/>
  <c r="P59" i="2" s="1"/>
  <c r="P60" i="2" a="1"/>
  <c r="P60" i="2" s="1"/>
  <c r="P61" i="2" a="1"/>
  <c r="P61" i="2" s="1"/>
  <c r="P62" i="2" a="1"/>
  <c r="P62" i="2" s="1"/>
  <c r="P63" i="2" a="1"/>
  <c r="P63" i="2" s="1"/>
  <c r="P64" i="2" a="1"/>
  <c r="P64" i="2" s="1"/>
  <c r="P65" i="2" a="1"/>
  <c r="P65" i="2" s="1"/>
  <c r="P66" i="2" a="1"/>
  <c r="P66" i="2" s="1"/>
  <c r="P67" i="2" a="1"/>
  <c r="P67" i="2" s="1"/>
  <c r="P68" i="2" a="1"/>
  <c r="P68" i="2" s="1"/>
  <c r="P69" i="2" a="1"/>
  <c r="P69" i="2" s="1"/>
  <c r="P70" i="2" a="1"/>
  <c r="P70" i="2" s="1"/>
  <c r="P71" i="2" a="1"/>
  <c r="P71" i="2" s="1"/>
  <c r="P72" i="2" a="1"/>
  <c r="P72" i="2" s="1"/>
  <c r="P73" i="2" a="1"/>
  <c r="P73" i="2" s="1"/>
  <c r="P74" i="2" a="1"/>
  <c r="P74" i="2" s="1"/>
  <c r="P75" i="2" a="1"/>
  <c r="P75" i="2" s="1"/>
  <c r="P76" i="2" a="1"/>
  <c r="P76" i="2" s="1"/>
  <c r="P77" i="2" a="1"/>
  <c r="P77" i="2" s="1"/>
  <c r="P78" i="2" a="1"/>
  <c r="P78" i="2" s="1"/>
  <c r="P79" i="2" a="1"/>
  <c r="P79" i="2" s="1"/>
  <c r="P80" i="2" a="1"/>
  <c r="P80" i="2" s="1"/>
  <c r="P81" i="2" a="1"/>
  <c r="P81" i="2" s="1"/>
  <c r="P82" i="2" a="1"/>
  <c r="P82" i="2" s="1"/>
  <c r="P83" i="2" a="1"/>
  <c r="P83" i="2" s="1"/>
  <c r="P84" i="2" a="1"/>
  <c r="P84" i="2" s="1"/>
  <c r="P85" i="2" a="1"/>
  <c r="P85" i="2" s="1"/>
  <c r="P86" i="2" a="1"/>
  <c r="P86" i="2" s="1"/>
  <c r="P87" i="2" a="1"/>
  <c r="P87" i="2" s="1"/>
  <c r="P88" i="2" a="1"/>
  <c r="P88" i="2" s="1"/>
  <c r="P89" i="2" a="1"/>
  <c r="P89" i="2" s="1"/>
  <c r="P90" i="2" a="1"/>
  <c r="P90" i="2" s="1"/>
  <c r="P91" i="2" a="1"/>
  <c r="P91" i="2" s="1"/>
  <c r="P92" i="2" a="1"/>
  <c r="P92" i="2" s="1"/>
  <c r="P93" i="2" a="1"/>
  <c r="P93" i="2" s="1"/>
  <c r="P94" i="2" a="1"/>
  <c r="P94" i="2" s="1"/>
  <c r="P95" i="2" a="1"/>
  <c r="P95" i="2" s="1"/>
  <c r="P96" i="2" a="1"/>
  <c r="P96" i="2" s="1"/>
  <c r="P97" i="2" a="1"/>
  <c r="P97" i="2" s="1"/>
  <c r="P98" i="2" a="1"/>
  <c r="P98" i="2" s="1"/>
  <c r="P99" i="2" a="1"/>
  <c r="P99" i="2" s="1"/>
  <c r="P100" i="2" a="1"/>
  <c r="P100" i="2" s="1"/>
  <c r="P101" i="2" a="1"/>
  <c r="P101" i="2" s="1"/>
  <c r="P102" i="2" a="1"/>
  <c r="P102" i="2" s="1"/>
  <c r="P103" i="2" a="1"/>
  <c r="P103" i="2" s="1"/>
  <c r="P104" i="2" a="1"/>
  <c r="P104" i="2" s="1"/>
  <c r="P105" i="2" a="1"/>
  <c r="P105" i="2" s="1"/>
  <c r="P106" i="2" a="1"/>
  <c r="P106" i="2" s="1"/>
  <c r="P107" i="2" a="1"/>
  <c r="P107" i="2" s="1"/>
  <c r="P108" i="2" a="1"/>
  <c r="P108" i="2" s="1"/>
  <c r="P109" i="2" a="1"/>
  <c r="P109" i="2" s="1"/>
  <c r="P110" i="2" a="1"/>
  <c r="P110" i="2" s="1"/>
  <c r="P111" i="2" a="1"/>
  <c r="P111" i="2" s="1"/>
  <c r="P112" i="2" a="1"/>
  <c r="P112" i="2" s="1"/>
  <c r="P113" i="2" a="1"/>
  <c r="P113" i="2" s="1"/>
  <c r="P114" i="2" a="1"/>
  <c r="P114" i="2" s="1"/>
  <c r="P115" i="2" a="1"/>
  <c r="P115" i="2" s="1"/>
  <c r="P116" i="2" a="1"/>
  <c r="P116" i="2" s="1"/>
  <c r="P117" i="2" a="1"/>
  <c r="P117" i="2" s="1"/>
  <c r="P118" i="2" a="1"/>
  <c r="P118" i="2" s="1"/>
  <c r="P119" i="2" a="1"/>
  <c r="P119" i="2" s="1"/>
  <c r="P120" i="2" a="1"/>
  <c r="P120" i="2" s="1"/>
  <c r="P121" i="2" a="1"/>
  <c r="P121" i="2" s="1"/>
  <c r="P122" i="2" a="1"/>
  <c r="P122" i="2" s="1"/>
  <c r="P123" i="2" a="1"/>
  <c r="P123" i="2" s="1"/>
  <c r="P124" i="2" a="1"/>
  <c r="P124" i="2" s="1"/>
  <c r="P125" i="2" a="1"/>
  <c r="P125" i="2" s="1"/>
  <c r="P126" i="2" a="1"/>
  <c r="P126" i="2" s="1"/>
  <c r="P127" i="2" a="1"/>
  <c r="P127" i="2" s="1"/>
  <c r="P128" i="2" a="1"/>
  <c r="P128" i="2" s="1"/>
  <c r="P129" i="2" a="1"/>
  <c r="P129" i="2" s="1"/>
  <c r="P130" i="2" a="1"/>
  <c r="P130" i="2" s="1"/>
  <c r="P131" i="2" a="1"/>
  <c r="P131" i="2" s="1"/>
  <c r="P132" i="2" a="1"/>
  <c r="P132" i="2" s="1"/>
  <c r="P133" i="2" a="1"/>
  <c r="P133" i="2" s="1"/>
  <c r="P134" i="2" a="1"/>
  <c r="P134" i="2" s="1"/>
  <c r="P135" i="2" a="1"/>
  <c r="P135" i="2" s="1"/>
  <c r="P136" i="2" a="1"/>
  <c r="P136" i="2" s="1"/>
  <c r="P137" i="2" a="1"/>
  <c r="P137" i="2" s="1"/>
  <c r="P138" i="2" a="1"/>
  <c r="P138" i="2" s="1"/>
  <c r="P139" i="2" a="1"/>
  <c r="P139" i="2" s="1"/>
  <c r="P140" i="2" a="1"/>
  <c r="P140" i="2" s="1"/>
  <c r="P141" i="2" a="1"/>
  <c r="P141" i="2" s="1"/>
  <c r="P142" i="2" a="1"/>
  <c r="P142" i="2" s="1"/>
  <c r="P143" i="2" a="1"/>
  <c r="P143" i="2" s="1"/>
  <c r="P144" i="2" a="1"/>
  <c r="P144" i="2" s="1"/>
  <c r="P145" i="2" a="1"/>
  <c r="P145" i="2" s="1"/>
  <c r="P146" i="2" a="1"/>
  <c r="P146" i="2" s="1"/>
  <c r="P147" i="2" a="1"/>
  <c r="P147" i="2" s="1"/>
  <c r="P148" i="2" a="1"/>
  <c r="P148" i="2" s="1"/>
  <c r="P149" i="2" a="1"/>
  <c r="P149" i="2" s="1"/>
  <c r="P150" i="2" a="1"/>
  <c r="P150" i="2" s="1"/>
  <c r="P151" i="2" a="1"/>
  <c r="P151" i="2" s="1"/>
  <c r="P152" i="2" a="1"/>
  <c r="P152" i="2" s="1"/>
  <c r="P153" i="2" a="1"/>
  <c r="P153" i="2" s="1"/>
  <c r="P154" i="2" a="1"/>
  <c r="P154" i="2" s="1"/>
  <c r="P155" i="2" a="1"/>
  <c r="P155" i="2" s="1"/>
  <c r="P156" i="2" a="1"/>
  <c r="P156" i="2" s="1"/>
  <c r="P157" i="2" a="1"/>
  <c r="P157" i="2" s="1"/>
  <c r="P158" i="2" a="1"/>
  <c r="P158" i="2" s="1"/>
  <c r="P159" i="2" a="1"/>
  <c r="P159" i="2" s="1"/>
  <c r="P160" i="2" a="1"/>
  <c r="P160" i="2" s="1"/>
  <c r="P161" i="2" a="1"/>
  <c r="P161" i="2" s="1"/>
  <c r="P162" i="2" a="1"/>
  <c r="P162" i="2" s="1"/>
  <c r="P163" i="2" a="1"/>
  <c r="P163" i="2" s="1"/>
  <c r="P164" i="2" a="1"/>
  <c r="P164" i="2" s="1"/>
  <c r="P165" i="2" a="1"/>
  <c r="P165" i="2" s="1"/>
  <c r="P166" i="2" a="1"/>
  <c r="P166" i="2" s="1"/>
  <c r="P167" i="2" a="1"/>
  <c r="P167" i="2" s="1"/>
  <c r="P168" i="2" a="1"/>
  <c r="P168" i="2" s="1"/>
  <c r="P169" i="2" a="1"/>
  <c r="P169" i="2" s="1"/>
  <c r="P170" i="2" a="1"/>
  <c r="P170" i="2" s="1"/>
  <c r="P171" i="2" a="1"/>
  <c r="P171" i="2" s="1"/>
  <c r="P172" i="2" a="1"/>
  <c r="P172" i="2" s="1"/>
  <c r="P173" i="2" a="1"/>
  <c r="P173" i="2" s="1"/>
  <c r="P174" i="2" a="1"/>
  <c r="P174" i="2" s="1"/>
  <c r="P175" i="2" a="1"/>
  <c r="P175" i="2" s="1"/>
  <c r="P176" i="2" a="1"/>
  <c r="P176" i="2" s="1"/>
  <c r="P177" i="2" a="1"/>
  <c r="P177" i="2" s="1"/>
  <c r="P178" i="2" a="1"/>
  <c r="P178" i="2" s="1"/>
  <c r="P179" i="2" a="1"/>
  <c r="P179" i="2" s="1"/>
  <c r="P180" i="2" a="1"/>
  <c r="P180" i="2" s="1"/>
  <c r="P181" i="2" a="1"/>
  <c r="P181" i="2" s="1"/>
  <c r="P182" i="2" a="1"/>
  <c r="P182" i="2" s="1"/>
  <c r="P183" i="2" a="1"/>
  <c r="P183" i="2" s="1"/>
  <c r="P184" i="2" a="1"/>
  <c r="P184" i="2" s="1"/>
  <c r="P185" i="2" a="1"/>
  <c r="P185" i="2" s="1"/>
  <c r="P186" i="2" a="1"/>
  <c r="P186" i="2" s="1"/>
  <c r="P187" i="2" a="1"/>
  <c r="P187" i="2" s="1"/>
  <c r="P188" i="2" a="1"/>
  <c r="P188" i="2" s="1"/>
  <c r="P189" i="2" a="1"/>
  <c r="P189" i="2" s="1"/>
  <c r="P190" i="2" a="1"/>
  <c r="P190" i="2" s="1"/>
  <c r="P191" i="2" a="1"/>
  <c r="P191" i="2" s="1"/>
  <c r="P192" i="2" a="1"/>
  <c r="P192" i="2" s="1"/>
  <c r="P193" i="2" a="1"/>
  <c r="P193" i="2" s="1"/>
  <c r="P194" i="2" a="1"/>
  <c r="P194" i="2" s="1"/>
  <c r="P195" i="2" a="1"/>
  <c r="P195" i="2" s="1"/>
  <c r="P196" i="2" a="1"/>
  <c r="P196" i="2" s="1"/>
  <c r="P197" i="2" a="1"/>
  <c r="P197" i="2" s="1"/>
  <c r="P198" i="2" a="1"/>
  <c r="P198" i="2" s="1"/>
  <c r="P199" i="2" a="1"/>
  <c r="P199" i="2" s="1"/>
  <c r="P200" i="2" a="1"/>
  <c r="P200" i="2" s="1"/>
  <c r="P201" i="2" a="1"/>
  <c r="P201" i="2" s="1"/>
  <c r="P202" i="2" a="1"/>
  <c r="P202" i="2" s="1"/>
  <c r="P203" i="2" a="1"/>
  <c r="P203" i="2" s="1"/>
  <c r="P204" i="2" a="1"/>
  <c r="P204" i="2" s="1"/>
  <c r="P205" i="2" a="1"/>
  <c r="P205" i="2" s="1"/>
  <c r="P206" i="2" a="1"/>
  <c r="P206" i="2" s="1"/>
  <c r="P207" i="2" a="1"/>
  <c r="P207" i="2" s="1"/>
  <c r="P208" i="2" a="1"/>
  <c r="P208" i="2" s="1"/>
  <c r="P209" i="2" a="1"/>
  <c r="P209" i="2" s="1"/>
  <c r="P210" i="2" a="1"/>
  <c r="P210" i="2" s="1"/>
  <c r="P211" i="2" a="1"/>
  <c r="P211" i="2" s="1"/>
  <c r="P212" i="2" a="1"/>
  <c r="P212" i="2" s="1"/>
  <c r="P213" i="2" a="1"/>
  <c r="P213" i="2" s="1"/>
  <c r="P214" i="2" a="1"/>
  <c r="P214" i="2" s="1"/>
  <c r="P215" i="2" a="1"/>
  <c r="P215" i="2" s="1"/>
  <c r="P216" i="2" a="1"/>
  <c r="P216" i="2" s="1"/>
  <c r="P217" i="2" a="1"/>
  <c r="P217" i="2" s="1"/>
  <c r="P218" i="2" a="1"/>
  <c r="P218" i="2" s="1"/>
  <c r="P219" i="2" a="1"/>
  <c r="P219" i="2" s="1"/>
  <c r="P220" i="2" a="1"/>
  <c r="P220" i="2" s="1"/>
  <c r="P221" i="2" a="1"/>
  <c r="P221" i="2" s="1"/>
  <c r="P222" i="2" a="1"/>
  <c r="P222" i="2" s="1"/>
  <c r="P223" i="2" a="1"/>
  <c r="P223" i="2" s="1"/>
  <c r="P224" i="2" a="1"/>
  <c r="P224" i="2" s="1"/>
  <c r="P225" i="2" a="1"/>
  <c r="P225" i="2" s="1"/>
  <c r="P226" i="2" a="1"/>
  <c r="P226" i="2" s="1"/>
  <c r="P227" i="2" a="1"/>
  <c r="P227" i="2" s="1"/>
  <c r="P228" i="2" a="1"/>
  <c r="P228" i="2" s="1"/>
  <c r="P229" i="2" a="1"/>
  <c r="P229" i="2" s="1"/>
  <c r="P230" i="2" a="1"/>
  <c r="P230" i="2" s="1"/>
  <c r="P231" i="2" a="1"/>
  <c r="P231" i="2" s="1"/>
  <c r="P232" i="2" a="1"/>
  <c r="P232" i="2" s="1"/>
  <c r="P233" i="2" a="1"/>
  <c r="P233" i="2" s="1"/>
  <c r="P234" i="2" a="1"/>
  <c r="P234" i="2" s="1"/>
  <c r="P235" i="2" a="1"/>
  <c r="P235" i="2" s="1"/>
  <c r="P236" i="2" a="1"/>
  <c r="P236" i="2" s="1"/>
  <c r="P237" i="2" a="1"/>
  <c r="P237" i="2" s="1"/>
  <c r="P238" i="2" a="1"/>
  <c r="P238" i="2" s="1"/>
  <c r="P239" i="2" a="1"/>
  <c r="P239" i="2" s="1"/>
  <c r="P240" i="2" a="1"/>
  <c r="P240" i="2" s="1"/>
  <c r="P241" i="2" a="1"/>
  <c r="P241" i="2" s="1"/>
  <c r="P242" i="2" a="1"/>
  <c r="P242" i="2" s="1"/>
  <c r="P243" i="2" a="1"/>
  <c r="P243" i="2" s="1"/>
  <c r="P244" i="2" a="1"/>
  <c r="P244" i="2" s="1"/>
  <c r="P245" i="2" a="1"/>
  <c r="P245" i="2" s="1"/>
  <c r="P246" i="2" a="1"/>
  <c r="P246" i="2" s="1"/>
  <c r="P247" i="2" a="1"/>
  <c r="P247" i="2" s="1"/>
  <c r="P248" i="2" a="1"/>
  <c r="P248" i="2" s="1"/>
  <c r="P249" i="2" a="1"/>
  <c r="P249" i="2" s="1"/>
  <c r="P250" i="2" a="1"/>
  <c r="P250" i="2" s="1"/>
  <c r="P251" i="2" a="1"/>
  <c r="P251" i="2" s="1"/>
  <c r="P252" i="2" a="1"/>
  <c r="P252" i="2" s="1"/>
  <c r="P253" i="2" a="1"/>
  <c r="P253" i="2" s="1"/>
  <c r="P254" i="2" a="1"/>
  <c r="P254" i="2" s="1"/>
  <c r="P255" i="2" a="1"/>
  <c r="P255" i="2" s="1"/>
  <c r="P256" i="2" a="1"/>
  <c r="P256" i="2" s="1"/>
  <c r="P257" i="2" a="1"/>
  <c r="P257" i="2" s="1"/>
  <c r="P258" i="2" a="1"/>
  <c r="P258" i="2" s="1"/>
  <c r="P259" i="2" a="1"/>
  <c r="P259" i="2" s="1"/>
  <c r="P260" i="2" a="1"/>
  <c r="P260" i="2" s="1"/>
  <c r="P261" i="2" a="1"/>
  <c r="P261" i="2" s="1"/>
  <c r="P262" i="2" a="1"/>
  <c r="P262" i="2" s="1"/>
  <c r="P263" i="2" a="1"/>
  <c r="P263" i="2" s="1"/>
  <c r="P264" i="2" a="1"/>
  <c r="P264" i="2" s="1"/>
  <c r="P265" i="2" a="1"/>
  <c r="P265" i="2" s="1"/>
  <c r="P266" i="2" a="1"/>
  <c r="P266" i="2" s="1"/>
  <c r="P267" i="2" a="1"/>
  <c r="P267" i="2" s="1"/>
  <c r="P268" i="2" a="1"/>
  <c r="P268" i="2" s="1"/>
  <c r="P269" i="2" a="1"/>
  <c r="P269" i="2" s="1"/>
  <c r="P270" i="2" a="1"/>
  <c r="P270" i="2" s="1"/>
  <c r="P271" i="2" a="1"/>
  <c r="P271" i="2" s="1"/>
  <c r="P272" i="2" a="1"/>
  <c r="P272" i="2" s="1"/>
  <c r="P273" i="2" a="1"/>
  <c r="P273" i="2" s="1"/>
  <c r="P274" i="2" a="1"/>
  <c r="P274" i="2" s="1"/>
  <c r="P275" i="2" a="1"/>
  <c r="P275" i="2" s="1"/>
  <c r="P276" i="2" a="1"/>
  <c r="P276" i="2" s="1"/>
  <c r="P277" i="2" a="1"/>
  <c r="P277" i="2" s="1"/>
  <c r="P278" i="2" a="1"/>
  <c r="P278" i="2" s="1"/>
  <c r="P279" i="2" a="1"/>
  <c r="P279" i="2" s="1"/>
  <c r="P280" i="2" a="1"/>
  <c r="P280" i="2" s="1"/>
  <c r="P281" i="2" a="1"/>
  <c r="P281" i="2" s="1"/>
  <c r="P282" i="2" a="1"/>
  <c r="P282" i="2" s="1"/>
  <c r="P283" i="2" a="1"/>
  <c r="P283" i="2" s="1"/>
  <c r="P284" i="2" a="1"/>
  <c r="P284" i="2" s="1"/>
  <c r="P285" i="2" a="1"/>
  <c r="P285" i="2" s="1"/>
  <c r="P286" i="2" a="1"/>
  <c r="P286" i="2" s="1"/>
  <c r="P287" i="2" a="1"/>
  <c r="P287" i="2" s="1"/>
  <c r="P288" i="2" a="1"/>
  <c r="P288" i="2" s="1"/>
  <c r="P289" i="2" a="1"/>
  <c r="P289" i="2" s="1"/>
  <c r="P290" i="2" a="1"/>
  <c r="P290" i="2" s="1"/>
  <c r="P291" i="2" a="1"/>
  <c r="P291" i="2" s="1"/>
  <c r="P292" i="2" a="1"/>
  <c r="P292" i="2" s="1"/>
  <c r="P293" i="2" a="1"/>
  <c r="P293" i="2" s="1"/>
  <c r="P294" i="2" a="1"/>
  <c r="P294" i="2" s="1"/>
  <c r="P295" i="2" a="1"/>
  <c r="P295" i="2" s="1"/>
  <c r="P296" i="2" a="1"/>
  <c r="P296" i="2" s="1"/>
  <c r="P297" i="2" a="1"/>
  <c r="P297" i="2" s="1"/>
  <c r="P298" i="2" a="1"/>
  <c r="P298" i="2" s="1"/>
  <c r="P299" i="2" a="1"/>
  <c r="P299" i="2" s="1"/>
  <c r="P300" i="2" a="1"/>
  <c r="P300" i="2" s="1"/>
  <c r="P301" i="2" a="1"/>
  <c r="P301" i="2" s="1"/>
  <c r="P302" i="2" a="1"/>
  <c r="P302" i="2" s="1"/>
  <c r="P303" i="2" a="1"/>
  <c r="P303" i="2" s="1"/>
  <c r="P304" i="2" a="1"/>
  <c r="P304" i="2" s="1"/>
  <c r="P305" i="2" a="1"/>
  <c r="P305" i="2" s="1"/>
  <c r="P306" i="2" a="1"/>
  <c r="P306" i="2" s="1"/>
  <c r="P307" i="2" a="1"/>
  <c r="P307" i="2" s="1"/>
  <c r="P308" i="2" a="1"/>
  <c r="P308" i="2" s="1"/>
  <c r="P309" i="2" a="1"/>
  <c r="P309" i="2" s="1"/>
  <c r="P310" i="2" a="1"/>
  <c r="P310" i="2" s="1"/>
  <c r="P311" i="2" a="1"/>
  <c r="P311" i="2" s="1"/>
  <c r="P312" i="2" a="1"/>
  <c r="P312" i="2" s="1"/>
  <c r="P313" i="2" a="1"/>
  <c r="P313" i="2" s="1"/>
  <c r="P314" i="2" a="1"/>
  <c r="P314" i="2" s="1"/>
  <c r="P315" i="2" a="1"/>
  <c r="P315" i="2" s="1"/>
  <c r="P316" i="2" a="1"/>
  <c r="P316" i="2" s="1"/>
  <c r="P317" i="2" a="1"/>
  <c r="P317" i="2" s="1"/>
  <c r="P318" i="2" a="1"/>
  <c r="P318" i="2" s="1"/>
  <c r="P319" i="2" a="1"/>
  <c r="P319" i="2" s="1"/>
  <c r="P320" i="2" a="1"/>
  <c r="P320" i="2" s="1"/>
  <c r="P321" i="2" a="1"/>
  <c r="P321" i="2" s="1"/>
  <c r="P322" i="2" a="1"/>
  <c r="P322" i="2" s="1"/>
  <c r="P323" i="2" a="1"/>
  <c r="P323" i="2" s="1"/>
  <c r="P324" i="2" a="1"/>
  <c r="P324" i="2" s="1"/>
  <c r="P325" i="2" a="1"/>
  <c r="P325" i="2" s="1"/>
  <c r="P326" i="2" a="1"/>
  <c r="P326" i="2" s="1"/>
  <c r="P327" i="2" a="1"/>
  <c r="P327" i="2" s="1"/>
  <c r="P328" i="2" a="1"/>
  <c r="P328" i="2" s="1"/>
  <c r="P329" i="2" a="1"/>
  <c r="P329" i="2" s="1"/>
  <c r="P330" i="2" a="1"/>
  <c r="P330" i="2" s="1"/>
  <c r="P331" i="2" a="1"/>
  <c r="P331" i="2" s="1"/>
  <c r="P332" i="2" a="1"/>
  <c r="P332" i="2" s="1"/>
  <c r="P333" i="2" a="1"/>
  <c r="P333" i="2" s="1"/>
  <c r="P334" i="2" a="1"/>
  <c r="P334" i="2" s="1"/>
  <c r="P335" i="2" a="1"/>
  <c r="P335" i="2" s="1"/>
  <c r="P336" i="2" a="1"/>
  <c r="P336" i="2" s="1"/>
  <c r="P337" i="2" a="1"/>
  <c r="P337" i="2" s="1"/>
  <c r="P338" i="2" a="1"/>
  <c r="P338" i="2" s="1"/>
  <c r="P339" i="2" a="1"/>
  <c r="P339" i="2" s="1"/>
  <c r="P340" i="2" a="1"/>
  <c r="P340" i="2" s="1"/>
  <c r="P341" i="2" a="1"/>
  <c r="P341" i="2" s="1"/>
  <c r="P342" i="2" a="1"/>
  <c r="P342" i="2" s="1"/>
  <c r="P343" i="2" a="1"/>
  <c r="P343" i="2" s="1"/>
  <c r="P344" i="2" a="1"/>
  <c r="P344" i="2" s="1"/>
  <c r="P345" i="2" a="1"/>
  <c r="P345" i="2" s="1"/>
  <c r="P346" i="2" a="1"/>
  <c r="P346" i="2" s="1"/>
  <c r="P347" i="2" a="1"/>
  <c r="P347" i="2" s="1"/>
  <c r="P348" i="2" a="1"/>
  <c r="P348" i="2" s="1"/>
  <c r="P349" i="2" a="1"/>
  <c r="P349" i="2" s="1"/>
  <c r="P350" i="2" a="1"/>
  <c r="P350" i="2" s="1"/>
  <c r="P351" i="2" a="1"/>
  <c r="P351" i="2" s="1"/>
  <c r="P352" i="2" a="1"/>
  <c r="P352" i="2" s="1"/>
  <c r="P353" i="2" a="1"/>
  <c r="P353" i="2" s="1"/>
  <c r="P354" i="2" a="1"/>
  <c r="P354" i="2" s="1"/>
  <c r="P355" i="2" a="1"/>
  <c r="P355" i="2" s="1"/>
  <c r="P356" i="2" a="1"/>
  <c r="P356" i="2" s="1"/>
  <c r="P357" i="2" a="1"/>
  <c r="P357" i="2" s="1"/>
  <c r="P358" i="2" a="1"/>
  <c r="P358" i="2" s="1"/>
  <c r="P359" i="2" a="1"/>
  <c r="P359" i="2" s="1"/>
  <c r="P360" i="2" a="1"/>
  <c r="P360" i="2" s="1"/>
  <c r="P361" i="2" a="1"/>
  <c r="P361" i="2" s="1"/>
  <c r="P362" i="2" a="1"/>
  <c r="P362" i="2" s="1"/>
  <c r="P363" i="2" a="1"/>
  <c r="P363" i="2" s="1"/>
  <c r="P364" i="2" a="1"/>
  <c r="P364" i="2" s="1"/>
  <c r="P365" i="2" a="1"/>
  <c r="P365" i="2" s="1"/>
  <c r="P366" i="2" a="1"/>
  <c r="P366" i="2" s="1"/>
  <c r="P367" i="2" a="1"/>
  <c r="P367" i="2" s="1"/>
  <c r="P368" i="2" a="1"/>
  <c r="P368" i="2" s="1"/>
  <c r="P369" i="2" a="1"/>
  <c r="P369" i="2" s="1"/>
  <c r="P370" i="2" a="1"/>
  <c r="P370" i="2" s="1"/>
  <c r="P371" i="2" a="1"/>
  <c r="P371" i="2" s="1"/>
  <c r="P372" i="2" a="1"/>
  <c r="P372" i="2" s="1"/>
  <c r="P373" i="2" a="1"/>
  <c r="P373" i="2" s="1"/>
  <c r="P374" i="2" a="1"/>
  <c r="P374" i="2" s="1"/>
  <c r="P375" i="2" a="1"/>
  <c r="P375" i="2" s="1"/>
  <c r="P376" i="2" a="1"/>
  <c r="P376" i="2" s="1"/>
  <c r="P377" i="2" a="1"/>
  <c r="P377" i="2" s="1"/>
  <c r="P378" i="2" a="1"/>
  <c r="P378" i="2" s="1"/>
  <c r="P379" i="2" a="1"/>
  <c r="P379" i="2" s="1"/>
  <c r="P380" i="2" a="1"/>
  <c r="P380" i="2" s="1"/>
  <c r="P381" i="2" a="1"/>
  <c r="P381" i="2" s="1"/>
  <c r="P382" i="2" a="1"/>
  <c r="P382" i="2" s="1"/>
  <c r="P383" i="2" a="1"/>
  <c r="P383" i="2" s="1"/>
  <c r="P384" i="2" a="1"/>
  <c r="P384" i="2" s="1"/>
  <c r="P385" i="2" a="1"/>
  <c r="P385" i="2" s="1"/>
  <c r="P386" i="2" a="1"/>
  <c r="P386" i="2" s="1"/>
  <c r="P387" i="2" a="1"/>
  <c r="P387" i="2" s="1"/>
  <c r="P388" i="2" a="1"/>
  <c r="P388" i="2" s="1"/>
  <c r="P389" i="2" a="1"/>
  <c r="P389" i="2" s="1"/>
  <c r="P390" i="2" a="1"/>
  <c r="P390" i="2" s="1"/>
  <c r="P391" i="2" a="1"/>
  <c r="P391" i="2" s="1"/>
  <c r="P392" i="2" a="1"/>
  <c r="P392" i="2" s="1"/>
  <c r="P393" i="2" a="1"/>
  <c r="P393" i="2" s="1"/>
  <c r="P394" i="2" a="1"/>
  <c r="P394" i="2" s="1"/>
  <c r="P395" i="2" a="1"/>
  <c r="P395" i="2" s="1"/>
  <c r="P396" i="2" a="1"/>
  <c r="P396" i="2" s="1"/>
  <c r="P397" i="2" a="1"/>
  <c r="P397" i="2" s="1"/>
  <c r="P398" i="2" a="1"/>
  <c r="P398" i="2" s="1"/>
  <c r="P399" i="2" a="1"/>
  <c r="P399" i="2" s="1"/>
  <c r="P400" i="2" a="1"/>
  <c r="P400" i="2" s="1"/>
  <c r="P401" i="2" a="1"/>
  <c r="P401" i="2" s="1"/>
  <c r="P402" i="2" a="1"/>
  <c r="P402" i="2" s="1"/>
  <c r="P403" i="2" a="1"/>
  <c r="P403" i="2" s="1"/>
  <c r="P404" i="2" a="1"/>
  <c r="P404" i="2" s="1"/>
  <c r="P405" i="2" a="1"/>
  <c r="P405" i="2" s="1"/>
  <c r="P406" i="2" a="1"/>
  <c r="P406" i="2" s="1"/>
  <c r="P407" i="2" a="1"/>
  <c r="P407" i="2" s="1"/>
  <c r="P408" i="2" a="1"/>
  <c r="P408" i="2" s="1"/>
  <c r="P409" i="2" a="1"/>
  <c r="P409" i="2" s="1"/>
  <c r="P410" i="2" a="1"/>
  <c r="P410" i="2" s="1"/>
  <c r="P411" i="2" a="1"/>
  <c r="P411" i="2" s="1"/>
  <c r="P412" i="2" a="1"/>
  <c r="P412" i="2" s="1"/>
  <c r="P413" i="2" a="1"/>
  <c r="P413" i="2" s="1"/>
  <c r="P414" i="2" a="1"/>
  <c r="P414" i="2" s="1"/>
  <c r="P415" i="2" a="1"/>
  <c r="P415" i="2" s="1"/>
  <c r="P416" i="2" a="1"/>
  <c r="P416" i="2" s="1"/>
  <c r="P417" i="2" a="1"/>
  <c r="P417" i="2" s="1"/>
  <c r="P418" i="2" a="1"/>
  <c r="P418" i="2" s="1"/>
  <c r="P419" i="2" a="1"/>
  <c r="P419" i="2" s="1"/>
  <c r="P420" i="2" a="1"/>
  <c r="P420" i="2" s="1"/>
  <c r="P421" i="2" a="1"/>
  <c r="P421" i="2" s="1"/>
  <c r="P422" i="2" a="1"/>
  <c r="P422" i="2" s="1"/>
  <c r="P423" i="2" a="1"/>
  <c r="P423" i="2" s="1"/>
  <c r="P424" i="2" a="1"/>
  <c r="P424" i="2" s="1"/>
  <c r="P425" i="2" a="1"/>
  <c r="P425" i="2" s="1"/>
  <c r="P426" i="2" a="1"/>
  <c r="P426" i="2" s="1"/>
  <c r="P427" i="2" a="1"/>
  <c r="P427" i="2" s="1"/>
  <c r="P428" i="2" a="1"/>
  <c r="P428" i="2" s="1"/>
  <c r="P429" i="2" a="1"/>
  <c r="P429" i="2" s="1"/>
  <c r="P430" i="2" a="1"/>
  <c r="P430" i="2" s="1"/>
  <c r="P431" i="2" a="1"/>
  <c r="P431" i="2" s="1"/>
  <c r="P432" i="2" a="1"/>
  <c r="P432" i="2" s="1"/>
  <c r="P433" i="2" a="1"/>
  <c r="P433" i="2" s="1"/>
  <c r="P434" i="2" a="1"/>
  <c r="P434" i="2" s="1"/>
  <c r="P435" i="2" a="1"/>
  <c r="P435" i="2" s="1"/>
  <c r="P436" i="2" a="1"/>
  <c r="P436" i="2" s="1"/>
  <c r="P437" i="2" a="1"/>
  <c r="P437" i="2" s="1"/>
  <c r="P438" i="2" a="1"/>
  <c r="P438" i="2" s="1"/>
  <c r="P439" i="2" a="1"/>
  <c r="P439" i="2" s="1"/>
  <c r="P440" i="2" a="1"/>
  <c r="P440" i="2" s="1"/>
  <c r="P441" i="2" a="1"/>
  <c r="P441" i="2" s="1"/>
  <c r="P442" i="2" a="1"/>
  <c r="P442" i="2" s="1"/>
  <c r="P443" i="2" a="1"/>
  <c r="P443" i="2" s="1"/>
  <c r="P444" i="2" a="1"/>
  <c r="P444" i="2" s="1"/>
  <c r="P445" i="2" a="1"/>
  <c r="P445" i="2" s="1"/>
  <c r="P446" i="2" a="1"/>
  <c r="P446" i="2" s="1"/>
  <c r="P447" i="2" a="1"/>
  <c r="P447" i="2" s="1"/>
  <c r="P448" i="2" a="1"/>
  <c r="P448" i="2" s="1"/>
  <c r="P449" i="2" a="1"/>
  <c r="P449" i="2" s="1"/>
  <c r="P450" i="2" a="1"/>
  <c r="P450" i="2" s="1"/>
  <c r="P451" i="2" a="1"/>
  <c r="P451" i="2" s="1"/>
  <c r="P452" i="2" a="1"/>
  <c r="P452" i="2" s="1"/>
  <c r="P453" i="2" a="1"/>
  <c r="P453" i="2" s="1"/>
  <c r="P454" i="2" a="1"/>
  <c r="P454" i="2" s="1"/>
  <c r="P455" i="2" a="1"/>
  <c r="P455" i="2" s="1"/>
  <c r="P456" i="2" a="1"/>
  <c r="P456" i="2" s="1"/>
  <c r="P457" i="2" a="1"/>
  <c r="P457" i="2" s="1"/>
  <c r="P458" i="2" a="1"/>
  <c r="P458" i="2" s="1"/>
  <c r="P459" i="2" a="1"/>
  <c r="P459" i="2" s="1"/>
  <c r="P460" i="2" a="1"/>
  <c r="P460" i="2" s="1"/>
  <c r="P461" i="2" a="1"/>
  <c r="P461" i="2" s="1"/>
  <c r="P462" i="2" a="1"/>
  <c r="P462" i="2" s="1"/>
  <c r="P463" i="2" a="1"/>
  <c r="P463" i="2" s="1"/>
  <c r="P464" i="2" a="1"/>
  <c r="P464" i="2" s="1"/>
  <c r="P465" i="2" a="1"/>
  <c r="P465" i="2" s="1"/>
  <c r="P466" i="2" a="1"/>
  <c r="P466" i="2" s="1"/>
  <c r="P467" i="2" a="1"/>
  <c r="P467" i="2" s="1"/>
  <c r="P468" i="2" a="1"/>
  <c r="P468" i="2" s="1"/>
  <c r="P469" i="2" a="1"/>
  <c r="P469" i="2" s="1"/>
  <c r="P470" i="2" a="1"/>
  <c r="P470" i="2" s="1"/>
  <c r="P471" i="2" a="1"/>
  <c r="P471" i="2" s="1"/>
  <c r="P472" i="2" a="1"/>
  <c r="P472" i="2" s="1"/>
  <c r="P473" i="2" a="1"/>
  <c r="P473" i="2" s="1"/>
  <c r="P474" i="2" a="1"/>
  <c r="P474" i="2" s="1"/>
  <c r="P475" i="2" a="1"/>
  <c r="P475" i="2" s="1"/>
  <c r="P476" i="2" a="1"/>
  <c r="P476" i="2" s="1"/>
  <c r="P477" i="2" a="1"/>
  <c r="P477" i="2" s="1"/>
  <c r="P478" i="2" a="1"/>
  <c r="P478" i="2" s="1"/>
  <c r="P479" i="2" a="1"/>
  <c r="P479" i="2" s="1"/>
  <c r="P480" i="2" a="1"/>
  <c r="P480" i="2" s="1"/>
  <c r="P481" i="2" a="1"/>
  <c r="P481" i="2" s="1"/>
  <c r="P482" i="2" a="1"/>
  <c r="P482" i="2" s="1"/>
  <c r="P483" i="2" a="1"/>
  <c r="P483" i="2" s="1"/>
  <c r="P484" i="2" a="1"/>
  <c r="P484" i="2" s="1"/>
  <c r="P485" i="2" a="1"/>
  <c r="P485" i="2" s="1"/>
  <c r="P486" i="2" a="1"/>
  <c r="P486" i="2" s="1"/>
  <c r="P487" i="2" a="1"/>
  <c r="P487" i="2" s="1"/>
  <c r="P488" i="2" a="1"/>
  <c r="P488" i="2" s="1"/>
  <c r="P489" i="2" a="1"/>
  <c r="P489" i="2" s="1"/>
  <c r="P490" i="2" a="1"/>
  <c r="P490" i="2" s="1"/>
  <c r="P491" i="2" a="1"/>
  <c r="P491" i="2" s="1"/>
  <c r="P492" i="2" a="1"/>
  <c r="P492" i="2" s="1"/>
  <c r="P493" i="2" a="1"/>
  <c r="P493" i="2" s="1"/>
  <c r="P494" i="2" a="1"/>
  <c r="P494" i="2" s="1"/>
  <c r="P495" i="2" a="1"/>
  <c r="P495" i="2" s="1"/>
  <c r="P496" i="2" a="1"/>
  <c r="P496" i="2" s="1"/>
  <c r="P497" i="2" a="1"/>
  <c r="P497" i="2" s="1"/>
  <c r="P498" i="2" a="1"/>
  <c r="P498" i="2" s="1"/>
  <c r="P499" i="2" a="1"/>
  <c r="P499" i="2" s="1"/>
  <c r="P500" i="2" a="1"/>
  <c r="P500" i="2" s="1"/>
  <c r="P501" i="2" a="1"/>
  <c r="P501" i="2" s="1"/>
  <c r="P502" i="2" a="1"/>
  <c r="P502" i="2" s="1"/>
  <c r="P503" i="2" a="1"/>
  <c r="P503" i="2" s="1"/>
  <c r="P504" i="2" a="1"/>
  <c r="P504" i="2" s="1"/>
  <c r="P505" i="2" a="1"/>
  <c r="P505" i="2" s="1"/>
  <c r="P506" i="2" a="1"/>
  <c r="P506" i="2" s="1"/>
  <c r="P507" i="2" a="1"/>
  <c r="P507" i="2" s="1"/>
  <c r="P508" i="2" a="1"/>
  <c r="P508" i="2" s="1"/>
  <c r="P509" i="2" a="1"/>
  <c r="P509" i="2" s="1"/>
  <c r="P510" i="2" a="1"/>
  <c r="P510" i="2" s="1"/>
  <c r="P511" i="2" a="1"/>
  <c r="P511" i="2" s="1"/>
  <c r="P512" i="2" a="1"/>
  <c r="P512" i="2" s="1"/>
  <c r="P513" i="2" a="1"/>
  <c r="P513" i="2" s="1"/>
  <c r="P514" i="2" a="1"/>
  <c r="P514" i="2" s="1"/>
  <c r="P515" i="2" a="1"/>
  <c r="P515" i="2" s="1"/>
  <c r="P516" i="2" a="1"/>
  <c r="P516" i="2" s="1"/>
  <c r="P517" i="2" a="1"/>
  <c r="P517" i="2" s="1"/>
  <c r="P518" i="2" a="1"/>
  <c r="P518" i="2" s="1"/>
  <c r="P519" i="2" a="1"/>
  <c r="P519" i="2" s="1"/>
  <c r="P520" i="2" a="1"/>
  <c r="P520" i="2" s="1"/>
  <c r="P521" i="2" a="1"/>
  <c r="P521" i="2" s="1"/>
  <c r="P522" i="2" a="1"/>
  <c r="P522" i="2" s="1"/>
  <c r="P523" i="2" a="1"/>
  <c r="P523" i="2" s="1"/>
  <c r="P524" i="2" a="1"/>
  <c r="P524" i="2" s="1"/>
  <c r="P525" i="2" a="1"/>
  <c r="P525" i="2" s="1"/>
  <c r="P526" i="2" a="1"/>
  <c r="P526" i="2" s="1"/>
  <c r="P527" i="2" a="1"/>
  <c r="P527" i="2" s="1"/>
  <c r="P528" i="2" a="1"/>
  <c r="P528" i="2" s="1"/>
  <c r="P529" i="2" a="1"/>
  <c r="P529" i="2" s="1"/>
  <c r="P530" i="2" a="1"/>
  <c r="P530" i="2" s="1"/>
  <c r="P531" i="2" a="1"/>
  <c r="P531" i="2" s="1"/>
  <c r="P532" i="2" a="1"/>
  <c r="P532" i="2" s="1"/>
  <c r="P533" i="2" a="1"/>
  <c r="P533" i="2" s="1"/>
  <c r="P534" i="2" a="1"/>
  <c r="P534" i="2" s="1"/>
  <c r="P535" i="2" a="1"/>
  <c r="P535" i="2" s="1"/>
  <c r="P536" i="2" a="1"/>
  <c r="P536" i="2" s="1"/>
  <c r="P537" i="2" a="1"/>
  <c r="P537" i="2" s="1"/>
  <c r="P538" i="2" a="1"/>
  <c r="P538" i="2" s="1"/>
  <c r="P539" i="2" a="1"/>
  <c r="P539" i="2" s="1"/>
  <c r="P540" i="2" a="1"/>
  <c r="P540" i="2" s="1"/>
  <c r="P541" i="2" a="1"/>
  <c r="P541" i="2" s="1"/>
  <c r="P542" i="2" a="1"/>
  <c r="P542" i="2" s="1"/>
  <c r="P543" i="2" a="1"/>
  <c r="P543" i="2" s="1"/>
  <c r="P544" i="2" a="1"/>
  <c r="P544" i="2" s="1"/>
  <c r="P545" i="2" a="1"/>
  <c r="P545" i="2" s="1"/>
  <c r="P546" i="2" a="1"/>
  <c r="P546" i="2" s="1"/>
  <c r="P547" i="2" a="1"/>
  <c r="P547" i="2" s="1"/>
  <c r="P548" i="2" a="1"/>
  <c r="P548" i="2" s="1"/>
  <c r="P549" i="2" a="1"/>
  <c r="P549" i="2" s="1"/>
  <c r="P550" i="2" a="1"/>
  <c r="P550" i="2" s="1"/>
  <c r="P551" i="2" a="1"/>
  <c r="P551" i="2" s="1"/>
  <c r="P552" i="2" a="1"/>
  <c r="P552" i="2" s="1"/>
  <c r="P553" i="2" a="1"/>
  <c r="P553" i="2" s="1"/>
  <c r="P554" i="2" a="1"/>
  <c r="P554" i="2" s="1"/>
  <c r="P555" i="2" a="1"/>
  <c r="P555" i="2" s="1"/>
  <c r="P556" i="2" a="1"/>
  <c r="P556" i="2" s="1"/>
  <c r="P557" i="2" a="1"/>
  <c r="P557" i="2" s="1"/>
  <c r="P558" i="2" a="1"/>
  <c r="P558" i="2" s="1"/>
  <c r="P559" i="2" a="1"/>
  <c r="P559" i="2" s="1"/>
  <c r="P560" i="2" a="1"/>
  <c r="P560" i="2" s="1"/>
  <c r="P561" i="2" a="1"/>
  <c r="P561" i="2" s="1"/>
  <c r="P562" i="2" a="1"/>
  <c r="P562" i="2" s="1"/>
  <c r="P563" i="2" a="1"/>
  <c r="P563" i="2" s="1"/>
  <c r="P564" i="2" a="1"/>
  <c r="P564" i="2" s="1"/>
  <c r="P565" i="2" a="1"/>
  <c r="P565" i="2" s="1"/>
  <c r="P566" i="2" a="1"/>
  <c r="P566" i="2" s="1"/>
  <c r="P567" i="2" a="1"/>
  <c r="P567" i="2" s="1"/>
  <c r="P568" i="2" a="1"/>
  <c r="P568" i="2" s="1"/>
  <c r="P569" i="2" a="1"/>
  <c r="P569" i="2" s="1"/>
  <c r="P570" i="2" a="1"/>
  <c r="P570" i="2" s="1"/>
  <c r="P571" i="2" a="1"/>
  <c r="P571" i="2" s="1"/>
  <c r="P572" i="2" a="1"/>
  <c r="P572" i="2" s="1"/>
  <c r="P573" i="2" a="1"/>
  <c r="P573" i="2" s="1"/>
  <c r="P574" i="2" a="1"/>
  <c r="P574" i="2" s="1"/>
  <c r="P575" i="2" a="1"/>
  <c r="P575" i="2" s="1"/>
  <c r="P576" i="2" a="1"/>
  <c r="P576" i="2" s="1"/>
  <c r="P577" i="2" a="1"/>
  <c r="P577" i="2" s="1"/>
  <c r="P578" i="2" a="1"/>
  <c r="P578" i="2" s="1"/>
  <c r="P579" i="2" a="1"/>
  <c r="P579" i="2" s="1"/>
  <c r="P580" i="2" a="1"/>
  <c r="P580" i="2" s="1"/>
  <c r="P581" i="2" a="1"/>
  <c r="P581" i="2" s="1"/>
  <c r="P582" i="2" a="1"/>
  <c r="P582" i="2" s="1"/>
  <c r="P583" i="2" a="1"/>
  <c r="P583" i="2" s="1"/>
  <c r="P584" i="2" a="1"/>
  <c r="P584" i="2" s="1"/>
  <c r="P585" i="2" a="1"/>
  <c r="P585" i="2" s="1"/>
  <c r="P586" i="2" a="1"/>
  <c r="P586" i="2" s="1"/>
  <c r="P587" i="2" a="1"/>
  <c r="P587" i="2" s="1"/>
  <c r="P588" i="2" a="1"/>
  <c r="P588" i="2" s="1"/>
  <c r="P589" i="2" a="1"/>
  <c r="P589" i="2" s="1"/>
  <c r="P590" i="2" a="1"/>
  <c r="P590" i="2" s="1"/>
  <c r="P591" i="2" a="1"/>
  <c r="P591" i="2" s="1"/>
  <c r="P592" i="2" a="1"/>
  <c r="P592" i="2" s="1"/>
  <c r="P593" i="2" a="1"/>
  <c r="P593" i="2" s="1"/>
  <c r="P594" i="2" a="1"/>
  <c r="P594" i="2" s="1"/>
  <c r="P595" i="2" a="1"/>
  <c r="P595" i="2" s="1"/>
  <c r="P596" i="2" a="1"/>
  <c r="P596" i="2" s="1"/>
  <c r="P597" i="2" a="1"/>
  <c r="P597" i="2" s="1"/>
  <c r="P598" i="2" a="1"/>
  <c r="P598" i="2" s="1"/>
  <c r="P599" i="2" a="1"/>
  <c r="P599" i="2" s="1"/>
  <c r="P600" i="2" a="1"/>
  <c r="P600" i="2" s="1"/>
  <c r="P601" i="2" a="1"/>
  <c r="P601" i="2" s="1"/>
  <c r="P602" i="2" a="1"/>
  <c r="P602" i="2" s="1"/>
  <c r="P603" i="2" a="1"/>
  <c r="P603" i="2" s="1"/>
  <c r="P604" i="2" a="1"/>
  <c r="P604" i="2" s="1"/>
  <c r="P605" i="2" a="1"/>
  <c r="P605" i="2" s="1"/>
  <c r="P606" i="2" a="1"/>
  <c r="P606" i="2" s="1"/>
  <c r="P607" i="2" a="1"/>
  <c r="P607" i="2" s="1"/>
  <c r="P608" i="2" a="1"/>
  <c r="P608" i="2" s="1"/>
  <c r="P609" i="2" a="1"/>
  <c r="P609" i="2" s="1"/>
  <c r="P610" i="2" a="1"/>
  <c r="P610" i="2" s="1"/>
  <c r="P611" i="2" a="1"/>
  <c r="P611" i="2" s="1"/>
  <c r="P612" i="2" a="1"/>
  <c r="P612" i="2" s="1"/>
  <c r="P613" i="2" a="1"/>
  <c r="P613" i="2" s="1"/>
  <c r="P614" i="2" a="1"/>
  <c r="P614" i="2" s="1"/>
  <c r="P615" i="2" a="1"/>
  <c r="P615" i="2" s="1"/>
  <c r="P616" i="2" a="1"/>
  <c r="P616" i="2" s="1"/>
  <c r="P617" i="2" a="1"/>
  <c r="P617" i="2" s="1"/>
  <c r="P618" i="2" a="1"/>
  <c r="P618" i="2" s="1"/>
  <c r="P619" i="2" a="1"/>
  <c r="P619" i="2" s="1"/>
  <c r="P620" i="2" a="1"/>
  <c r="P620" i="2" s="1"/>
  <c r="P621" i="2" a="1"/>
  <c r="P621" i="2" s="1"/>
  <c r="P622" i="2" a="1"/>
  <c r="P622" i="2" s="1"/>
  <c r="P623" i="2" a="1"/>
  <c r="P623" i="2" s="1"/>
  <c r="P624" i="2" a="1"/>
  <c r="P624" i="2" s="1"/>
  <c r="P625" i="2" a="1"/>
  <c r="P625" i="2" s="1"/>
  <c r="P626" i="2" a="1"/>
  <c r="P626" i="2" s="1"/>
  <c r="P627" i="2" a="1"/>
  <c r="P627" i="2" s="1"/>
  <c r="P628" i="2" a="1"/>
  <c r="P628" i="2" s="1"/>
  <c r="P629" i="2" a="1"/>
  <c r="P629" i="2" s="1"/>
  <c r="P630" i="2" a="1"/>
  <c r="P630" i="2" s="1"/>
  <c r="P631" i="2" a="1"/>
  <c r="P631" i="2" s="1"/>
  <c r="P632" i="2" a="1"/>
  <c r="P632" i="2" s="1"/>
  <c r="P633" i="2" a="1"/>
  <c r="P633" i="2" s="1"/>
  <c r="P634" i="2" a="1"/>
  <c r="P634" i="2" s="1"/>
  <c r="P635" i="2" a="1"/>
  <c r="P635" i="2" s="1"/>
  <c r="P636" i="2" a="1"/>
  <c r="P636" i="2" s="1"/>
  <c r="P637" i="2" a="1"/>
  <c r="P637" i="2" s="1"/>
  <c r="P638" i="2" a="1"/>
  <c r="P638" i="2" s="1"/>
  <c r="P639" i="2" a="1"/>
  <c r="P639" i="2" s="1"/>
  <c r="P640" i="2" a="1"/>
  <c r="P640" i="2" s="1"/>
  <c r="P641" i="2" a="1"/>
  <c r="P641" i="2" s="1"/>
  <c r="P642" i="2" a="1"/>
  <c r="P642" i="2" s="1"/>
  <c r="P643" i="2" a="1"/>
  <c r="P643" i="2" s="1"/>
  <c r="P644" i="2" a="1"/>
  <c r="P644" i="2" s="1"/>
  <c r="P645" i="2" a="1"/>
  <c r="P645" i="2" s="1"/>
  <c r="P646" i="2" a="1"/>
  <c r="P646" i="2" s="1"/>
  <c r="P647" i="2" a="1"/>
  <c r="P647" i="2" s="1"/>
  <c r="P648" i="2" a="1"/>
  <c r="P648" i="2" s="1"/>
  <c r="P649" i="2" a="1"/>
  <c r="P649" i="2" s="1"/>
  <c r="P650" i="2" a="1"/>
  <c r="P650" i="2" s="1"/>
  <c r="P651" i="2" a="1"/>
  <c r="P651" i="2" s="1"/>
  <c r="P652" i="2" a="1"/>
  <c r="P652" i="2" s="1"/>
  <c r="P653" i="2" a="1"/>
  <c r="P653" i="2" s="1"/>
  <c r="P654" i="2" a="1"/>
  <c r="P654" i="2" s="1"/>
  <c r="P655" i="2" a="1"/>
  <c r="P655" i="2" s="1"/>
  <c r="P656" i="2" a="1"/>
  <c r="P656" i="2" s="1"/>
  <c r="P657" i="2" a="1"/>
  <c r="P657" i="2" s="1"/>
  <c r="P658" i="2" a="1"/>
  <c r="P658" i="2" s="1"/>
  <c r="P659" i="2" a="1"/>
  <c r="P659" i="2" s="1"/>
  <c r="P660" i="2" a="1"/>
  <c r="P660" i="2" s="1"/>
  <c r="P661" i="2" a="1"/>
  <c r="P661" i="2" s="1"/>
  <c r="P662" i="2" a="1"/>
  <c r="P662" i="2" s="1"/>
  <c r="P663" i="2" a="1"/>
  <c r="P663" i="2" s="1"/>
  <c r="P664" i="2" a="1"/>
  <c r="P664" i="2" s="1"/>
  <c r="P665" i="2" a="1"/>
  <c r="P665" i="2" s="1"/>
  <c r="P666" i="2" a="1"/>
  <c r="P666" i="2" s="1"/>
  <c r="P667" i="2" a="1"/>
  <c r="P667" i="2" s="1"/>
  <c r="P668" i="2" a="1"/>
  <c r="P668" i="2" s="1"/>
  <c r="P669" i="2" a="1"/>
  <c r="P669" i="2" s="1"/>
  <c r="P670" i="2" a="1"/>
  <c r="P670" i="2" s="1"/>
  <c r="P42" i="2" a="1"/>
  <c r="P42" i="2" s="1"/>
  <c r="P3" i="2" a="1"/>
  <c r="P3" i="2"/>
  <c r="P4" i="2" a="1"/>
  <c r="P4" i="2"/>
  <c r="P5" i="2" a="1"/>
  <c r="P5" i="2"/>
  <c r="P6" i="2" a="1"/>
  <c r="P6" i="2"/>
  <c r="P7" i="2" a="1"/>
  <c r="P7" i="2"/>
  <c r="P8" i="2" a="1"/>
  <c r="P8" i="2"/>
  <c r="P9" i="2" a="1"/>
  <c r="P9" i="2"/>
  <c r="P10" i="2" a="1"/>
  <c r="P10" i="2"/>
  <c r="P11" i="2" a="1"/>
  <c r="P11" i="2"/>
  <c r="P12" i="2" a="1"/>
  <c r="P12" i="2"/>
  <c r="P13" i="2" a="1"/>
  <c r="P13" i="2"/>
  <c r="P14" i="2" a="1"/>
  <c r="P14" i="2"/>
  <c r="P15" i="2" a="1"/>
  <c r="P15" i="2"/>
  <c r="P16" i="2" a="1"/>
  <c r="P16" i="2"/>
  <c r="P17" i="2" a="1"/>
  <c r="P17" i="2"/>
  <c r="P18" i="2" a="1"/>
  <c r="P18" i="2"/>
  <c r="P19" i="2" a="1"/>
  <c r="P19" i="2"/>
  <c r="P20" i="2" a="1"/>
  <c r="P20" i="2"/>
  <c r="P21" i="2" a="1"/>
  <c r="P21" i="2"/>
  <c r="P22" i="2" a="1"/>
  <c r="P22" i="2"/>
  <c r="P23" i="2" a="1"/>
  <c r="P23" i="2"/>
  <c r="P24" i="2" a="1"/>
  <c r="P24" i="2"/>
  <c r="P25" i="2" a="1"/>
  <c r="P25" i="2"/>
  <c r="P26" i="2" a="1"/>
  <c r="P26" i="2"/>
  <c r="P27" i="2" a="1"/>
  <c r="P27" i="2"/>
  <c r="P28" i="2" a="1"/>
  <c r="P28" i="2"/>
  <c r="P29" i="2" a="1"/>
  <c r="P29" i="2"/>
  <c r="P30" i="2" a="1"/>
  <c r="P30" i="2"/>
  <c r="P31" i="2" a="1"/>
  <c r="P31" i="2"/>
  <c r="P32" i="2" a="1"/>
  <c r="P32" i="2"/>
  <c r="P33" i="2" a="1"/>
  <c r="P33" i="2"/>
  <c r="P34" i="2" a="1"/>
  <c r="P34" i="2"/>
  <c r="P35" i="2" a="1"/>
  <c r="P35" i="2"/>
  <c r="P36" i="2" a="1"/>
  <c r="P36" i="2"/>
  <c r="P37" i="2" a="1"/>
  <c r="P37" i="2"/>
  <c r="P38" i="2" a="1"/>
  <c r="P38" i="2"/>
  <c r="P39" i="2" a="1"/>
  <c r="P39" i="2"/>
  <c r="P40" i="2" a="1"/>
  <c r="P40" i="2"/>
  <c r="P41" i="2" a="1"/>
  <c r="P4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2" i="2"/>
  <c r="E8" i="6" l="1"/>
  <c r="F8" i="6"/>
  <c r="G8" i="6"/>
  <c r="L8" i="6"/>
  <c r="V8" i="6"/>
  <c r="T27" i="6"/>
  <c r="T28" i="6" s="1"/>
  <c r="T29" i="6" s="1"/>
  <c r="T30" i="6" s="1"/>
  <c r="T31" i="6" s="1"/>
  <c r="T32" i="6" s="1"/>
  <c r="B19" i="6"/>
  <c r="C5" i="6"/>
  <c r="C9" i="6"/>
  <c r="B10" i="6"/>
  <c r="I9" i="6"/>
  <c r="E9" i="6"/>
  <c r="G9" i="6"/>
  <c r="J9" i="6"/>
  <c r="H9" i="6"/>
  <c r="K9" i="6"/>
  <c r="L9" i="6"/>
  <c r="C8" i="6"/>
  <c r="K19" i="6"/>
  <c r="K8" i="6"/>
  <c r="C19" i="6"/>
  <c r="J8" i="6"/>
  <c r="S25" i="5"/>
  <c r="S26" i="5" s="1"/>
  <c r="S27" i="5" s="1"/>
  <c r="S28" i="5" s="1"/>
  <c r="S29" i="5" s="1"/>
  <c r="S30" i="5" s="1"/>
  <c r="S31" i="5" s="1"/>
  <c r="S32" i="5" s="1"/>
  <c r="E8" i="5"/>
  <c r="O9" i="5"/>
  <c r="D9" i="5"/>
  <c r="I8" i="5"/>
  <c r="E9" i="5"/>
  <c r="I9" i="5"/>
  <c r="C9" i="5"/>
  <c r="M9" i="5" s="1"/>
  <c r="H9" i="5"/>
  <c r="L9" i="5" s="1"/>
  <c r="D8" i="5"/>
  <c r="H8" i="5"/>
  <c r="N8" i="5"/>
  <c r="O8" i="5"/>
  <c r="A10" i="5"/>
  <c r="B9" i="5"/>
  <c r="B8" i="5"/>
  <c r="V10" i="6" l="1"/>
  <c r="I10" i="6" s="1"/>
  <c r="M10" i="6"/>
  <c r="F10" i="6"/>
  <c r="H10" i="6" s="1"/>
  <c r="V19" i="6"/>
  <c r="I19" i="6" s="1"/>
  <c r="F19" i="6"/>
  <c r="H19" i="6" s="1"/>
  <c r="M19" i="6"/>
  <c r="B20" i="6"/>
  <c r="J19" i="6"/>
  <c r="E19" i="6"/>
  <c r="N8" i="6"/>
  <c r="G19" i="6"/>
  <c r="P9" i="6"/>
  <c r="P8" i="6"/>
  <c r="Q9" i="6"/>
  <c r="L19" i="6"/>
  <c r="P19" i="6" s="1"/>
  <c r="D9" i="6"/>
  <c r="N9" i="6"/>
  <c r="O9" i="6"/>
  <c r="G20" i="6"/>
  <c r="E20" i="6"/>
  <c r="L20" i="6"/>
  <c r="J20" i="6"/>
  <c r="F20" i="6"/>
  <c r="H20" i="6" s="1"/>
  <c r="Q8" i="6"/>
  <c r="K10" i="6"/>
  <c r="L10" i="6"/>
  <c r="J10" i="6"/>
  <c r="C10" i="6"/>
  <c r="E10" i="6"/>
  <c r="G10" i="6"/>
  <c r="B11" i="6"/>
  <c r="I8" i="6"/>
  <c r="H8" i="6"/>
  <c r="D8" i="6" s="1"/>
  <c r="O8" i="6"/>
  <c r="G9" i="5"/>
  <c r="L8" i="5"/>
  <c r="M8" i="5"/>
  <c r="K9" i="5"/>
  <c r="J9" i="5"/>
  <c r="J8" i="5"/>
  <c r="K8" i="5"/>
  <c r="F9" i="5"/>
  <c r="F8" i="5"/>
  <c r="P9" i="5"/>
  <c r="D10" i="5"/>
  <c r="N10" i="5"/>
  <c r="H10" i="5"/>
  <c r="L10" i="5" s="1"/>
  <c r="C10" i="5"/>
  <c r="M10" i="5" s="1"/>
  <c r="I10" i="5"/>
  <c r="E10" i="5"/>
  <c r="G10" i="5" s="1"/>
  <c r="O10" i="5"/>
  <c r="G8" i="5"/>
  <c r="A11" i="5"/>
  <c r="B10" i="5"/>
  <c r="N19" i="6" l="1"/>
  <c r="V20" i="6"/>
  <c r="I20" i="6" s="1"/>
  <c r="D20" i="6" s="1"/>
  <c r="M20" i="6"/>
  <c r="O19" i="6"/>
  <c r="V11" i="6"/>
  <c r="M11" i="6"/>
  <c r="F11" i="6"/>
  <c r="B21" i="6"/>
  <c r="J21" i="6" s="1"/>
  <c r="K20" i="6"/>
  <c r="P20" i="6" s="1"/>
  <c r="C20" i="6"/>
  <c r="Q19" i="6"/>
  <c r="D19" i="6"/>
  <c r="K21" i="6"/>
  <c r="L21" i="6"/>
  <c r="E21" i="6"/>
  <c r="K11" i="6"/>
  <c r="L11" i="6"/>
  <c r="B12" i="6"/>
  <c r="C11" i="6"/>
  <c r="E11" i="6"/>
  <c r="G11" i="6"/>
  <c r="J11" i="6"/>
  <c r="N10" i="6"/>
  <c r="O10" i="6"/>
  <c r="D10" i="6"/>
  <c r="Q10" i="6"/>
  <c r="P10" i="6"/>
  <c r="P10" i="5"/>
  <c r="F10" i="5"/>
  <c r="N11" i="5"/>
  <c r="H11" i="5"/>
  <c r="L11" i="5" s="1"/>
  <c r="C11" i="5"/>
  <c r="M11" i="5" s="1"/>
  <c r="I11" i="5"/>
  <c r="D11" i="5"/>
  <c r="E11" i="5"/>
  <c r="O11" i="5"/>
  <c r="J10" i="5"/>
  <c r="K10" i="5"/>
  <c r="P8" i="5"/>
  <c r="A12" i="5"/>
  <c r="B11" i="5"/>
  <c r="N20" i="6" l="1"/>
  <c r="Q20" i="6"/>
  <c r="O20" i="6"/>
  <c r="F21" i="6"/>
  <c r="H21" i="6" s="1"/>
  <c r="G21" i="6"/>
  <c r="V12" i="6"/>
  <c r="I12" i="6" s="1"/>
  <c r="M12" i="6"/>
  <c r="F12" i="6"/>
  <c r="H12" i="6" s="1"/>
  <c r="V21" i="6"/>
  <c r="I21" i="6" s="1"/>
  <c r="M21" i="6"/>
  <c r="B22" i="6"/>
  <c r="C21" i="6"/>
  <c r="P11" i="6"/>
  <c r="H11" i="6"/>
  <c r="O21" i="6"/>
  <c r="J22" i="6"/>
  <c r="F22" i="6"/>
  <c r="H22" i="6" s="1"/>
  <c r="B23" i="6"/>
  <c r="K22" i="6"/>
  <c r="P21" i="6"/>
  <c r="N11" i="6"/>
  <c r="O11" i="6"/>
  <c r="I11" i="6"/>
  <c r="J12" i="6"/>
  <c r="E12" i="6"/>
  <c r="C12" i="6"/>
  <c r="G12" i="6"/>
  <c r="K12" i="6"/>
  <c r="L12" i="6"/>
  <c r="B13" i="6"/>
  <c r="Q11" i="6"/>
  <c r="G11" i="5"/>
  <c r="F11" i="5"/>
  <c r="P11" i="5"/>
  <c r="K11" i="5"/>
  <c r="J11" i="5"/>
  <c r="N12" i="5"/>
  <c r="H12" i="5"/>
  <c r="L12" i="5" s="1"/>
  <c r="C12" i="5"/>
  <c r="M12" i="5" s="1"/>
  <c r="O12" i="5"/>
  <c r="I12" i="5"/>
  <c r="E12" i="5"/>
  <c r="D12" i="5"/>
  <c r="A13" i="5"/>
  <c r="B12" i="5"/>
  <c r="D21" i="6" l="1"/>
  <c r="V22" i="6"/>
  <c r="I22" i="6" s="1"/>
  <c r="M22" i="6"/>
  <c r="C22" i="6"/>
  <c r="V13" i="6"/>
  <c r="F13" i="6"/>
  <c r="H13" i="6" s="1"/>
  <c r="M13" i="6"/>
  <c r="V23" i="6"/>
  <c r="I23" i="6" s="1"/>
  <c r="M23" i="6"/>
  <c r="N21" i="6"/>
  <c r="Q21" i="6"/>
  <c r="G22" i="6"/>
  <c r="E22" i="6"/>
  <c r="L22" i="6"/>
  <c r="P22" i="6" s="1"/>
  <c r="P12" i="6"/>
  <c r="O22" i="6"/>
  <c r="N22" i="6"/>
  <c r="N12" i="6"/>
  <c r="O12" i="6"/>
  <c r="G23" i="6"/>
  <c r="C23" i="6"/>
  <c r="E23" i="6"/>
  <c r="J23" i="6"/>
  <c r="F23" i="6"/>
  <c r="H23" i="6" s="1"/>
  <c r="K23" i="6"/>
  <c r="L23" i="6"/>
  <c r="B24" i="6"/>
  <c r="D11" i="6"/>
  <c r="G13" i="6"/>
  <c r="E13" i="6"/>
  <c r="B14" i="6"/>
  <c r="K13" i="6"/>
  <c r="L13" i="6"/>
  <c r="J13" i="6"/>
  <c r="C13" i="6"/>
  <c r="D12" i="6"/>
  <c r="Q12" i="6"/>
  <c r="F12" i="5"/>
  <c r="G12" i="5"/>
  <c r="K12" i="5"/>
  <c r="J12" i="5"/>
  <c r="P12" i="5"/>
  <c r="D13" i="5"/>
  <c r="N13" i="5"/>
  <c r="H13" i="5"/>
  <c r="L13" i="5" s="1"/>
  <c r="C13" i="5"/>
  <c r="M13" i="5" s="1"/>
  <c r="O13" i="5"/>
  <c r="I13" i="5"/>
  <c r="E13" i="5"/>
  <c r="G13" i="5" s="1"/>
  <c r="A14" i="5"/>
  <c r="B13" i="5"/>
  <c r="A20" i="5" s="1"/>
  <c r="D22" i="6" l="1"/>
  <c r="V14" i="6"/>
  <c r="V15" i="6" s="1"/>
  <c r="F14" i="6"/>
  <c r="H14" i="6" s="1"/>
  <c r="H15" i="6" s="1"/>
  <c r="M14" i="6"/>
  <c r="M15" i="6" s="1"/>
  <c r="V24" i="6"/>
  <c r="I24" i="6" s="1"/>
  <c r="M24" i="6"/>
  <c r="Q22" i="6"/>
  <c r="P23" i="6"/>
  <c r="I13" i="6"/>
  <c r="D13" i="6" s="1"/>
  <c r="N23" i="6"/>
  <c r="O23" i="6"/>
  <c r="Q13" i="6"/>
  <c r="E14" i="6"/>
  <c r="G14" i="6"/>
  <c r="G15" i="6" s="1"/>
  <c r="H4" i="6" s="1"/>
  <c r="J14" i="6"/>
  <c r="J15" i="6" s="1"/>
  <c r="N15" i="6" s="1"/>
  <c r="K14" i="6"/>
  <c r="K15" i="6" s="1"/>
  <c r="L14" i="6"/>
  <c r="I14" i="6"/>
  <c r="C14" i="6"/>
  <c r="D4" i="6"/>
  <c r="E4" i="6" s="1"/>
  <c r="D23" i="6"/>
  <c r="N13" i="6"/>
  <c r="O13" i="6"/>
  <c r="E24" i="6"/>
  <c r="G24" i="6"/>
  <c r="K24" i="6"/>
  <c r="B25" i="6"/>
  <c r="L24" i="6"/>
  <c r="J24" i="6"/>
  <c r="F24" i="6"/>
  <c r="H24" i="6" s="1"/>
  <c r="C24" i="6"/>
  <c r="P13" i="6"/>
  <c r="Q23" i="6"/>
  <c r="E19" i="5"/>
  <c r="O19" i="5"/>
  <c r="N19" i="5"/>
  <c r="I19" i="5"/>
  <c r="H19" i="5"/>
  <c r="L19" i="5" s="1"/>
  <c r="B19" i="5"/>
  <c r="D19" i="5"/>
  <c r="M19" i="5"/>
  <c r="J13" i="5"/>
  <c r="K13" i="5"/>
  <c r="P13" i="5"/>
  <c r="F13" i="5"/>
  <c r="B14" i="5"/>
  <c r="D14" i="5"/>
  <c r="N14" i="5"/>
  <c r="N15" i="5" s="1"/>
  <c r="G4" i="5" s="1"/>
  <c r="H14" i="5"/>
  <c r="L14" i="5" s="1"/>
  <c r="L15" i="5" s="1"/>
  <c r="C14" i="5"/>
  <c r="M14" i="5" s="1"/>
  <c r="M15" i="5" s="1"/>
  <c r="I14" i="5"/>
  <c r="E14" i="5"/>
  <c r="G14" i="5" s="1"/>
  <c r="O14" i="5"/>
  <c r="C4" i="5"/>
  <c r="D4" i="5" s="1"/>
  <c r="V25" i="6" l="1"/>
  <c r="V26" i="6" s="1"/>
  <c r="M25" i="6"/>
  <c r="M26" i="6" s="1"/>
  <c r="O15" i="6"/>
  <c r="L4" i="6"/>
  <c r="P14" i="6"/>
  <c r="Q24" i="6"/>
  <c r="N14" i="6"/>
  <c r="O14" i="6"/>
  <c r="Q14" i="6"/>
  <c r="N24" i="6"/>
  <c r="O24" i="6"/>
  <c r="C25" i="6"/>
  <c r="E25" i="6"/>
  <c r="E26" i="6" s="1"/>
  <c r="G25" i="6"/>
  <c r="G26" i="6" s="1"/>
  <c r="H5" i="6" s="1"/>
  <c r="I5" i="6" s="1"/>
  <c r="J25" i="6"/>
  <c r="F25" i="6"/>
  <c r="F26" i="6" s="1"/>
  <c r="K25" i="6"/>
  <c r="L25" i="6"/>
  <c r="D24" i="6"/>
  <c r="F15" i="6"/>
  <c r="N4" i="6"/>
  <c r="D14" i="6"/>
  <c r="D15" i="6" s="1"/>
  <c r="F4" i="6" s="1"/>
  <c r="E15" i="6"/>
  <c r="I15" i="6"/>
  <c r="P24" i="6"/>
  <c r="L15" i="6"/>
  <c r="F19" i="5"/>
  <c r="I20" i="5"/>
  <c r="C20" i="5"/>
  <c r="M20" i="5" s="1"/>
  <c r="N20" i="5"/>
  <c r="O20" i="5"/>
  <c r="A21" i="5"/>
  <c r="H20" i="5"/>
  <c r="L20" i="5" s="1"/>
  <c r="E20" i="5"/>
  <c r="D20" i="5"/>
  <c r="B20" i="5"/>
  <c r="J19" i="5"/>
  <c r="K19" i="5"/>
  <c r="G19" i="5"/>
  <c r="P19" i="5"/>
  <c r="P26" i="5" s="1"/>
  <c r="E5" i="5" s="1"/>
  <c r="J14" i="5"/>
  <c r="K14" i="5"/>
  <c r="I15" i="5"/>
  <c r="P14" i="5"/>
  <c r="O15" i="5"/>
  <c r="F14" i="5"/>
  <c r="H15" i="5"/>
  <c r="E15" i="5"/>
  <c r="K4" i="5" s="1"/>
  <c r="C15" i="5"/>
  <c r="M4" i="5" s="1"/>
  <c r="D15" i="5"/>
  <c r="O25" i="6" l="1"/>
  <c r="P25" i="6"/>
  <c r="Q15" i="6"/>
  <c r="Q25" i="6"/>
  <c r="L26" i="6"/>
  <c r="N25" i="6"/>
  <c r="J26" i="6"/>
  <c r="K26" i="6"/>
  <c r="P4" i="6"/>
  <c r="I25" i="6"/>
  <c r="I26" i="6" s="1"/>
  <c r="N5" i="6"/>
  <c r="O5" i="6" s="1"/>
  <c r="H25" i="6"/>
  <c r="H26" i="6" s="1"/>
  <c r="J5" i="6"/>
  <c r="P15" i="6"/>
  <c r="J4" i="6"/>
  <c r="D5" i="6"/>
  <c r="E5" i="6" s="1"/>
  <c r="P20" i="5"/>
  <c r="G20" i="5"/>
  <c r="C21" i="5"/>
  <c r="M21" i="5" s="1"/>
  <c r="N21" i="5"/>
  <c r="I21" i="5"/>
  <c r="D21" i="5"/>
  <c r="H21" i="5"/>
  <c r="L21" i="5" s="1"/>
  <c r="A22" i="5"/>
  <c r="E21" i="5"/>
  <c r="B21" i="5"/>
  <c r="O21" i="5"/>
  <c r="P15" i="5"/>
  <c r="E4" i="5" s="1"/>
  <c r="F5" i="5" s="1"/>
  <c r="K20" i="5"/>
  <c r="J20" i="5"/>
  <c r="F20" i="5"/>
  <c r="C5" i="5"/>
  <c r="D5" i="5" s="1"/>
  <c r="I4" i="5"/>
  <c r="F15" i="5"/>
  <c r="G15" i="5"/>
  <c r="K15" i="5"/>
  <c r="O4" i="5" s="1"/>
  <c r="J15" i="5"/>
  <c r="P26" i="6" l="1"/>
  <c r="O26" i="6"/>
  <c r="K5" i="6"/>
  <c r="D25" i="6"/>
  <c r="L5" i="6"/>
  <c r="M5" i="6" s="1"/>
  <c r="N26" i="6"/>
  <c r="P5" i="6" s="1"/>
  <c r="Q5" i="6" s="1"/>
  <c r="Q26" i="6"/>
  <c r="G21" i="5"/>
  <c r="F21" i="5"/>
  <c r="K21" i="5"/>
  <c r="J21" i="5"/>
  <c r="P21" i="5"/>
  <c r="N22" i="5"/>
  <c r="B22" i="5"/>
  <c r="A23" i="5"/>
  <c r="D22" i="5"/>
  <c r="O22" i="5"/>
  <c r="H22" i="5"/>
  <c r="L22" i="5" s="1"/>
  <c r="I22" i="5"/>
  <c r="E22" i="5"/>
  <c r="G22" i="5" s="1"/>
  <c r="C22" i="5"/>
  <c r="D26" i="6" l="1"/>
  <c r="F5" i="6" s="1"/>
  <c r="G5" i="6" s="1"/>
  <c r="J22" i="5"/>
  <c r="K22" i="5"/>
  <c r="M22" i="5"/>
  <c r="P22" i="5" s="1"/>
  <c r="F22" i="5"/>
  <c r="B23" i="5"/>
  <c r="A24" i="5"/>
  <c r="O23" i="5"/>
  <c r="I23" i="5"/>
  <c r="H23" i="5"/>
  <c r="L23" i="5" s="1"/>
  <c r="E23" i="5"/>
  <c r="D23" i="5"/>
  <c r="N23" i="5"/>
  <c r="C23" i="5"/>
  <c r="M23" i="5" s="1"/>
  <c r="F23" i="5" l="1"/>
  <c r="G23" i="5"/>
  <c r="P23" i="5"/>
  <c r="J23" i="5"/>
  <c r="K23" i="5"/>
  <c r="H24" i="5"/>
  <c r="L24" i="5" s="1"/>
  <c r="N24" i="5"/>
  <c r="A25" i="5"/>
  <c r="I24" i="5"/>
  <c r="C24" i="5"/>
  <c r="M24" i="5" s="1"/>
  <c r="B24" i="5"/>
  <c r="O24" i="5"/>
  <c r="E24" i="5"/>
  <c r="D24" i="5"/>
  <c r="P24" i="5" l="1"/>
  <c r="F24" i="5"/>
  <c r="G24" i="5"/>
  <c r="J24" i="5"/>
  <c r="K24" i="5"/>
  <c r="D25" i="5"/>
  <c r="D26" i="5" s="1"/>
  <c r="C25" i="5"/>
  <c r="M25" i="5" s="1"/>
  <c r="M26" i="5" s="1"/>
  <c r="B25" i="5"/>
  <c r="I25" i="5"/>
  <c r="O25" i="5"/>
  <c r="N25" i="5"/>
  <c r="N26" i="5" s="1"/>
  <c r="H25" i="5"/>
  <c r="E25" i="5"/>
  <c r="C26" i="5" l="1"/>
  <c r="M5" i="5" s="1"/>
  <c r="N5" i="5" s="1"/>
  <c r="G25" i="5"/>
  <c r="L25" i="5"/>
  <c r="L26" i="5" s="1"/>
  <c r="H26" i="5"/>
  <c r="O26" i="5"/>
  <c r="P25" i="5"/>
  <c r="J25" i="5"/>
  <c r="K25" i="5"/>
  <c r="E26" i="5"/>
  <c r="G26" i="5" s="1"/>
  <c r="F26" i="5"/>
  <c r="F25" i="5"/>
  <c r="I26" i="5"/>
  <c r="K26" i="5" l="1"/>
  <c r="O5" i="5" s="1"/>
  <c r="P5" i="5" s="1"/>
  <c r="J2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<sst xmlns="http://schemas.openxmlformats.org/spreadsheetml/2006/main" count="3666" uniqueCount="168">
  <si>
    <t>日期</t>
    <phoneticPr fontId="2" type="noConversion"/>
  </si>
  <si>
    <t>业务组</t>
    <phoneticPr fontId="2" type="noConversion"/>
  </si>
  <si>
    <t>成交额</t>
  </si>
  <si>
    <t>应收利息</t>
  </si>
  <si>
    <t>逾期金额</t>
    <phoneticPr fontId="2" type="noConversion"/>
  </si>
  <si>
    <t>北部战区-北京-北京三组</t>
  </si>
  <si>
    <t>北部战区-北京-北京四组</t>
  </si>
  <si>
    <t>北部战区-北京-北京一组</t>
  </si>
  <si>
    <t>北部战区-天津-天津一组</t>
  </si>
  <si>
    <t>东部战区-杭州-杭州二组</t>
  </si>
  <si>
    <t>东部战区-杭州-杭州三组</t>
  </si>
  <si>
    <t>东部战区-杭州-杭州一组</t>
  </si>
  <si>
    <t>东部战区-合肥-合肥二组</t>
  </si>
  <si>
    <t>东部战区-合肥-合肥一组</t>
  </si>
  <si>
    <t>东部战区-南京-南京二组</t>
  </si>
  <si>
    <t>东部战区-南京-南京三组</t>
  </si>
  <si>
    <t>东部战区-南京-南京四组</t>
  </si>
  <si>
    <t>东部战区-南京-南京一组</t>
  </si>
  <si>
    <t>东部战区-上海-上海二组</t>
  </si>
  <si>
    <t>东部战区-上海-上海三组</t>
  </si>
  <si>
    <t>东部战区-上海-上海一组</t>
  </si>
  <si>
    <t>东部战区-苏州-苏州二组</t>
  </si>
  <si>
    <t>东部战区-苏州-苏州三组</t>
  </si>
  <si>
    <t>东部战区-苏州-苏州一组</t>
  </si>
  <si>
    <t>南部战区-广州-广州二组</t>
  </si>
  <si>
    <t>南部战区-广州-广州三组</t>
  </si>
  <si>
    <t>南部战区-广州-广州一组</t>
  </si>
  <si>
    <t>南部战区-深圳-深圳一组</t>
  </si>
  <si>
    <t>西部战区-成都-成都二组</t>
  </si>
  <si>
    <t>西部战区-成都-成都一组</t>
  </si>
  <si>
    <t>西部战区-武汉-武汉一组</t>
  </si>
  <si>
    <t>西部战区-西安-西安一组</t>
  </si>
  <si>
    <t>西部战区-重庆-重庆一组</t>
  </si>
  <si>
    <t>北部战区-北京-北京二组</t>
  </si>
  <si>
    <t>东部战区</t>
    <phoneticPr fontId="2" type="noConversion"/>
  </si>
  <si>
    <t>西部战区</t>
    <phoneticPr fontId="2" type="noConversion"/>
  </si>
  <si>
    <t>南部战区</t>
    <phoneticPr fontId="2" type="noConversion"/>
  </si>
  <si>
    <t>北部战区</t>
    <phoneticPr fontId="2" type="noConversion"/>
  </si>
  <si>
    <t>战区经理</t>
    <phoneticPr fontId="2" type="noConversion"/>
  </si>
  <si>
    <t>江永</t>
    <phoneticPr fontId="2" type="noConversion"/>
  </si>
  <si>
    <t>田楠</t>
    <phoneticPr fontId="2" type="noConversion"/>
  </si>
  <si>
    <t>高安平</t>
    <phoneticPr fontId="2" type="noConversion"/>
  </si>
  <si>
    <t>沈乐欣</t>
    <phoneticPr fontId="2" type="noConversion"/>
  </si>
  <si>
    <t>战区等级</t>
    <phoneticPr fontId="2" type="noConversion"/>
  </si>
  <si>
    <t>战区编号</t>
    <phoneticPr fontId="2" type="noConversion"/>
  </si>
  <si>
    <t>001</t>
    <phoneticPr fontId="2" type="noConversion"/>
  </si>
  <si>
    <t>002</t>
    <phoneticPr fontId="2" type="noConversion"/>
  </si>
  <si>
    <t>003</t>
  </si>
  <si>
    <t>003</t>
    <phoneticPr fontId="2" type="noConversion"/>
  </si>
  <si>
    <t>004</t>
  </si>
  <si>
    <t>004</t>
    <phoneticPr fontId="2" type="noConversion"/>
  </si>
  <si>
    <t>一级战区</t>
    <phoneticPr fontId="2" type="noConversion"/>
  </si>
  <si>
    <t>二级战区</t>
    <phoneticPr fontId="2" type="noConversion"/>
  </si>
  <si>
    <t>三级战区</t>
    <phoneticPr fontId="2" type="noConversion"/>
  </si>
  <si>
    <t>城市名称</t>
    <phoneticPr fontId="2" type="noConversion"/>
  </si>
  <si>
    <t>城市编号</t>
    <phoneticPr fontId="2" type="noConversion"/>
  </si>
  <si>
    <t>上海</t>
  </si>
  <si>
    <t>广州</t>
  </si>
  <si>
    <t>杭州</t>
  </si>
  <si>
    <t>南京</t>
  </si>
  <si>
    <t>合肥</t>
  </si>
  <si>
    <t>武汉</t>
  </si>
  <si>
    <t>北京</t>
  </si>
  <si>
    <t>深圳</t>
  </si>
  <si>
    <t>成都</t>
  </si>
  <si>
    <t>西安</t>
  </si>
  <si>
    <t>天津</t>
  </si>
  <si>
    <t>重庆</t>
  </si>
  <si>
    <t>005</t>
  </si>
  <si>
    <t>006</t>
  </si>
  <si>
    <t>007</t>
  </si>
  <si>
    <t>008</t>
  </si>
  <si>
    <t>009</t>
  </si>
  <si>
    <t>010</t>
  </si>
  <si>
    <t>011</t>
  </si>
  <si>
    <t>012</t>
  </si>
  <si>
    <t>城市经理</t>
    <phoneticPr fontId="2" type="noConversion"/>
  </si>
  <si>
    <t>孙乒</t>
    <phoneticPr fontId="2" type="noConversion"/>
  </si>
  <si>
    <t>吴刚</t>
    <phoneticPr fontId="2" type="noConversion"/>
  </si>
  <si>
    <t>王刚</t>
    <phoneticPr fontId="2" type="noConversion"/>
  </si>
  <si>
    <t>苏川</t>
    <phoneticPr fontId="2" type="noConversion"/>
  </si>
  <si>
    <t>冯谦</t>
    <phoneticPr fontId="2" type="noConversion"/>
  </si>
  <si>
    <t>叶超</t>
    <phoneticPr fontId="2" type="noConversion"/>
  </si>
  <si>
    <t>杜光亮</t>
    <phoneticPr fontId="2" type="noConversion"/>
  </si>
  <si>
    <t>侯阳冰</t>
    <phoneticPr fontId="2" type="noConversion"/>
  </si>
  <si>
    <t>范俊发</t>
    <phoneticPr fontId="2" type="noConversion"/>
  </si>
  <si>
    <t>高弘壮</t>
    <phoneticPr fontId="2" type="noConversion"/>
  </si>
  <si>
    <t>黄鹏天</t>
    <phoneticPr fontId="2" type="noConversion"/>
  </si>
  <si>
    <t>于子默</t>
    <phoneticPr fontId="2" type="noConversion"/>
  </si>
  <si>
    <t>战区名称</t>
    <phoneticPr fontId="2" type="noConversion"/>
  </si>
  <si>
    <t>城市等级</t>
    <phoneticPr fontId="2" type="noConversion"/>
  </si>
  <si>
    <t>一线</t>
    <phoneticPr fontId="2" type="noConversion"/>
  </si>
  <si>
    <t>二线</t>
    <phoneticPr fontId="2" type="noConversion"/>
  </si>
  <si>
    <t>平均月薪</t>
    <phoneticPr fontId="2" type="noConversion"/>
  </si>
  <si>
    <t>013</t>
  </si>
  <si>
    <t>苏州</t>
    <phoneticPr fontId="2" type="noConversion"/>
  </si>
  <si>
    <t>张建</t>
    <phoneticPr fontId="2" type="noConversion"/>
  </si>
  <si>
    <t>西部战区</t>
  </si>
  <si>
    <t>重庆一组</t>
  </si>
  <si>
    <t>西安一组</t>
  </si>
  <si>
    <t>武汉一组</t>
  </si>
  <si>
    <t>成都一组</t>
  </si>
  <si>
    <t>成都二组</t>
  </si>
  <si>
    <t>南部战区</t>
  </si>
  <si>
    <t>深圳一组</t>
  </si>
  <si>
    <t>广州一组</t>
  </si>
  <si>
    <t>广州三组</t>
  </si>
  <si>
    <t>广州二组</t>
  </si>
  <si>
    <t>东部战区</t>
  </si>
  <si>
    <t>苏州</t>
  </si>
  <si>
    <t>苏州一组</t>
  </si>
  <si>
    <t>苏州三组</t>
  </si>
  <si>
    <t>苏州二组</t>
  </si>
  <si>
    <t>上海一组</t>
  </si>
  <si>
    <t>上海三组</t>
  </si>
  <si>
    <t>上海二组</t>
  </si>
  <si>
    <t>南京一组</t>
  </si>
  <si>
    <t>南京四组</t>
  </si>
  <si>
    <t>南京三组</t>
  </si>
  <si>
    <t>南京二组</t>
  </si>
  <si>
    <t>合肥一组</t>
  </si>
  <si>
    <t>合肥二组</t>
  </si>
  <si>
    <t>杭州一组</t>
  </si>
  <si>
    <t>杭州三组</t>
  </si>
  <si>
    <t>杭州二组</t>
  </si>
  <si>
    <t>北部战区</t>
  </si>
  <si>
    <t>天津一组</t>
  </si>
  <si>
    <t>北京一组</t>
  </si>
  <si>
    <t>北京四组</t>
  </si>
  <si>
    <t>北京三组</t>
  </si>
  <si>
    <t>北京二组</t>
  </si>
  <si>
    <t>城市</t>
    <phoneticPr fontId="2" type="noConversion"/>
  </si>
  <si>
    <t>小组</t>
    <phoneticPr fontId="2" type="noConversion"/>
  </si>
  <si>
    <t>战区</t>
    <phoneticPr fontId="2" type="noConversion"/>
  </si>
  <si>
    <t>实名认证人数</t>
  </si>
  <si>
    <t>给额人数</t>
  </si>
  <si>
    <t>成交人数</t>
  </si>
  <si>
    <t>平均芝麻分</t>
  </si>
  <si>
    <t>注册人数</t>
    <phoneticPr fontId="2" type="noConversion"/>
  </si>
  <si>
    <t>互联网金融-数据分析周报</t>
    <phoneticPr fontId="2" type="noConversion"/>
  </si>
  <si>
    <t>数据时间</t>
    <phoneticPr fontId="2" type="noConversion"/>
  </si>
  <si>
    <t>至</t>
    <phoneticPr fontId="2" type="noConversion"/>
  </si>
  <si>
    <t>辅助列-日期</t>
    <phoneticPr fontId="2" type="noConversion"/>
  </si>
  <si>
    <t>月目标</t>
    <phoneticPr fontId="2" type="noConversion"/>
  </si>
  <si>
    <t>周目标</t>
    <phoneticPr fontId="2" type="noConversion"/>
  </si>
  <si>
    <t>目标</t>
    <phoneticPr fontId="2" type="noConversion"/>
  </si>
  <si>
    <t>总和</t>
  </si>
  <si>
    <t>总和</t>
    <phoneticPr fontId="2" type="noConversion"/>
  </si>
  <si>
    <t>星期</t>
    <phoneticPr fontId="2" type="noConversion"/>
  </si>
  <si>
    <t>戳额人数</t>
    <phoneticPr fontId="2" type="noConversion"/>
  </si>
  <si>
    <t>给额人数</t>
    <phoneticPr fontId="2" type="noConversion"/>
  </si>
  <si>
    <t xml:space="preserve">流量 </t>
    <phoneticPr fontId="2" type="noConversion"/>
  </si>
  <si>
    <t>戳额率</t>
    <phoneticPr fontId="2" type="noConversion"/>
  </si>
  <si>
    <t>给额率</t>
    <phoneticPr fontId="2" type="noConversion"/>
  </si>
  <si>
    <t>成交</t>
    <phoneticPr fontId="2" type="noConversion"/>
  </si>
  <si>
    <t>成交额</t>
    <phoneticPr fontId="2" type="noConversion"/>
  </si>
  <si>
    <t>成交人数</t>
    <phoneticPr fontId="2" type="noConversion"/>
  </si>
  <si>
    <t>给额成交率</t>
    <phoneticPr fontId="2" type="noConversion"/>
  </si>
  <si>
    <t>注册成交率</t>
    <phoneticPr fontId="2" type="noConversion"/>
  </si>
  <si>
    <t>成本</t>
    <phoneticPr fontId="2" type="noConversion"/>
  </si>
  <si>
    <t>资金成本</t>
    <phoneticPr fontId="2" type="noConversion"/>
  </si>
  <si>
    <t>获客成本</t>
    <phoneticPr fontId="2" type="noConversion"/>
  </si>
  <si>
    <t>风险</t>
    <phoneticPr fontId="2" type="noConversion"/>
  </si>
  <si>
    <t>利润</t>
    <phoneticPr fontId="2" type="noConversion"/>
  </si>
  <si>
    <t>应收利息</t>
    <phoneticPr fontId="2" type="noConversion"/>
  </si>
  <si>
    <t>前台毛利</t>
    <phoneticPr fontId="2" type="noConversion"/>
  </si>
  <si>
    <t>本周</t>
    <phoneticPr fontId="2" type="noConversion"/>
  </si>
  <si>
    <t>上周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</si>
</sst>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 * #,##0_ ;_ * \-#,##0_ ;_ * &quot;-&quot;??_ ;_ @_ "/>
    <numFmt numFmtId="177" formatCode="[$-804]aaa;@"/>
    <numFmt numFmtId="178" formatCode="_ * #,##0.00000_ ;_ * \-#,##0.00000_ ;_ * &quot;-&quot;??_ ;_ @_ "/>
    <numFmt numFmtId="179" formatCode="0.0%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2"/>
      <color theme="9"/>
      <name val="微软雅黑"/>
      <family val="2"/>
      <charset val="134"/>
    </font>
    <font>
      <b/>
      <sz val="18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31" fontId="0" fillId="0" borderId="0" xfId="0" applyNumberFormat="1"/>
    <xf numFmtId="3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4" fontId="0" fillId="0" borderId="0" xfId="0" applyNumberFormat="1"/>
    <xf numFmtId="176" fontId="0" fillId="0" borderId="0" xfId="2" applyNumberFormat="1" applyFont="1" applyAlignment="1"/>
    <xf numFmtId="177" fontId="0" fillId="0" borderId="0" xfId="0" applyNumberFormat="1"/>
    <xf numFmtId="2" fontId="0" fillId="0" borderId="0" xfId="0" applyNumberFormat="1"/>
    <xf numFmtId="1" fontId="0" fillId="0" borderId="0" xfId="2" applyNumberFormat="1" applyFont="1" applyAlignment="1"/>
    <xf numFmtId="1" fontId="0" fillId="0" borderId="0" xfId="0" applyNumberFormat="1"/>
    <xf numFmtId="176" fontId="0" fillId="0" borderId="0" xfId="0" applyNumberFormat="1"/>
    <xf numFmtId="178" fontId="0" fillId="0" borderId="0" xfId="2" applyNumberFormat="1" applyFont="1" applyAlignment="1"/>
    <xf numFmtId="0" fontId="4" fillId="0" borderId="0" xfId="0" applyFont="1"/>
    <xf numFmtId="176" fontId="4" fillId="0" borderId="0" xfId="2" applyNumberFormat="1" applyFont="1" applyAlignment="1"/>
    <xf numFmtId="0" fontId="5" fillId="0" borderId="0" xfId="0" applyFont="1"/>
    <xf numFmtId="0" fontId="4" fillId="0" borderId="2" xfId="0" applyFont="1" applyBorder="1"/>
    <xf numFmtId="176" fontId="4" fillId="0" borderId="0" xfId="2" applyNumberFormat="1" applyFont="1" applyBorder="1" applyAlignment="1"/>
    <xf numFmtId="179" fontId="4" fillId="0" borderId="0" xfId="3" applyNumberFormat="1" applyFont="1" applyBorder="1" applyAlignment="1"/>
    <xf numFmtId="179" fontId="4" fillId="0" borderId="4" xfId="3" applyNumberFormat="1" applyFont="1" applyBorder="1" applyAlignment="1"/>
    <xf numFmtId="0" fontId="4" fillId="0" borderId="5" xfId="0" applyFont="1" applyBorder="1"/>
    <xf numFmtId="179" fontId="4" fillId="0" borderId="5" xfId="3" applyNumberFormat="1" applyFont="1" applyBorder="1" applyAlignment="1"/>
    <xf numFmtId="179" fontId="4" fillId="0" borderId="6" xfId="3" applyNumberFormat="1" applyFont="1" applyBorder="1" applyAlignment="1"/>
    <xf numFmtId="176" fontId="4" fillId="0" borderId="8" xfId="2" applyNumberFormat="1" applyFont="1" applyBorder="1" applyAlignment="1"/>
    <xf numFmtId="179" fontId="4" fillId="0" borderId="8" xfId="3" applyNumberFormat="1" applyFont="1" applyBorder="1" applyAlignment="1"/>
    <xf numFmtId="179" fontId="4" fillId="0" borderId="9" xfId="3" applyNumberFormat="1" applyFont="1" applyBorder="1" applyAlignment="1"/>
    <xf numFmtId="176" fontId="4" fillId="0" borderId="1" xfId="2" applyNumberFormat="1" applyFont="1" applyBorder="1" applyAlignment="1"/>
    <xf numFmtId="0" fontId="4" fillId="0" borderId="1" xfId="0" applyFont="1" applyBorder="1"/>
    <xf numFmtId="14" fontId="4" fillId="0" borderId="10" xfId="0" applyNumberFormat="1" applyFont="1" applyBorder="1"/>
    <xf numFmtId="177" fontId="4" fillId="0" borderId="10" xfId="0" applyNumberFormat="1" applyFont="1" applyBorder="1"/>
    <xf numFmtId="176" fontId="5" fillId="0" borderId="2" xfId="0" applyNumberFormat="1" applyFont="1" applyBorder="1"/>
    <xf numFmtId="0" fontId="5" fillId="0" borderId="2" xfId="0" applyFont="1" applyBorder="1"/>
    <xf numFmtId="176" fontId="4" fillId="0" borderId="3" xfId="2" applyNumberFormat="1" applyFont="1" applyBorder="1" applyAlignment="1"/>
    <xf numFmtId="0" fontId="4" fillId="0" borderId="0" xfId="0" applyFont="1" applyBorder="1"/>
    <xf numFmtId="9" fontId="4" fillId="0" borderId="0" xfId="0" applyNumberFormat="1" applyFont="1" applyBorder="1"/>
    <xf numFmtId="1" fontId="5" fillId="0" borderId="0" xfId="0" applyNumberFormat="1" applyFont="1" applyBorder="1"/>
    <xf numFmtId="179" fontId="5" fillId="0" borderId="0" xfId="3" applyNumberFormat="1" applyFont="1" applyBorder="1" applyAlignment="1"/>
    <xf numFmtId="176" fontId="4" fillId="0" borderId="4" xfId="2" applyNumberFormat="1" applyFont="1" applyBorder="1" applyAlignment="1"/>
    <xf numFmtId="9" fontId="4" fillId="0" borderId="5" xfId="0" applyNumberFormat="1" applyFont="1" applyBorder="1"/>
    <xf numFmtId="1" fontId="5" fillId="0" borderId="5" xfId="0" applyNumberFormat="1" applyFont="1" applyBorder="1"/>
    <xf numFmtId="179" fontId="5" fillId="0" borderId="5" xfId="3" applyNumberFormat="1" applyFont="1" applyBorder="1" applyAlignment="1"/>
    <xf numFmtId="0" fontId="4" fillId="0" borderId="11" xfId="0" applyFont="1" applyBorder="1"/>
    <xf numFmtId="0" fontId="4" fillId="0" borderId="10" xfId="0" applyFont="1" applyBorder="1"/>
    <xf numFmtId="0" fontId="4" fillId="0" borderId="12" xfId="0" applyFont="1" applyBorder="1"/>
    <xf numFmtId="0" fontId="4" fillId="2" borderId="7" xfId="0" applyFont="1" applyFill="1" applyBorder="1"/>
    <xf numFmtId="14" fontId="4" fillId="2" borderId="8" xfId="0" applyNumberFormat="1" applyFont="1" applyFill="1" applyBorder="1"/>
    <xf numFmtId="0" fontId="4" fillId="2" borderId="8" xfId="0" applyFont="1" applyFill="1" applyBorder="1"/>
    <xf numFmtId="14" fontId="4" fillId="2" borderId="9" xfId="0" applyNumberFormat="1" applyFont="1" applyFill="1" applyBorder="1"/>
    <xf numFmtId="0" fontId="6" fillId="2" borderId="1" xfId="0" applyFont="1" applyFill="1" applyBorder="1"/>
    <xf numFmtId="176" fontId="6" fillId="2" borderId="8" xfId="2" applyNumberFormat="1" applyFont="1" applyFill="1" applyBorder="1" applyAlignment="1"/>
    <xf numFmtId="0" fontId="6" fillId="2" borderId="8" xfId="0" applyFont="1" applyFill="1" applyBorder="1"/>
    <xf numFmtId="0" fontId="6" fillId="2" borderId="9" xfId="0" applyFont="1" applyFill="1" applyBorder="1"/>
    <xf numFmtId="0" fontId="7" fillId="0" borderId="2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百分比" xfId="3" builtinId="5"/>
    <cellStyle name="常规" xfId="0" builtinId="0"/>
    <cellStyle name="常规 2" xfId="1" xr:uid="{23A0D1BE-1B68-4172-A66D-D951E594246D}"/>
    <cellStyle name="千位分隔" xfId="2" builtinId="3"/>
  </cellStyles>
  <dxfs count="383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b/>
        <i val="0"/>
        <u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celsior\Desktop\&#31532;&#20108;&#31456;-Excel&#24037;&#20316;&#22330;&#26223;&#23454;&#25112;\2.4&#33258;&#21160;&#21270;&#25253;&#34920;-8&#26376;&#33719;&#23458;&#25968;&#25454;-&#38750;&#20081;&#30721;.CSV" TargetMode="External"/><Relationship Id="rId1" Type="http://schemas.openxmlformats.org/officeDocument/2006/relationships/externalLinkPath" Target="2.4&#33258;&#21160;&#21270;&#25253;&#34920;-8&#26376;&#33719;&#23458;&#25968;&#25454;-&#38750;&#20081;&#30721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.4自动化报表-8月获客数据-非乱码"/>
    </sheetNames>
    <sheetDataSet>
      <sheetData sheetId="0">
        <row r="1">
          <cell r="A1" t="str">
            <v>日期</v>
          </cell>
          <cell r="B1" t="str">
            <v>业务组</v>
          </cell>
          <cell r="C1" t="str">
            <v>注册人数</v>
          </cell>
          <cell r="D1" t="str">
            <v>实名认证人数</v>
          </cell>
          <cell r="E1" t="str">
            <v>戳额人数</v>
          </cell>
          <cell r="F1" t="str">
            <v>给额人数</v>
          </cell>
          <cell r="G1" t="str">
            <v>成交人数</v>
          </cell>
          <cell r="H1" t="str">
            <v>平均芝麻分</v>
          </cell>
        </row>
        <row r="2">
          <cell r="A2">
            <v>44044</v>
          </cell>
          <cell r="B2" t="str">
            <v>西部战区-重庆-重庆一组</v>
          </cell>
          <cell r="C2">
            <v>1387</v>
          </cell>
          <cell r="D2">
            <v>1375</v>
          </cell>
          <cell r="E2">
            <v>1327</v>
          </cell>
          <cell r="F2">
            <v>836</v>
          </cell>
          <cell r="G2">
            <v>439</v>
          </cell>
          <cell r="H2">
            <v>688</v>
          </cell>
        </row>
        <row r="3">
          <cell r="A3">
            <v>44044</v>
          </cell>
          <cell r="B3" t="str">
            <v>西部战区-西安-西安一组</v>
          </cell>
          <cell r="C3">
            <v>3717</v>
          </cell>
          <cell r="D3">
            <v>3652</v>
          </cell>
          <cell r="E3">
            <v>3534</v>
          </cell>
          <cell r="F3">
            <v>2135</v>
          </cell>
          <cell r="G3">
            <v>1196</v>
          </cell>
          <cell r="H3">
            <v>691</v>
          </cell>
        </row>
        <row r="4">
          <cell r="A4">
            <v>44044</v>
          </cell>
          <cell r="B4" t="str">
            <v>西部战区-武汉-武汉一组</v>
          </cell>
          <cell r="C4">
            <v>2052</v>
          </cell>
          <cell r="D4">
            <v>1990</v>
          </cell>
          <cell r="E4">
            <v>1900</v>
          </cell>
          <cell r="F4">
            <v>1211</v>
          </cell>
          <cell r="G4">
            <v>553</v>
          </cell>
          <cell r="H4">
            <v>700</v>
          </cell>
        </row>
        <row r="5">
          <cell r="A5">
            <v>44044</v>
          </cell>
          <cell r="B5" t="str">
            <v>西部战区-成都-成都一组</v>
          </cell>
          <cell r="C5">
            <v>2179</v>
          </cell>
          <cell r="D5">
            <v>2129</v>
          </cell>
          <cell r="E5">
            <v>2053</v>
          </cell>
          <cell r="F5">
            <v>1330</v>
          </cell>
          <cell r="G5">
            <v>782</v>
          </cell>
          <cell r="H5">
            <v>692</v>
          </cell>
        </row>
        <row r="6">
          <cell r="A6">
            <v>44044</v>
          </cell>
          <cell r="B6" t="str">
            <v>西部战区-成都-成都二组</v>
          </cell>
          <cell r="C6">
            <v>672</v>
          </cell>
          <cell r="D6">
            <v>662</v>
          </cell>
          <cell r="E6">
            <v>643</v>
          </cell>
          <cell r="F6">
            <v>443</v>
          </cell>
          <cell r="G6">
            <v>209</v>
          </cell>
          <cell r="H6">
            <v>692</v>
          </cell>
        </row>
        <row r="7">
          <cell r="A7">
            <v>44044</v>
          </cell>
          <cell r="B7" t="str">
            <v>南部战区-深圳-深圳一组</v>
          </cell>
          <cell r="C7">
            <v>3120</v>
          </cell>
          <cell r="D7">
            <v>3018</v>
          </cell>
          <cell r="E7">
            <v>2877</v>
          </cell>
          <cell r="F7">
            <v>1701</v>
          </cell>
          <cell r="G7">
            <v>900</v>
          </cell>
          <cell r="H7">
            <v>689</v>
          </cell>
        </row>
        <row r="8">
          <cell r="A8">
            <v>44044</v>
          </cell>
          <cell r="B8" t="str">
            <v>南部战区-广州-广州一组</v>
          </cell>
          <cell r="C8">
            <v>4721</v>
          </cell>
          <cell r="D8">
            <v>4611</v>
          </cell>
          <cell r="E8">
            <v>4412</v>
          </cell>
          <cell r="F8">
            <v>2726</v>
          </cell>
          <cell r="G8">
            <v>1527</v>
          </cell>
          <cell r="H8">
            <v>688</v>
          </cell>
        </row>
        <row r="9">
          <cell r="A9">
            <v>44044</v>
          </cell>
          <cell r="B9" t="str">
            <v>南部战区-广州-广州三组</v>
          </cell>
          <cell r="C9">
            <v>3526</v>
          </cell>
          <cell r="D9">
            <v>3433</v>
          </cell>
          <cell r="E9">
            <v>3267</v>
          </cell>
          <cell r="F9">
            <v>1946</v>
          </cell>
          <cell r="G9">
            <v>1101</v>
          </cell>
          <cell r="H9">
            <v>688</v>
          </cell>
        </row>
        <row r="10">
          <cell r="A10">
            <v>44044</v>
          </cell>
          <cell r="B10" t="str">
            <v>南部战区-广州-广州二组</v>
          </cell>
          <cell r="C10">
            <v>3815</v>
          </cell>
          <cell r="D10">
            <v>3753</v>
          </cell>
          <cell r="E10">
            <v>3594</v>
          </cell>
          <cell r="F10">
            <v>2217</v>
          </cell>
          <cell r="G10">
            <v>1296</v>
          </cell>
          <cell r="H10">
            <v>690</v>
          </cell>
        </row>
        <row r="11">
          <cell r="A11">
            <v>44044</v>
          </cell>
          <cell r="B11" t="str">
            <v>东部战区-苏州-苏州一组</v>
          </cell>
          <cell r="C11">
            <v>4758</v>
          </cell>
          <cell r="D11">
            <v>4593</v>
          </cell>
          <cell r="E11">
            <v>4398</v>
          </cell>
          <cell r="F11">
            <v>2673</v>
          </cell>
          <cell r="G11">
            <v>1352</v>
          </cell>
          <cell r="H11">
            <v>693</v>
          </cell>
        </row>
        <row r="12">
          <cell r="A12">
            <v>44044</v>
          </cell>
          <cell r="B12" t="str">
            <v>东部战区-苏州-苏州三组</v>
          </cell>
          <cell r="C12">
            <v>361</v>
          </cell>
          <cell r="D12">
            <v>355</v>
          </cell>
          <cell r="E12">
            <v>325</v>
          </cell>
          <cell r="F12">
            <v>193</v>
          </cell>
          <cell r="G12">
            <v>116</v>
          </cell>
          <cell r="H12">
            <v>691</v>
          </cell>
        </row>
        <row r="13">
          <cell r="A13">
            <v>44044</v>
          </cell>
          <cell r="B13" t="str">
            <v>东部战区-苏州-苏州二组</v>
          </cell>
          <cell r="C13">
            <v>4992</v>
          </cell>
          <cell r="D13">
            <v>4821</v>
          </cell>
          <cell r="E13">
            <v>4607</v>
          </cell>
          <cell r="F13">
            <v>2650</v>
          </cell>
          <cell r="G13">
            <v>1438</v>
          </cell>
          <cell r="H13">
            <v>695</v>
          </cell>
        </row>
        <row r="14">
          <cell r="A14">
            <v>44044</v>
          </cell>
          <cell r="B14" t="str">
            <v>东部战区-上海-上海一组</v>
          </cell>
          <cell r="C14">
            <v>4806</v>
          </cell>
          <cell r="D14">
            <v>4669</v>
          </cell>
          <cell r="E14">
            <v>4511</v>
          </cell>
          <cell r="F14">
            <v>2737</v>
          </cell>
          <cell r="G14">
            <v>1527</v>
          </cell>
          <cell r="H14">
            <v>693</v>
          </cell>
        </row>
        <row r="15">
          <cell r="A15">
            <v>44044</v>
          </cell>
          <cell r="B15" t="str">
            <v>东部战区-上海-上海三组</v>
          </cell>
          <cell r="C15">
            <v>2925</v>
          </cell>
          <cell r="D15">
            <v>2858</v>
          </cell>
          <cell r="E15">
            <v>2747</v>
          </cell>
          <cell r="F15">
            <v>1612</v>
          </cell>
          <cell r="G15">
            <v>968</v>
          </cell>
          <cell r="H15">
            <v>696</v>
          </cell>
        </row>
        <row r="16">
          <cell r="A16">
            <v>44044</v>
          </cell>
          <cell r="B16" t="str">
            <v>东部战区-上海-上海二组</v>
          </cell>
          <cell r="C16">
            <v>3438</v>
          </cell>
          <cell r="D16">
            <v>3382</v>
          </cell>
          <cell r="E16">
            <v>3243</v>
          </cell>
          <cell r="F16">
            <v>1962</v>
          </cell>
          <cell r="G16">
            <v>1044</v>
          </cell>
          <cell r="H16">
            <v>690</v>
          </cell>
        </row>
        <row r="17">
          <cell r="A17">
            <v>44044</v>
          </cell>
          <cell r="B17" t="str">
            <v>东部战区-南京-南京一组</v>
          </cell>
          <cell r="C17">
            <v>2758</v>
          </cell>
          <cell r="D17">
            <v>2709</v>
          </cell>
          <cell r="E17">
            <v>2630</v>
          </cell>
          <cell r="F17">
            <v>1526</v>
          </cell>
          <cell r="G17">
            <v>882</v>
          </cell>
          <cell r="H17">
            <v>696</v>
          </cell>
        </row>
        <row r="18">
          <cell r="A18">
            <v>44044</v>
          </cell>
          <cell r="B18" t="str">
            <v>东部战区-南京-南京四组</v>
          </cell>
          <cell r="C18">
            <v>1701</v>
          </cell>
          <cell r="D18">
            <v>1648</v>
          </cell>
          <cell r="E18">
            <v>1570</v>
          </cell>
          <cell r="F18">
            <v>867</v>
          </cell>
          <cell r="G18">
            <v>479</v>
          </cell>
          <cell r="H18">
            <v>695</v>
          </cell>
        </row>
        <row r="19">
          <cell r="A19">
            <v>44044</v>
          </cell>
          <cell r="B19" t="str">
            <v>东部战区-南京-南京三组</v>
          </cell>
          <cell r="C19">
            <v>2373</v>
          </cell>
          <cell r="D19">
            <v>2334</v>
          </cell>
          <cell r="E19">
            <v>2249</v>
          </cell>
          <cell r="F19">
            <v>1350</v>
          </cell>
          <cell r="G19">
            <v>694</v>
          </cell>
          <cell r="H19">
            <v>697</v>
          </cell>
        </row>
        <row r="20">
          <cell r="A20">
            <v>44044</v>
          </cell>
          <cell r="B20" t="str">
            <v>东部战区-南京-南京二组</v>
          </cell>
          <cell r="C20">
            <v>1815</v>
          </cell>
          <cell r="D20">
            <v>1759</v>
          </cell>
          <cell r="E20">
            <v>1685</v>
          </cell>
          <cell r="F20">
            <v>1060</v>
          </cell>
          <cell r="G20">
            <v>545</v>
          </cell>
          <cell r="H20">
            <v>699</v>
          </cell>
        </row>
        <row r="21">
          <cell r="A21">
            <v>44044</v>
          </cell>
          <cell r="B21" t="str">
            <v>东部战区-合肥-合肥一组</v>
          </cell>
          <cell r="C21">
            <v>2825</v>
          </cell>
          <cell r="D21">
            <v>2758</v>
          </cell>
          <cell r="E21">
            <v>2637</v>
          </cell>
          <cell r="F21">
            <v>1669</v>
          </cell>
          <cell r="G21">
            <v>863</v>
          </cell>
          <cell r="H21">
            <v>698</v>
          </cell>
        </row>
        <row r="22">
          <cell r="A22">
            <v>44044</v>
          </cell>
          <cell r="B22" t="str">
            <v>东部战区-合肥-合肥二组</v>
          </cell>
          <cell r="C22">
            <v>1469</v>
          </cell>
          <cell r="D22">
            <v>1443</v>
          </cell>
          <cell r="E22">
            <v>1373</v>
          </cell>
          <cell r="F22">
            <v>873</v>
          </cell>
          <cell r="G22">
            <v>443</v>
          </cell>
          <cell r="H22">
            <v>696</v>
          </cell>
        </row>
        <row r="23">
          <cell r="A23">
            <v>44044</v>
          </cell>
          <cell r="B23" t="str">
            <v>东部战区-杭州-杭州一组</v>
          </cell>
          <cell r="C23">
            <v>3695</v>
          </cell>
          <cell r="D23">
            <v>3550</v>
          </cell>
          <cell r="E23">
            <v>3370</v>
          </cell>
          <cell r="F23">
            <v>1994</v>
          </cell>
          <cell r="G23">
            <v>991</v>
          </cell>
          <cell r="H23">
            <v>699</v>
          </cell>
        </row>
        <row r="24">
          <cell r="A24">
            <v>44044</v>
          </cell>
          <cell r="B24" t="str">
            <v>东部战区-杭州-杭州三组</v>
          </cell>
          <cell r="C24">
            <v>1773</v>
          </cell>
          <cell r="D24">
            <v>1738</v>
          </cell>
          <cell r="E24">
            <v>1690</v>
          </cell>
          <cell r="F24">
            <v>1017</v>
          </cell>
          <cell r="G24">
            <v>614</v>
          </cell>
          <cell r="H24">
            <v>701</v>
          </cell>
        </row>
        <row r="25">
          <cell r="A25">
            <v>44044</v>
          </cell>
          <cell r="B25" t="str">
            <v>东部战区-杭州-杭州二组</v>
          </cell>
          <cell r="C25">
            <v>3505</v>
          </cell>
          <cell r="D25">
            <v>3436</v>
          </cell>
          <cell r="E25">
            <v>3331</v>
          </cell>
          <cell r="F25">
            <v>1921</v>
          </cell>
          <cell r="G25">
            <v>1081</v>
          </cell>
          <cell r="H25">
            <v>694</v>
          </cell>
        </row>
        <row r="26">
          <cell r="A26">
            <v>44044</v>
          </cell>
          <cell r="B26" t="str">
            <v>北部战区-天津-天津一组</v>
          </cell>
          <cell r="C26">
            <v>1713</v>
          </cell>
          <cell r="D26">
            <v>1696</v>
          </cell>
          <cell r="E26">
            <v>1645</v>
          </cell>
          <cell r="F26">
            <v>884</v>
          </cell>
          <cell r="G26">
            <v>576</v>
          </cell>
          <cell r="H26">
            <v>684</v>
          </cell>
        </row>
        <row r="27">
          <cell r="A27">
            <v>44044</v>
          </cell>
          <cell r="B27" t="str">
            <v>北部战区-北京-北京一组</v>
          </cell>
          <cell r="C27">
            <v>132</v>
          </cell>
          <cell r="D27">
            <v>126</v>
          </cell>
          <cell r="E27">
            <v>117</v>
          </cell>
          <cell r="F27">
            <v>64</v>
          </cell>
          <cell r="G27">
            <v>33</v>
          </cell>
          <cell r="H27">
            <v>689</v>
          </cell>
        </row>
        <row r="28">
          <cell r="A28">
            <v>44044</v>
          </cell>
          <cell r="B28" t="str">
            <v>北部战区-北京-北京四组</v>
          </cell>
          <cell r="C28">
            <v>1721</v>
          </cell>
          <cell r="D28">
            <v>1698</v>
          </cell>
          <cell r="E28">
            <v>1663</v>
          </cell>
          <cell r="F28">
            <v>1003</v>
          </cell>
          <cell r="G28">
            <v>582</v>
          </cell>
          <cell r="H28">
            <v>688</v>
          </cell>
        </row>
        <row r="29">
          <cell r="A29">
            <v>44044</v>
          </cell>
          <cell r="B29" t="str">
            <v>北部战区-北京-北京三组</v>
          </cell>
          <cell r="C29">
            <v>2441</v>
          </cell>
          <cell r="D29">
            <v>2383</v>
          </cell>
          <cell r="E29">
            <v>2285</v>
          </cell>
          <cell r="F29">
            <v>1466</v>
          </cell>
          <cell r="G29">
            <v>758</v>
          </cell>
          <cell r="H29">
            <v>689</v>
          </cell>
        </row>
        <row r="30">
          <cell r="A30">
            <v>44045</v>
          </cell>
          <cell r="B30" t="str">
            <v>西部战区-重庆-重庆一组</v>
          </cell>
          <cell r="C30">
            <v>1387</v>
          </cell>
          <cell r="D30">
            <v>1375</v>
          </cell>
          <cell r="E30">
            <v>1327</v>
          </cell>
          <cell r="F30">
            <v>836</v>
          </cell>
          <cell r="G30">
            <v>439</v>
          </cell>
          <cell r="H30">
            <v>688</v>
          </cell>
        </row>
        <row r="31">
          <cell r="A31">
            <v>44045</v>
          </cell>
          <cell r="B31" t="str">
            <v>西部战区-西安-西安一组</v>
          </cell>
          <cell r="C31">
            <v>3016</v>
          </cell>
          <cell r="D31">
            <v>2962</v>
          </cell>
          <cell r="E31">
            <v>2862</v>
          </cell>
          <cell r="F31">
            <v>1722</v>
          </cell>
          <cell r="G31">
            <v>974</v>
          </cell>
          <cell r="H31">
            <v>692</v>
          </cell>
        </row>
        <row r="32">
          <cell r="A32">
            <v>44045</v>
          </cell>
          <cell r="B32" t="str">
            <v>西部战区-武汉-武汉一组</v>
          </cell>
          <cell r="C32">
            <v>1967</v>
          </cell>
          <cell r="D32">
            <v>1918</v>
          </cell>
          <cell r="E32">
            <v>1846</v>
          </cell>
          <cell r="F32">
            <v>1113</v>
          </cell>
          <cell r="G32">
            <v>582</v>
          </cell>
          <cell r="H32">
            <v>697</v>
          </cell>
        </row>
        <row r="33">
          <cell r="A33">
            <v>44045</v>
          </cell>
          <cell r="B33" t="str">
            <v>西部战区-成都-成都一组</v>
          </cell>
          <cell r="C33">
            <v>1690</v>
          </cell>
          <cell r="D33">
            <v>1665</v>
          </cell>
          <cell r="E33">
            <v>1617</v>
          </cell>
          <cell r="F33">
            <v>1046</v>
          </cell>
          <cell r="G33">
            <v>613</v>
          </cell>
          <cell r="H33">
            <v>689</v>
          </cell>
        </row>
        <row r="34">
          <cell r="A34">
            <v>44045</v>
          </cell>
          <cell r="B34" t="str">
            <v>西部战区-成都-成都二组</v>
          </cell>
          <cell r="C34">
            <v>672</v>
          </cell>
          <cell r="D34">
            <v>662</v>
          </cell>
          <cell r="E34">
            <v>643</v>
          </cell>
          <cell r="F34">
            <v>443</v>
          </cell>
          <cell r="G34">
            <v>209</v>
          </cell>
          <cell r="H34">
            <v>692</v>
          </cell>
        </row>
        <row r="35">
          <cell r="A35">
            <v>44045</v>
          </cell>
          <cell r="B35" t="str">
            <v>南部战区-深圳-深圳一组</v>
          </cell>
          <cell r="C35">
            <v>3120</v>
          </cell>
          <cell r="D35">
            <v>3018</v>
          </cell>
          <cell r="E35">
            <v>2877</v>
          </cell>
          <cell r="F35">
            <v>1701</v>
          </cell>
          <cell r="G35">
            <v>900</v>
          </cell>
          <cell r="H35">
            <v>689</v>
          </cell>
        </row>
        <row r="36">
          <cell r="A36">
            <v>44045</v>
          </cell>
          <cell r="B36" t="str">
            <v>南部战区-广州-广州一组</v>
          </cell>
          <cell r="C36">
            <v>5546</v>
          </cell>
          <cell r="D36">
            <v>5423</v>
          </cell>
          <cell r="E36">
            <v>5189</v>
          </cell>
          <cell r="F36">
            <v>3213</v>
          </cell>
          <cell r="G36">
            <v>1845</v>
          </cell>
          <cell r="H36">
            <v>688</v>
          </cell>
        </row>
        <row r="37">
          <cell r="A37">
            <v>44045</v>
          </cell>
          <cell r="B37" t="str">
            <v>南部战区-广州-广州三组</v>
          </cell>
          <cell r="C37">
            <v>3678</v>
          </cell>
          <cell r="D37">
            <v>3584</v>
          </cell>
          <cell r="E37">
            <v>3410</v>
          </cell>
          <cell r="F37">
            <v>2031</v>
          </cell>
          <cell r="G37">
            <v>1145</v>
          </cell>
          <cell r="H37">
            <v>688</v>
          </cell>
        </row>
        <row r="38">
          <cell r="A38">
            <v>44045</v>
          </cell>
          <cell r="B38" t="str">
            <v>南部战区-广州-广州二组</v>
          </cell>
          <cell r="C38">
            <v>3082</v>
          </cell>
          <cell r="D38">
            <v>3035</v>
          </cell>
          <cell r="E38">
            <v>2913</v>
          </cell>
          <cell r="F38">
            <v>1766</v>
          </cell>
          <cell r="G38">
            <v>1032</v>
          </cell>
          <cell r="H38">
            <v>689</v>
          </cell>
        </row>
        <row r="39">
          <cell r="A39">
            <v>44045</v>
          </cell>
          <cell r="B39" t="str">
            <v>东部战区-苏州-苏州一组</v>
          </cell>
          <cell r="C39">
            <v>5918</v>
          </cell>
          <cell r="D39">
            <v>5701</v>
          </cell>
          <cell r="E39">
            <v>5429</v>
          </cell>
          <cell r="F39">
            <v>3309</v>
          </cell>
          <cell r="G39">
            <v>1714</v>
          </cell>
          <cell r="H39">
            <v>694</v>
          </cell>
        </row>
        <row r="40">
          <cell r="A40">
            <v>44045</v>
          </cell>
          <cell r="B40" t="str">
            <v>东部战区-苏州-苏州三组</v>
          </cell>
          <cell r="C40">
            <v>361</v>
          </cell>
          <cell r="D40">
            <v>355</v>
          </cell>
          <cell r="E40">
            <v>325</v>
          </cell>
          <cell r="F40">
            <v>193</v>
          </cell>
          <cell r="G40">
            <v>116</v>
          </cell>
          <cell r="H40">
            <v>691</v>
          </cell>
        </row>
        <row r="41">
          <cell r="A41">
            <v>44045</v>
          </cell>
          <cell r="B41" t="str">
            <v>东部战区-苏州-苏州二组</v>
          </cell>
          <cell r="C41">
            <v>4955</v>
          </cell>
          <cell r="D41">
            <v>4724</v>
          </cell>
          <cell r="E41">
            <v>4490</v>
          </cell>
          <cell r="F41">
            <v>2640</v>
          </cell>
          <cell r="G41">
            <v>1457</v>
          </cell>
          <cell r="H41">
            <v>696</v>
          </cell>
        </row>
        <row r="42">
          <cell r="A42">
            <v>44045</v>
          </cell>
          <cell r="B42" t="str">
            <v>东部战区-上海-上海一组</v>
          </cell>
          <cell r="C42">
            <v>4503</v>
          </cell>
          <cell r="D42">
            <v>4374</v>
          </cell>
          <cell r="E42">
            <v>4234</v>
          </cell>
          <cell r="F42">
            <v>2605</v>
          </cell>
          <cell r="G42">
            <v>1491</v>
          </cell>
          <cell r="H42">
            <v>694</v>
          </cell>
        </row>
        <row r="43">
          <cell r="A43">
            <v>44045</v>
          </cell>
          <cell r="B43" t="str">
            <v>东部战区-上海-上海三组</v>
          </cell>
          <cell r="C43">
            <v>1939</v>
          </cell>
          <cell r="D43">
            <v>1888</v>
          </cell>
          <cell r="E43">
            <v>1817</v>
          </cell>
          <cell r="F43">
            <v>1127</v>
          </cell>
          <cell r="G43">
            <v>722</v>
          </cell>
          <cell r="H43">
            <v>699</v>
          </cell>
        </row>
        <row r="44">
          <cell r="A44">
            <v>44045</v>
          </cell>
          <cell r="B44" t="str">
            <v>东部战区-上海-上海二组</v>
          </cell>
          <cell r="C44">
            <v>3473</v>
          </cell>
          <cell r="D44">
            <v>3417</v>
          </cell>
          <cell r="E44">
            <v>3275</v>
          </cell>
          <cell r="F44">
            <v>1979</v>
          </cell>
          <cell r="G44">
            <v>1047</v>
          </cell>
          <cell r="H44">
            <v>690</v>
          </cell>
        </row>
        <row r="45">
          <cell r="A45">
            <v>44045</v>
          </cell>
          <cell r="B45" t="str">
            <v>东部战区-南京-南京一组</v>
          </cell>
          <cell r="C45">
            <v>2043</v>
          </cell>
          <cell r="D45">
            <v>2008</v>
          </cell>
          <cell r="E45">
            <v>1945</v>
          </cell>
          <cell r="F45">
            <v>1115</v>
          </cell>
          <cell r="G45">
            <v>633</v>
          </cell>
          <cell r="H45">
            <v>695</v>
          </cell>
        </row>
        <row r="46">
          <cell r="A46">
            <v>44045</v>
          </cell>
          <cell r="B46" t="str">
            <v>东部战区-南京-南京四组</v>
          </cell>
          <cell r="C46">
            <v>998</v>
          </cell>
          <cell r="D46">
            <v>974</v>
          </cell>
          <cell r="E46">
            <v>935</v>
          </cell>
          <cell r="F46">
            <v>513</v>
          </cell>
          <cell r="G46">
            <v>295</v>
          </cell>
          <cell r="H46">
            <v>694</v>
          </cell>
        </row>
        <row r="47">
          <cell r="A47">
            <v>44045</v>
          </cell>
          <cell r="B47" t="str">
            <v>东部战区-南京-南京三组</v>
          </cell>
          <cell r="C47">
            <v>1421</v>
          </cell>
          <cell r="D47">
            <v>1387</v>
          </cell>
          <cell r="E47">
            <v>1330</v>
          </cell>
          <cell r="F47">
            <v>830</v>
          </cell>
          <cell r="G47">
            <v>383</v>
          </cell>
          <cell r="H47">
            <v>697</v>
          </cell>
        </row>
        <row r="48">
          <cell r="A48">
            <v>44045</v>
          </cell>
          <cell r="B48" t="str">
            <v>东部战区-南京-南京二组</v>
          </cell>
          <cell r="C48">
            <v>482</v>
          </cell>
          <cell r="D48">
            <v>475</v>
          </cell>
          <cell r="E48">
            <v>453</v>
          </cell>
          <cell r="F48">
            <v>298</v>
          </cell>
          <cell r="G48">
            <v>141</v>
          </cell>
          <cell r="H48">
            <v>695</v>
          </cell>
        </row>
        <row r="49">
          <cell r="A49">
            <v>44045</v>
          </cell>
          <cell r="B49" t="str">
            <v>东部战区-合肥-合肥一组</v>
          </cell>
          <cell r="C49">
            <v>5249</v>
          </cell>
          <cell r="D49">
            <v>5123</v>
          </cell>
          <cell r="E49">
            <v>4884</v>
          </cell>
          <cell r="F49">
            <v>3073</v>
          </cell>
          <cell r="G49">
            <v>1440</v>
          </cell>
          <cell r="H49">
            <v>697</v>
          </cell>
        </row>
        <row r="50">
          <cell r="A50">
            <v>44045</v>
          </cell>
          <cell r="B50" t="str">
            <v>东部战区-合肥-合肥二组</v>
          </cell>
          <cell r="C50">
            <v>1476</v>
          </cell>
          <cell r="D50">
            <v>1448</v>
          </cell>
          <cell r="E50">
            <v>1379</v>
          </cell>
          <cell r="F50">
            <v>872</v>
          </cell>
          <cell r="G50">
            <v>445</v>
          </cell>
          <cell r="H50">
            <v>696</v>
          </cell>
        </row>
        <row r="51">
          <cell r="A51">
            <v>44045</v>
          </cell>
          <cell r="B51" t="str">
            <v>东部战区-杭州-杭州一组</v>
          </cell>
          <cell r="C51">
            <v>4999</v>
          </cell>
          <cell r="D51">
            <v>4808</v>
          </cell>
          <cell r="E51">
            <v>4560</v>
          </cell>
          <cell r="F51">
            <v>2806</v>
          </cell>
          <cell r="G51">
            <v>1400</v>
          </cell>
          <cell r="H51">
            <v>702</v>
          </cell>
        </row>
        <row r="52">
          <cell r="A52">
            <v>44045</v>
          </cell>
          <cell r="B52" t="str">
            <v>东部战区-杭州-杭州三组</v>
          </cell>
          <cell r="C52">
            <v>1773</v>
          </cell>
          <cell r="D52">
            <v>1738</v>
          </cell>
          <cell r="E52">
            <v>1690</v>
          </cell>
          <cell r="F52">
            <v>1017</v>
          </cell>
          <cell r="G52">
            <v>614</v>
          </cell>
          <cell r="H52">
            <v>701</v>
          </cell>
        </row>
        <row r="53">
          <cell r="A53">
            <v>44045</v>
          </cell>
          <cell r="B53" t="str">
            <v>东部战区-杭州-杭州二组</v>
          </cell>
          <cell r="C53">
            <v>4690</v>
          </cell>
          <cell r="D53">
            <v>4577</v>
          </cell>
          <cell r="E53">
            <v>4431</v>
          </cell>
          <cell r="F53">
            <v>2485</v>
          </cell>
          <cell r="G53">
            <v>1443</v>
          </cell>
          <cell r="H53">
            <v>694</v>
          </cell>
        </row>
        <row r="54">
          <cell r="A54">
            <v>44045</v>
          </cell>
          <cell r="B54" t="str">
            <v>北部战区-天津-天津一组</v>
          </cell>
          <cell r="C54">
            <v>1674</v>
          </cell>
          <cell r="D54">
            <v>1659</v>
          </cell>
          <cell r="E54">
            <v>1612</v>
          </cell>
          <cell r="F54">
            <v>862</v>
          </cell>
          <cell r="G54">
            <v>550</v>
          </cell>
          <cell r="H54">
            <v>684</v>
          </cell>
        </row>
        <row r="55">
          <cell r="A55">
            <v>44045</v>
          </cell>
          <cell r="B55" t="str">
            <v>北部战区-北京-北京一组</v>
          </cell>
          <cell r="C55">
            <v>95</v>
          </cell>
          <cell r="D55">
            <v>91</v>
          </cell>
          <cell r="E55">
            <v>85</v>
          </cell>
          <cell r="F55">
            <v>45</v>
          </cell>
          <cell r="G55">
            <v>25</v>
          </cell>
          <cell r="H55">
            <v>686</v>
          </cell>
        </row>
        <row r="56">
          <cell r="A56">
            <v>44045</v>
          </cell>
          <cell r="B56" t="str">
            <v>北部战区-北京-北京四组</v>
          </cell>
          <cell r="C56">
            <v>1721</v>
          </cell>
          <cell r="D56">
            <v>1698</v>
          </cell>
          <cell r="E56">
            <v>1663</v>
          </cell>
          <cell r="F56">
            <v>1003</v>
          </cell>
          <cell r="G56">
            <v>582</v>
          </cell>
          <cell r="H56">
            <v>688</v>
          </cell>
        </row>
        <row r="57">
          <cell r="A57">
            <v>44045</v>
          </cell>
          <cell r="B57" t="str">
            <v>北部战区-北京-北京三组</v>
          </cell>
          <cell r="C57">
            <v>3206</v>
          </cell>
          <cell r="D57">
            <v>3143</v>
          </cell>
          <cell r="E57">
            <v>3012</v>
          </cell>
          <cell r="F57">
            <v>1877</v>
          </cell>
          <cell r="G57">
            <v>962</v>
          </cell>
          <cell r="H57">
            <v>689</v>
          </cell>
        </row>
        <row r="58">
          <cell r="A58">
            <v>44046</v>
          </cell>
          <cell r="B58" t="str">
            <v>西部战区-重庆-重庆一组</v>
          </cell>
          <cell r="C58">
            <v>1387</v>
          </cell>
          <cell r="D58">
            <v>1375</v>
          </cell>
          <cell r="E58">
            <v>1327</v>
          </cell>
          <cell r="F58">
            <v>836</v>
          </cell>
          <cell r="G58">
            <v>439</v>
          </cell>
          <cell r="H58">
            <v>688</v>
          </cell>
        </row>
        <row r="59">
          <cell r="A59">
            <v>44046</v>
          </cell>
          <cell r="B59" t="str">
            <v>西部战区-西安-西安一组</v>
          </cell>
          <cell r="C59">
            <v>2311</v>
          </cell>
          <cell r="D59">
            <v>2270</v>
          </cell>
          <cell r="E59">
            <v>2211</v>
          </cell>
          <cell r="F59">
            <v>1329</v>
          </cell>
          <cell r="G59">
            <v>788</v>
          </cell>
          <cell r="H59">
            <v>692</v>
          </cell>
        </row>
        <row r="60">
          <cell r="A60">
            <v>44046</v>
          </cell>
          <cell r="B60" t="str">
            <v>西部战区-武汉-武汉一组</v>
          </cell>
          <cell r="C60">
            <v>1378</v>
          </cell>
          <cell r="D60">
            <v>1349</v>
          </cell>
          <cell r="E60">
            <v>1304</v>
          </cell>
          <cell r="F60">
            <v>773</v>
          </cell>
          <cell r="G60">
            <v>450</v>
          </cell>
          <cell r="H60">
            <v>695</v>
          </cell>
        </row>
        <row r="61">
          <cell r="A61">
            <v>44046</v>
          </cell>
          <cell r="B61" t="str">
            <v>西部战区-成都-成都一组</v>
          </cell>
          <cell r="C61">
            <v>2990</v>
          </cell>
          <cell r="D61">
            <v>2919</v>
          </cell>
          <cell r="E61">
            <v>2820</v>
          </cell>
          <cell r="F61">
            <v>1821</v>
          </cell>
          <cell r="G61">
            <v>1015</v>
          </cell>
          <cell r="H61">
            <v>691</v>
          </cell>
        </row>
        <row r="62">
          <cell r="A62">
            <v>44046</v>
          </cell>
          <cell r="B62" t="str">
            <v>西部战区-成都-成都二组</v>
          </cell>
          <cell r="C62">
            <v>672</v>
          </cell>
          <cell r="D62">
            <v>662</v>
          </cell>
          <cell r="E62">
            <v>643</v>
          </cell>
          <cell r="F62">
            <v>443</v>
          </cell>
          <cell r="G62">
            <v>209</v>
          </cell>
          <cell r="H62">
            <v>692</v>
          </cell>
        </row>
        <row r="63">
          <cell r="A63">
            <v>44046</v>
          </cell>
          <cell r="B63" t="str">
            <v>南部战区-深圳-深圳一组</v>
          </cell>
          <cell r="C63">
            <v>3120</v>
          </cell>
          <cell r="D63">
            <v>3018</v>
          </cell>
          <cell r="E63">
            <v>2877</v>
          </cell>
          <cell r="F63">
            <v>1701</v>
          </cell>
          <cell r="G63">
            <v>900</v>
          </cell>
          <cell r="H63">
            <v>689</v>
          </cell>
        </row>
        <row r="64">
          <cell r="A64">
            <v>44046</v>
          </cell>
          <cell r="B64" t="str">
            <v>南部战区-广州-广州一组</v>
          </cell>
          <cell r="C64">
            <v>5614</v>
          </cell>
          <cell r="D64">
            <v>5491</v>
          </cell>
          <cell r="E64">
            <v>5254</v>
          </cell>
          <cell r="F64">
            <v>3240</v>
          </cell>
          <cell r="G64">
            <v>1861</v>
          </cell>
          <cell r="H64">
            <v>687</v>
          </cell>
        </row>
        <row r="65">
          <cell r="A65">
            <v>44046</v>
          </cell>
          <cell r="B65" t="str">
            <v>南部战区-广州-广州三组</v>
          </cell>
          <cell r="C65">
            <v>3506</v>
          </cell>
          <cell r="D65">
            <v>3412</v>
          </cell>
          <cell r="E65">
            <v>3242</v>
          </cell>
          <cell r="F65">
            <v>1934</v>
          </cell>
          <cell r="G65">
            <v>1090</v>
          </cell>
          <cell r="H65">
            <v>688</v>
          </cell>
        </row>
        <row r="66">
          <cell r="A66">
            <v>44046</v>
          </cell>
          <cell r="B66" t="str">
            <v>南部战区-广州-广州二组</v>
          </cell>
          <cell r="C66">
            <v>3815</v>
          </cell>
          <cell r="D66">
            <v>3753</v>
          </cell>
          <cell r="E66">
            <v>3594</v>
          </cell>
          <cell r="F66">
            <v>2217</v>
          </cell>
          <cell r="G66">
            <v>1296</v>
          </cell>
          <cell r="H66">
            <v>690</v>
          </cell>
        </row>
        <row r="67">
          <cell r="A67">
            <v>44046</v>
          </cell>
          <cell r="B67" t="str">
            <v>东部战区-苏州-苏州一组</v>
          </cell>
          <cell r="C67">
            <v>4671</v>
          </cell>
          <cell r="D67">
            <v>4540</v>
          </cell>
          <cell r="E67">
            <v>4352</v>
          </cell>
          <cell r="F67">
            <v>2591</v>
          </cell>
          <cell r="G67">
            <v>1313</v>
          </cell>
          <cell r="H67">
            <v>694</v>
          </cell>
        </row>
        <row r="68">
          <cell r="A68">
            <v>44046</v>
          </cell>
          <cell r="B68" t="str">
            <v>东部战区-苏州-苏州三组</v>
          </cell>
          <cell r="C68">
            <v>51</v>
          </cell>
          <cell r="D68">
            <v>49</v>
          </cell>
          <cell r="E68">
            <v>43</v>
          </cell>
          <cell r="F68">
            <v>31</v>
          </cell>
          <cell r="G68">
            <v>9</v>
          </cell>
          <cell r="H68">
            <v>698</v>
          </cell>
        </row>
        <row r="69">
          <cell r="A69">
            <v>44046</v>
          </cell>
          <cell r="B69" t="str">
            <v>东部战区-苏州-苏州二组</v>
          </cell>
          <cell r="C69">
            <v>5895</v>
          </cell>
          <cell r="D69">
            <v>5654</v>
          </cell>
          <cell r="E69">
            <v>5383</v>
          </cell>
          <cell r="F69">
            <v>3150</v>
          </cell>
          <cell r="G69">
            <v>1736</v>
          </cell>
          <cell r="H69">
            <v>696</v>
          </cell>
        </row>
        <row r="70">
          <cell r="A70">
            <v>44046</v>
          </cell>
          <cell r="B70" t="str">
            <v>东部战区-上海-上海一组</v>
          </cell>
          <cell r="C70">
            <v>5415</v>
          </cell>
          <cell r="D70">
            <v>5253</v>
          </cell>
          <cell r="E70">
            <v>5063</v>
          </cell>
          <cell r="F70">
            <v>3076</v>
          </cell>
          <cell r="G70">
            <v>1711</v>
          </cell>
          <cell r="H70">
            <v>694</v>
          </cell>
        </row>
        <row r="71">
          <cell r="A71">
            <v>44046</v>
          </cell>
          <cell r="B71" t="str">
            <v>东部战区-上海-上海三组</v>
          </cell>
          <cell r="C71">
            <v>2199</v>
          </cell>
          <cell r="D71">
            <v>2160</v>
          </cell>
          <cell r="E71">
            <v>2085</v>
          </cell>
          <cell r="F71">
            <v>1198</v>
          </cell>
          <cell r="G71">
            <v>730</v>
          </cell>
          <cell r="H71">
            <v>693</v>
          </cell>
        </row>
        <row r="72">
          <cell r="A72">
            <v>44046</v>
          </cell>
          <cell r="B72" t="str">
            <v>东部战区-上海-上海二组</v>
          </cell>
          <cell r="C72">
            <v>2215</v>
          </cell>
          <cell r="D72">
            <v>2183</v>
          </cell>
          <cell r="E72">
            <v>2092</v>
          </cell>
          <cell r="F72">
            <v>1238</v>
          </cell>
          <cell r="G72">
            <v>672</v>
          </cell>
          <cell r="H72">
            <v>691</v>
          </cell>
        </row>
        <row r="73">
          <cell r="A73">
            <v>44046</v>
          </cell>
          <cell r="B73" t="str">
            <v>东部战区-南京-南京一组</v>
          </cell>
          <cell r="C73">
            <v>3110</v>
          </cell>
          <cell r="D73">
            <v>3054</v>
          </cell>
          <cell r="E73">
            <v>2947</v>
          </cell>
          <cell r="F73">
            <v>1708</v>
          </cell>
          <cell r="G73">
            <v>955</v>
          </cell>
          <cell r="H73">
            <v>697</v>
          </cell>
        </row>
        <row r="74">
          <cell r="A74">
            <v>44046</v>
          </cell>
          <cell r="B74" t="str">
            <v>东部战区-南京-南京四组</v>
          </cell>
          <cell r="C74">
            <v>2105</v>
          </cell>
          <cell r="D74">
            <v>2042</v>
          </cell>
          <cell r="E74">
            <v>1946</v>
          </cell>
          <cell r="F74">
            <v>1120</v>
          </cell>
          <cell r="G74">
            <v>651</v>
          </cell>
          <cell r="H74">
            <v>696</v>
          </cell>
        </row>
        <row r="75">
          <cell r="A75">
            <v>44046</v>
          </cell>
          <cell r="B75" t="str">
            <v>东部战区-南京-南京三组</v>
          </cell>
          <cell r="C75">
            <v>1448</v>
          </cell>
          <cell r="D75">
            <v>1428</v>
          </cell>
          <cell r="E75">
            <v>1383</v>
          </cell>
          <cell r="F75">
            <v>818</v>
          </cell>
          <cell r="G75">
            <v>446</v>
          </cell>
          <cell r="H75">
            <v>698</v>
          </cell>
        </row>
        <row r="76">
          <cell r="A76">
            <v>44046</v>
          </cell>
          <cell r="B76" t="str">
            <v>东部战区-南京-南京二组</v>
          </cell>
          <cell r="C76">
            <v>1211</v>
          </cell>
          <cell r="D76">
            <v>1179</v>
          </cell>
          <cell r="E76">
            <v>1125</v>
          </cell>
          <cell r="F76">
            <v>697</v>
          </cell>
          <cell r="G76">
            <v>370</v>
          </cell>
          <cell r="H76">
            <v>693</v>
          </cell>
        </row>
        <row r="77">
          <cell r="A77">
            <v>44046</v>
          </cell>
          <cell r="B77" t="str">
            <v>东部战区-合肥-合肥一组</v>
          </cell>
          <cell r="C77">
            <v>3905</v>
          </cell>
          <cell r="D77">
            <v>3806</v>
          </cell>
          <cell r="E77">
            <v>3617</v>
          </cell>
          <cell r="F77">
            <v>2215</v>
          </cell>
          <cell r="G77">
            <v>1131</v>
          </cell>
          <cell r="H77">
            <v>695</v>
          </cell>
        </row>
        <row r="78">
          <cell r="A78">
            <v>44046</v>
          </cell>
          <cell r="B78" t="str">
            <v>东部战区-合肥-合肥二组</v>
          </cell>
          <cell r="C78">
            <v>767</v>
          </cell>
          <cell r="D78">
            <v>752</v>
          </cell>
          <cell r="E78">
            <v>730</v>
          </cell>
          <cell r="F78">
            <v>456</v>
          </cell>
          <cell r="G78">
            <v>248</v>
          </cell>
          <cell r="H78">
            <v>695</v>
          </cell>
        </row>
        <row r="79">
          <cell r="A79">
            <v>44046</v>
          </cell>
          <cell r="B79" t="str">
            <v>东部战区-杭州-杭州一组</v>
          </cell>
          <cell r="C79">
            <v>4079</v>
          </cell>
          <cell r="D79">
            <v>3919</v>
          </cell>
          <cell r="E79">
            <v>3727</v>
          </cell>
          <cell r="F79">
            <v>2271</v>
          </cell>
          <cell r="G79">
            <v>1169</v>
          </cell>
          <cell r="H79">
            <v>701</v>
          </cell>
        </row>
        <row r="80">
          <cell r="A80">
            <v>44046</v>
          </cell>
          <cell r="B80" t="str">
            <v>东部战区-杭州-杭州三组</v>
          </cell>
          <cell r="C80">
            <v>1773</v>
          </cell>
          <cell r="D80">
            <v>1738</v>
          </cell>
          <cell r="E80">
            <v>1690</v>
          </cell>
          <cell r="F80">
            <v>1017</v>
          </cell>
          <cell r="G80">
            <v>614</v>
          </cell>
          <cell r="H80">
            <v>701</v>
          </cell>
        </row>
        <row r="81">
          <cell r="A81">
            <v>44046</v>
          </cell>
          <cell r="B81" t="str">
            <v>东部战区-杭州-杭州二组</v>
          </cell>
          <cell r="C81">
            <v>3678</v>
          </cell>
          <cell r="D81">
            <v>3607</v>
          </cell>
          <cell r="E81">
            <v>3486</v>
          </cell>
          <cell r="F81">
            <v>1935</v>
          </cell>
          <cell r="G81">
            <v>1107</v>
          </cell>
          <cell r="H81">
            <v>692</v>
          </cell>
        </row>
        <row r="82">
          <cell r="A82">
            <v>44046</v>
          </cell>
          <cell r="B82" t="str">
            <v>北部战区-天津-天津一组</v>
          </cell>
          <cell r="C82">
            <v>1289</v>
          </cell>
          <cell r="D82">
            <v>1277</v>
          </cell>
          <cell r="E82">
            <v>1240</v>
          </cell>
          <cell r="F82">
            <v>697</v>
          </cell>
          <cell r="G82">
            <v>467</v>
          </cell>
          <cell r="H82">
            <v>686</v>
          </cell>
        </row>
        <row r="83">
          <cell r="A83">
            <v>44046</v>
          </cell>
          <cell r="B83" t="str">
            <v>北部战区-北京-北京一组</v>
          </cell>
          <cell r="C83">
            <v>95</v>
          </cell>
          <cell r="D83">
            <v>91</v>
          </cell>
          <cell r="E83">
            <v>85</v>
          </cell>
          <cell r="F83">
            <v>45</v>
          </cell>
          <cell r="G83">
            <v>25</v>
          </cell>
          <cell r="H83">
            <v>686</v>
          </cell>
        </row>
        <row r="84">
          <cell r="A84">
            <v>44046</v>
          </cell>
          <cell r="B84" t="str">
            <v>北部战区-北京-北京四组</v>
          </cell>
          <cell r="C84">
            <v>1721</v>
          </cell>
          <cell r="D84">
            <v>1698</v>
          </cell>
          <cell r="E84">
            <v>1663</v>
          </cell>
          <cell r="F84">
            <v>1003</v>
          </cell>
          <cell r="G84">
            <v>582</v>
          </cell>
          <cell r="H84">
            <v>688</v>
          </cell>
        </row>
        <row r="85">
          <cell r="A85">
            <v>44046</v>
          </cell>
          <cell r="B85" t="str">
            <v>北部战区-北京-北京三组</v>
          </cell>
          <cell r="C85">
            <v>510</v>
          </cell>
          <cell r="D85">
            <v>499</v>
          </cell>
          <cell r="E85">
            <v>480</v>
          </cell>
          <cell r="F85">
            <v>303</v>
          </cell>
          <cell r="G85">
            <v>179</v>
          </cell>
          <cell r="H85">
            <v>685</v>
          </cell>
        </row>
        <row r="86">
          <cell r="A86">
            <v>44047</v>
          </cell>
          <cell r="B86" t="str">
            <v>西部战区-重庆-重庆一组</v>
          </cell>
          <cell r="C86">
            <v>1387</v>
          </cell>
          <cell r="D86">
            <v>1375</v>
          </cell>
          <cell r="E86">
            <v>1327</v>
          </cell>
          <cell r="F86">
            <v>836</v>
          </cell>
          <cell r="G86">
            <v>439</v>
          </cell>
          <cell r="H86">
            <v>688</v>
          </cell>
        </row>
        <row r="87">
          <cell r="A87">
            <v>44047</v>
          </cell>
          <cell r="B87" t="str">
            <v>西部战区-西安-西安一组</v>
          </cell>
          <cell r="C87">
            <v>3016</v>
          </cell>
          <cell r="D87">
            <v>2962</v>
          </cell>
          <cell r="E87">
            <v>2862</v>
          </cell>
          <cell r="F87">
            <v>1722</v>
          </cell>
          <cell r="G87">
            <v>974</v>
          </cell>
          <cell r="H87">
            <v>692</v>
          </cell>
        </row>
        <row r="88">
          <cell r="A88">
            <v>44047</v>
          </cell>
          <cell r="B88" t="str">
            <v>西部战区-武汉-武汉一组</v>
          </cell>
          <cell r="C88">
            <v>2650</v>
          </cell>
          <cell r="D88">
            <v>2593</v>
          </cell>
          <cell r="E88">
            <v>2493</v>
          </cell>
          <cell r="F88">
            <v>1521</v>
          </cell>
          <cell r="G88">
            <v>781</v>
          </cell>
          <cell r="H88">
            <v>698</v>
          </cell>
        </row>
        <row r="89">
          <cell r="A89">
            <v>44047</v>
          </cell>
          <cell r="B89" t="str">
            <v>西部战区-成都-成都一组</v>
          </cell>
          <cell r="C89">
            <v>2179</v>
          </cell>
          <cell r="D89">
            <v>2129</v>
          </cell>
          <cell r="E89">
            <v>2053</v>
          </cell>
          <cell r="F89">
            <v>1330</v>
          </cell>
          <cell r="G89">
            <v>782</v>
          </cell>
          <cell r="H89">
            <v>692</v>
          </cell>
        </row>
        <row r="90">
          <cell r="A90">
            <v>44047</v>
          </cell>
          <cell r="B90" t="str">
            <v>西部战区-成都-成都二组</v>
          </cell>
          <cell r="C90">
            <v>672</v>
          </cell>
          <cell r="D90">
            <v>662</v>
          </cell>
          <cell r="E90">
            <v>643</v>
          </cell>
          <cell r="F90">
            <v>443</v>
          </cell>
          <cell r="G90">
            <v>209</v>
          </cell>
          <cell r="H90">
            <v>692</v>
          </cell>
        </row>
        <row r="91">
          <cell r="A91">
            <v>44047</v>
          </cell>
          <cell r="B91" t="str">
            <v>南部战区-深圳-深圳一组</v>
          </cell>
          <cell r="C91">
            <v>3120</v>
          </cell>
          <cell r="D91">
            <v>3018</v>
          </cell>
          <cell r="E91">
            <v>2877</v>
          </cell>
          <cell r="F91">
            <v>1701</v>
          </cell>
          <cell r="G91">
            <v>900</v>
          </cell>
          <cell r="H91">
            <v>689</v>
          </cell>
        </row>
        <row r="92">
          <cell r="A92">
            <v>44047</v>
          </cell>
          <cell r="B92" t="str">
            <v>南部战区-广州-广州一组</v>
          </cell>
          <cell r="C92">
            <v>4228</v>
          </cell>
          <cell r="D92">
            <v>4116</v>
          </cell>
          <cell r="E92">
            <v>3936</v>
          </cell>
          <cell r="F92">
            <v>2504</v>
          </cell>
          <cell r="G92">
            <v>1441</v>
          </cell>
          <cell r="H92">
            <v>688</v>
          </cell>
        </row>
        <row r="93">
          <cell r="A93">
            <v>44047</v>
          </cell>
          <cell r="B93" t="str">
            <v>南部战区-广州-广州三组</v>
          </cell>
          <cell r="C93">
            <v>2330</v>
          </cell>
          <cell r="D93">
            <v>2272</v>
          </cell>
          <cell r="E93">
            <v>2170</v>
          </cell>
          <cell r="F93">
            <v>1284</v>
          </cell>
          <cell r="G93">
            <v>740</v>
          </cell>
          <cell r="H93">
            <v>686</v>
          </cell>
        </row>
        <row r="94">
          <cell r="A94">
            <v>44047</v>
          </cell>
          <cell r="B94" t="str">
            <v>南部战区-广州-广州二组</v>
          </cell>
          <cell r="C94">
            <v>3815</v>
          </cell>
          <cell r="D94">
            <v>3753</v>
          </cell>
          <cell r="E94">
            <v>3594</v>
          </cell>
          <cell r="F94">
            <v>2217</v>
          </cell>
          <cell r="G94">
            <v>1296</v>
          </cell>
          <cell r="H94">
            <v>690</v>
          </cell>
        </row>
        <row r="95">
          <cell r="A95">
            <v>44047</v>
          </cell>
          <cell r="B95" t="str">
            <v>东部战区-苏州-苏州一组</v>
          </cell>
          <cell r="C95">
            <v>3863</v>
          </cell>
          <cell r="D95">
            <v>3728</v>
          </cell>
          <cell r="E95">
            <v>3560</v>
          </cell>
          <cell r="F95">
            <v>2147</v>
          </cell>
          <cell r="G95">
            <v>1073</v>
          </cell>
          <cell r="H95">
            <v>694</v>
          </cell>
        </row>
        <row r="96">
          <cell r="A96">
            <v>44047</v>
          </cell>
          <cell r="B96" t="str">
            <v>东部战区-苏州-苏州三组</v>
          </cell>
          <cell r="C96">
            <v>215</v>
          </cell>
          <cell r="D96">
            <v>212</v>
          </cell>
          <cell r="E96">
            <v>193</v>
          </cell>
          <cell r="F96">
            <v>108</v>
          </cell>
          <cell r="G96">
            <v>56</v>
          </cell>
          <cell r="H96">
            <v>689</v>
          </cell>
        </row>
        <row r="97">
          <cell r="A97">
            <v>44047</v>
          </cell>
          <cell r="B97" t="str">
            <v>东部战区-苏州-苏州二组</v>
          </cell>
          <cell r="C97">
            <v>5148</v>
          </cell>
          <cell r="D97">
            <v>4982</v>
          </cell>
          <cell r="E97">
            <v>4744</v>
          </cell>
          <cell r="F97">
            <v>2745</v>
          </cell>
          <cell r="G97">
            <v>1531</v>
          </cell>
          <cell r="H97">
            <v>695</v>
          </cell>
        </row>
        <row r="98">
          <cell r="A98">
            <v>44047</v>
          </cell>
          <cell r="B98" t="str">
            <v>东部战区-上海-上海一组</v>
          </cell>
          <cell r="C98">
            <v>4753</v>
          </cell>
          <cell r="D98">
            <v>4636</v>
          </cell>
          <cell r="E98">
            <v>4471</v>
          </cell>
          <cell r="F98">
            <v>2754</v>
          </cell>
          <cell r="G98">
            <v>1532</v>
          </cell>
          <cell r="H98">
            <v>695</v>
          </cell>
        </row>
        <row r="99">
          <cell r="A99">
            <v>44047</v>
          </cell>
          <cell r="B99" t="str">
            <v>东部战区-上海-上海三组</v>
          </cell>
          <cell r="C99">
            <v>2925</v>
          </cell>
          <cell r="D99">
            <v>2858</v>
          </cell>
          <cell r="E99">
            <v>2747</v>
          </cell>
          <cell r="F99">
            <v>1612</v>
          </cell>
          <cell r="G99">
            <v>968</v>
          </cell>
          <cell r="H99">
            <v>696</v>
          </cell>
        </row>
        <row r="100">
          <cell r="A100">
            <v>44047</v>
          </cell>
          <cell r="B100" t="str">
            <v>东部战区-上海-上海二组</v>
          </cell>
          <cell r="C100">
            <v>2848</v>
          </cell>
          <cell r="D100">
            <v>2808</v>
          </cell>
          <cell r="E100">
            <v>2692</v>
          </cell>
          <cell r="F100">
            <v>1578</v>
          </cell>
          <cell r="G100">
            <v>861</v>
          </cell>
          <cell r="H100">
            <v>690</v>
          </cell>
        </row>
        <row r="101">
          <cell r="A101">
            <v>44047</v>
          </cell>
          <cell r="B101" t="str">
            <v>东部战区-南京-南京一组</v>
          </cell>
          <cell r="C101">
            <v>1818</v>
          </cell>
          <cell r="D101">
            <v>1785</v>
          </cell>
          <cell r="E101">
            <v>1728</v>
          </cell>
          <cell r="F101">
            <v>1015</v>
          </cell>
          <cell r="G101">
            <v>588</v>
          </cell>
          <cell r="H101">
            <v>697</v>
          </cell>
        </row>
        <row r="102">
          <cell r="A102">
            <v>44047</v>
          </cell>
          <cell r="B102" t="str">
            <v>东部战区-南京-南京四组</v>
          </cell>
          <cell r="C102">
            <v>1107</v>
          </cell>
          <cell r="D102">
            <v>1068</v>
          </cell>
          <cell r="E102">
            <v>1011</v>
          </cell>
          <cell r="F102">
            <v>607</v>
          </cell>
          <cell r="G102">
            <v>356</v>
          </cell>
          <cell r="H102">
            <v>699</v>
          </cell>
        </row>
        <row r="103">
          <cell r="A103">
            <v>44047</v>
          </cell>
          <cell r="B103" t="str">
            <v>东部战区-南京-南京三组</v>
          </cell>
          <cell r="C103">
            <v>2157</v>
          </cell>
          <cell r="D103">
            <v>2115</v>
          </cell>
          <cell r="E103">
            <v>2033</v>
          </cell>
          <cell r="F103">
            <v>1261</v>
          </cell>
          <cell r="G103">
            <v>631</v>
          </cell>
          <cell r="H103">
            <v>698</v>
          </cell>
        </row>
        <row r="104">
          <cell r="A104">
            <v>44047</v>
          </cell>
          <cell r="B104" t="str">
            <v>东部战区-南京-南京二组</v>
          </cell>
          <cell r="C104">
            <v>819</v>
          </cell>
          <cell r="D104">
            <v>789</v>
          </cell>
          <cell r="E104">
            <v>755</v>
          </cell>
          <cell r="F104">
            <v>486</v>
          </cell>
          <cell r="G104">
            <v>237</v>
          </cell>
          <cell r="H104">
            <v>705</v>
          </cell>
        </row>
        <row r="105">
          <cell r="A105">
            <v>44047</v>
          </cell>
          <cell r="B105" t="str">
            <v>东部战区-合肥-合肥一组</v>
          </cell>
          <cell r="C105">
            <v>3202</v>
          </cell>
          <cell r="D105">
            <v>3131</v>
          </cell>
          <cell r="E105">
            <v>2989</v>
          </cell>
          <cell r="F105">
            <v>1894</v>
          </cell>
          <cell r="G105">
            <v>978</v>
          </cell>
          <cell r="H105">
            <v>698</v>
          </cell>
        </row>
        <row r="106">
          <cell r="A106">
            <v>44047</v>
          </cell>
          <cell r="B106" t="str">
            <v>东部战区-合肥-合肥二组</v>
          </cell>
          <cell r="C106">
            <v>831</v>
          </cell>
          <cell r="D106">
            <v>818</v>
          </cell>
          <cell r="E106">
            <v>766</v>
          </cell>
          <cell r="F106">
            <v>494</v>
          </cell>
          <cell r="G106">
            <v>234</v>
          </cell>
          <cell r="H106">
            <v>697</v>
          </cell>
        </row>
        <row r="107">
          <cell r="A107">
            <v>44047</v>
          </cell>
          <cell r="B107" t="str">
            <v>东部战区-杭州-杭州一组</v>
          </cell>
          <cell r="C107">
            <v>4955</v>
          </cell>
          <cell r="D107">
            <v>4765</v>
          </cell>
          <cell r="E107">
            <v>4525</v>
          </cell>
          <cell r="F107">
            <v>2708</v>
          </cell>
          <cell r="G107">
            <v>1266</v>
          </cell>
          <cell r="H107">
            <v>699</v>
          </cell>
        </row>
        <row r="108">
          <cell r="A108">
            <v>44047</v>
          </cell>
          <cell r="B108" t="str">
            <v>东部战区-杭州-杭州三组</v>
          </cell>
          <cell r="C108">
            <v>1773</v>
          </cell>
          <cell r="D108">
            <v>1738</v>
          </cell>
          <cell r="E108">
            <v>1690</v>
          </cell>
          <cell r="F108">
            <v>1017</v>
          </cell>
          <cell r="G108">
            <v>614</v>
          </cell>
          <cell r="H108">
            <v>701</v>
          </cell>
        </row>
        <row r="109">
          <cell r="A109">
            <v>44047</v>
          </cell>
          <cell r="B109" t="str">
            <v>东部战区-杭州-杭州二组</v>
          </cell>
          <cell r="C109">
            <v>4233</v>
          </cell>
          <cell r="D109">
            <v>4139</v>
          </cell>
          <cell r="E109">
            <v>4008</v>
          </cell>
          <cell r="F109">
            <v>2209</v>
          </cell>
          <cell r="G109">
            <v>1288</v>
          </cell>
          <cell r="H109">
            <v>694</v>
          </cell>
        </row>
        <row r="110">
          <cell r="A110">
            <v>44047</v>
          </cell>
          <cell r="B110" t="str">
            <v>北部战区-天津-天津一组</v>
          </cell>
          <cell r="C110">
            <v>1003</v>
          </cell>
          <cell r="D110">
            <v>991</v>
          </cell>
          <cell r="E110">
            <v>957</v>
          </cell>
          <cell r="F110">
            <v>520</v>
          </cell>
          <cell r="G110">
            <v>320</v>
          </cell>
          <cell r="H110">
            <v>684</v>
          </cell>
        </row>
        <row r="111">
          <cell r="A111">
            <v>44047</v>
          </cell>
          <cell r="B111" t="str">
            <v>北部战区-北京-北京一组</v>
          </cell>
          <cell r="C111">
            <v>21</v>
          </cell>
          <cell r="D111">
            <v>19</v>
          </cell>
          <cell r="E111">
            <v>18</v>
          </cell>
          <cell r="F111">
            <v>10</v>
          </cell>
          <cell r="G111">
            <v>3</v>
          </cell>
          <cell r="H111">
            <v>674</v>
          </cell>
        </row>
        <row r="112">
          <cell r="A112">
            <v>44047</v>
          </cell>
          <cell r="B112" t="str">
            <v>北部战区-北京-北京四组</v>
          </cell>
          <cell r="C112">
            <v>1721</v>
          </cell>
          <cell r="D112">
            <v>1698</v>
          </cell>
          <cell r="E112">
            <v>1663</v>
          </cell>
          <cell r="F112">
            <v>1003</v>
          </cell>
          <cell r="G112">
            <v>582</v>
          </cell>
          <cell r="H112">
            <v>688</v>
          </cell>
        </row>
        <row r="113">
          <cell r="A113">
            <v>44047</v>
          </cell>
          <cell r="B113" t="str">
            <v>北部战区-北京-北京三组</v>
          </cell>
          <cell r="C113">
            <v>2102</v>
          </cell>
          <cell r="D113">
            <v>2064</v>
          </cell>
          <cell r="E113">
            <v>1989</v>
          </cell>
          <cell r="F113">
            <v>1201</v>
          </cell>
          <cell r="G113">
            <v>648</v>
          </cell>
          <cell r="H113">
            <v>689</v>
          </cell>
        </row>
        <row r="114">
          <cell r="A114">
            <v>44048</v>
          </cell>
          <cell r="B114" t="str">
            <v>西部战区-重庆-重庆一组</v>
          </cell>
          <cell r="C114">
            <v>2583</v>
          </cell>
          <cell r="D114">
            <v>2540</v>
          </cell>
          <cell r="E114">
            <v>2470</v>
          </cell>
          <cell r="F114">
            <v>1542</v>
          </cell>
          <cell r="G114">
            <v>855</v>
          </cell>
          <cell r="H114">
            <v>690</v>
          </cell>
        </row>
        <row r="115">
          <cell r="A115">
            <v>44048</v>
          </cell>
          <cell r="B115" t="str">
            <v>西部战区-西安-西安一组</v>
          </cell>
          <cell r="C115">
            <v>2475</v>
          </cell>
          <cell r="D115">
            <v>2426</v>
          </cell>
          <cell r="E115">
            <v>2349</v>
          </cell>
          <cell r="F115">
            <v>1384</v>
          </cell>
          <cell r="G115">
            <v>764</v>
          </cell>
          <cell r="H115">
            <v>690</v>
          </cell>
        </row>
        <row r="116">
          <cell r="A116">
            <v>44048</v>
          </cell>
          <cell r="B116" t="str">
            <v>西部战区-武汉-武汉一组</v>
          </cell>
          <cell r="C116">
            <v>2331</v>
          </cell>
          <cell r="D116">
            <v>2252</v>
          </cell>
          <cell r="E116">
            <v>2152</v>
          </cell>
          <cell r="F116">
            <v>1348</v>
          </cell>
          <cell r="G116">
            <v>647</v>
          </cell>
          <cell r="H116">
            <v>698</v>
          </cell>
        </row>
        <row r="117">
          <cell r="A117">
            <v>44048</v>
          </cell>
          <cell r="B117" t="str">
            <v>西部战区-成都-成都一组</v>
          </cell>
          <cell r="C117">
            <v>2743</v>
          </cell>
          <cell r="D117">
            <v>2676</v>
          </cell>
          <cell r="E117">
            <v>2581</v>
          </cell>
          <cell r="F117">
            <v>1655</v>
          </cell>
          <cell r="G117">
            <v>928</v>
          </cell>
          <cell r="H117">
            <v>691</v>
          </cell>
        </row>
        <row r="118">
          <cell r="A118">
            <v>44048</v>
          </cell>
          <cell r="B118" t="str">
            <v>西部战区-成都-成都二组</v>
          </cell>
          <cell r="C118">
            <v>672</v>
          </cell>
          <cell r="D118">
            <v>662</v>
          </cell>
          <cell r="E118">
            <v>643</v>
          </cell>
          <cell r="F118">
            <v>443</v>
          </cell>
          <cell r="G118">
            <v>209</v>
          </cell>
          <cell r="H118">
            <v>692</v>
          </cell>
        </row>
        <row r="119">
          <cell r="A119">
            <v>44048</v>
          </cell>
          <cell r="B119" t="str">
            <v>南部战区-深圳-深圳一组</v>
          </cell>
          <cell r="C119">
            <v>3120</v>
          </cell>
          <cell r="D119">
            <v>3018</v>
          </cell>
          <cell r="E119">
            <v>2877</v>
          </cell>
          <cell r="F119">
            <v>1701</v>
          </cell>
          <cell r="G119">
            <v>900</v>
          </cell>
          <cell r="H119">
            <v>689</v>
          </cell>
        </row>
        <row r="120">
          <cell r="A120">
            <v>44048</v>
          </cell>
          <cell r="B120" t="str">
            <v>南部战区-广州-广州一组</v>
          </cell>
          <cell r="C120">
            <v>5773</v>
          </cell>
          <cell r="D120">
            <v>5645</v>
          </cell>
          <cell r="E120">
            <v>5403</v>
          </cell>
          <cell r="F120">
            <v>3333</v>
          </cell>
          <cell r="G120">
            <v>1919</v>
          </cell>
          <cell r="H120">
            <v>687</v>
          </cell>
        </row>
        <row r="121">
          <cell r="A121">
            <v>44048</v>
          </cell>
          <cell r="B121" t="str">
            <v>南部战区-广州-广州三组</v>
          </cell>
          <cell r="C121">
            <v>3726</v>
          </cell>
          <cell r="D121">
            <v>3624</v>
          </cell>
          <cell r="E121">
            <v>3439</v>
          </cell>
          <cell r="F121">
            <v>2050</v>
          </cell>
          <cell r="G121">
            <v>1152</v>
          </cell>
          <cell r="H121">
            <v>688</v>
          </cell>
        </row>
        <row r="122">
          <cell r="A122">
            <v>44048</v>
          </cell>
          <cell r="B122" t="str">
            <v>南部战区-广州-广州二组</v>
          </cell>
          <cell r="C122">
            <v>3815</v>
          </cell>
          <cell r="D122">
            <v>3753</v>
          </cell>
          <cell r="E122">
            <v>3594</v>
          </cell>
          <cell r="F122">
            <v>2217</v>
          </cell>
          <cell r="G122">
            <v>1296</v>
          </cell>
          <cell r="H122">
            <v>690</v>
          </cell>
        </row>
        <row r="123">
          <cell r="A123">
            <v>44048</v>
          </cell>
          <cell r="B123" t="str">
            <v>东部战区-苏州-苏州一组</v>
          </cell>
          <cell r="C123">
            <v>5896</v>
          </cell>
          <cell r="D123">
            <v>5710</v>
          </cell>
          <cell r="E123">
            <v>5439</v>
          </cell>
          <cell r="F123">
            <v>3266</v>
          </cell>
          <cell r="G123">
            <v>1694</v>
          </cell>
          <cell r="H123">
            <v>694</v>
          </cell>
        </row>
        <row r="124">
          <cell r="A124">
            <v>44048</v>
          </cell>
          <cell r="B124" t="str">
            <v>东部战区-苏州-苏州三组</v>
          </cell>
          <cell r="C124">
            <v>349</v>
          </cell>
          <cell r="D124">
            <v>341</v>
          </cell>
          <cell r="E124">
            <v>306</v>
          </cell>
          <cell r="F124">
            <v>180</v>
          </cell>
          <cell r="G124">
            <v>83</v>
          </cell>
          <cell r="H124">
            <v>689</v>
          </cell>
        </row>
        <row r="125">
          <cell r="A125">
            <v>44048</v>
          </cell>
          <cell r="B125" t="str">
            <v>东部战区-苏州-苏州二组</v>
          </cell>
          <cell r="C125">
            <v>5414</v>
          </cell>
          <cell r="D125">
            <v>5203</v>
          </cell>
          <cell r="E125">
            <v>4943</v>
          </cell>
          <cell r="F125">
            <v>2883</v>
          </cell>
          <cell r="G125">
            <v>1572</v>
          </cell>
          <cell r="H125">
            <v>695</v>
          </cell>
        </row>
        <row r="126">
          <cell r="A126">
            <v>44048</v>
          </cell>
          <cell r="B126" t="str">
            <v>东部战区-上海-上海一组</v>
          </cell>
          <cell r="C126">
            <v>6397</v>
          </cell>
          <cell r="D126">
            <v>6206</v>
          </cell>
          <cell r="E126">
            <v>5971</v>
          </cell>
          <cell r="F126">
            <v>3604</v>
          </cell>
          <cell r="G126">
            <v>1997</v>
          </cell>
          <cell r="H126">
            <v>693</v>
          </cell>
        </row>
        <row r="127">
          <cell r="A127">
            <v>44048</v>
          </cell>
          <cell r="B127" t="str">
            <v>东部战区-上海-上海三组</v>
          </cell>
          <cell r="C127">
            <v>2925</v>
          </cell>
          <cell r="D127">
            <v>2858</v>
          </cell>
          <cell r="E127">
            <v>2747</v>
          </cell>
          <cell r="F127">
            <v>1612</v>
          </cell>
          <cell r="G127">
            <v>968</v>
          </cell>
          <cell r="H127">
            <v>696</v>
          </cell>
        </row>
        <row r="128">
          <cell r="A128">
            <v>44048</v>
          </cell>
          <cell r="B128" t="str">
            <v>东部战区-上海-上海二组</v>
          </cell>
          <cell r="C128">
            <v>3588</v>
          </cell>
          <cell r="D128">
            <v>3529</v>
          </cell>
          <cell r="E128">
            <v>3379</v>
          </cell>
          <cell r="F128">
            <v>2008</v>
          </cell>
          <cell r="G128">
            <v>1086</v>
          </cell>
          <cell r="H128">
            <v>690</v>
          </cell>
        </row>
        <row r="129">
          <cell r="A129">
            <v>44048</v>
          </cell>
          <cell r="B129" t="str">
            <v>东部战区-南京-南京一组</v>
          </cell>
          <cell r="C129">
            <v>3393</v>
          </cell>
          <cell r="D129">
            <v>3313</v>
          </cell>
          <cell r="E129">
            <v>3186</v>
          </cell>
          <cell r="F129">
            <v>1854</v>
          </cell>
          <cell r="G129">
            <v>986</v>
          </cell>
          <cell r="H129">
            <v>697</v>
          </cell>
        </row>
        <row r="130">
          <cell r="A130">
            <v>44048</v>
          </cell>
          <cell r="B130" t="str">
            <v>东部战区-南京-南京四组</v>
          </cell>
          <cell r="C130">
            <v>1701</v>
          </cell>
          <cell r="D130">
            <v>1648</v>
          </cell>
          <cell r="E130">
            <v>1570</v>
          </cell>
          <cell r="F130">
            <v>867</v>
          </cell>
          <cell r="G130">
            <v>479</v>
          </cell>
          <cell r="H130">
            <v>695</v>
          </cell>
        </row>
        <row r="131">
          <cell r="A131">
            <v>44048</v>
          </cell>
          <cell r="B131" t="str">
            <v>东部战区-南京-南京三组</v>
          </cell>
          <cell r="C131">
            <v>2373</v>
          </cell>
          <cell r="D131">
            <v>2334</v>
          </cell>
          <cell r="E131">
            <v>2249</v>
          </cell>
          <cell r="F131">
            <v>1350</v>
          </cell>
          <cell r="G131">
            <v>694</v>
          </cell>
          <cell r="H131">
            <v>697</v>
          </cell>
        </row>
        <row r="132">
          <cell r="A132">
            <v>44048</v>
          </cell>
          <cell r="B132" t="str">
            <v>东部战区-南京-南京二组</v>
          </cell>
          <cell r="C132">
            <v>1815</v>
          </cell>
          <cell r="D132">
            <v>1759</v>
          </cell>
          <cell r="E132">
            <v>1685</v>
          </cell>
          <cell r="F132">
            <v>1060</v>
          </cell>
          <cell r="G132">
            <v>545</v>
          </cell>
          <cell r="H132">
            <v>699</v>
          </cell>
        </row>
        <row r="133">
          <cell r="A133">
            <v>44048</v>
          </cell>
          <cell r="B133" t="str">
            <v>东部战区-合肥-合肥一组</v>
          </cell>
          <cell r="C133">
            <v>4237</v>
          </cell>
          <cell r="D133">
            <v>4137</v>
          </cell>
          <cell r="E133">
            <v>3934</v>
          </cell>
          <cell r="F133">
            <v>2424</v>
          </cell>
          <cell r="G133">
            <v>1214</v>
          </cell>
          <cell r="H133">
            <v>696</v>
          </cell>
        </row>
        <row r="134">
          <cell r="A134">
            <v>44048</v>
          </cell>
          <cell r="B134" t="str">
            <v>东部战区-合肥-合肥二组</v>
          </cell>
          <cell r="C134">
            <v>1343</v>
          </cell>
          <cell r="D134">
            <v>1314</v>
          </cell>
          <cell r="E134">
            <v>1242</v>
          </cell>
          <cell r="F134">
            <v>776</v>
          </cell>
          <cell r="G134">
            <v>379</v>
          </cell>
          <cell r="H134">
            <v>696</v>
          </cell>
        </row>
        <row r="135">
          <cell r="A135">
            <v>44048</v>
          </cell>
          <cell r="B135" t="str">
            <v>东部战区-杭州-杭州一组</v>
          </cell>
          <cell r="C135">
            <v>5749</v>
          </cell>
          <cell r="D135">
            <v>5534</v>
          </cell>
          <cell r="E135">
            <v>5260</v>
          </cell>
          <cell r="F135">
            <v>3208</v>
          </cell>
          <cell r="G135">
            <v>1527</v>
          </cell>
          <cell r="H135">
            <v>701</v>
          </cell>
        </row>
        <row r="136">
          <cell r="A136">
            <v>44048</v>
          </cell>
          <cell r="B136" t="str">
            <v>东部战区-杭州-杭州三组</v>
          </cell>
          <cell r="C136">
            <v>1773</v>
          </cell>
          <cell r="D136">
            <v>1738</v>
          </cell>
          <cell r="E136">
            <v>1690</v>
          </cell>
          <cell r="F136">
            <v>1017</v>
          </cell>
          <cell r="G136">
            <v>614</v>
          </cell>
          <cell r="H136">
            <v>701</v>
          </cell>
        </row>
        <row r="137">
          <cell r="A137">
            <v>44048</v>
          </cell>
          <cell r="B137" t="str">
            <v>东部战区-杭州-杭州二组</v>
          </cell>
          <cell r="C137">
            <v>4111</v>
          </cell>
          <cell r="D137">
            <v>4017</v>
          </cell>
          <cell r="E137">
            <v>3889</v>
          </cell>
          <cell r="F137">
            <v>2149</v>
          </cell>
          <cell r="G137">
            <v>1256</v>
          </cell>
          <cell r="H137">
            <v>694</v>
          </cell>
        </row>
        <row r="138">
          <cell r="A138">
            <v>44048</v>
          </cell>
          <cell r="B138" t="str">
            <v>北部战区-天津-天津一组</v>
          </cell>
          <cell r="C138">
            <v>1828</v>
          </cell>
          <cell r="D138">
            <v>1811</v>
          </cell>
          <cell r="E138">
            <v>1755</v>
          </cell>
          <cell r="F138">
            <v>963</v>
          </cell>
          <cell r="G138">
            <v>614</v>
          </cell>
          <cell r="H138">
            <v>686</v>
          </cell>
        </row>
        <row r="139">
          <cell r="A139">
            <v>44048</v>
          </cell>
          <cell r="B139" t="str">
            <v>北部战区-北京-北京四组</v>
          </cell>
          <cell r="C139">
            <v>1721</v>
          </cell>
          <cell r="D139">
            <v>1698</v>
          </cell>
          <cell r="E139">
            <v>1663</v>
          </cell>
          <cell r="F139">
            <v>1003</v>
          </cell>
          <cell r="G139">
            <v>582</v>
          </cell>
          <cell r="H139">
            <v>688</v>
          </cell>
        </row>
        <row r="140">
          <cell r="A140">
            <v>44048</v>
          </cell>
          <cell r="B140" t="str">
            <v>北部战区-北京-北京三组</v>
          </cell>
          <cell r="C140">
            <v>2845</v>
          </cell>
          <cell r="D140">
            <v>2791</v>
          </cell>
          <cell r="E140">
            <v>2676</v>
          </cell>
          <cell r="F140">
            <v>1660</v>
          </cell>
          <cell r="G140">
            <v>866</v>
          </cell>
          <cell r="H140">
            <v>690</v>
          </cell>
        </row>
        <row r="141">
          <cell r="A141">
            <v>44048</v>
          </cell>
          <cell r="B141" t="str">
            <v>北部战区-北京-北京二组</v>
          </cell>
          <cell r="C141">
            <v>10</v>
          </cell>
          <cell r="D141">
            <v>10</v>
          </cell>
          <cell r="E141">
            <v>10</v>
          </cell>
          <cell r="F141">
            <v>7</v>
          </cell>
          <cell r="G141">
            <v>5</v>
          </cell>
          <cell r="H141">
            <v>685</v>
          </cell>
        </row>
        <row r="142">
          <cell r="A142">
            <v>44049</v>
          </cell>
          <cell r="B142" t="str">
            <v>西部战区-重庆-重庆一组</v>
          </cell>
          <cell r="C142">
            <v>2583</v>
          </cell>
          <cell r="D142">
            <v>2540</v>
          </cell>
          <cell r="E142">
            <v>2470</v>
          </cell>
          <cell r="F142">
            <v>1542</v>
          </cell>
          <cell r="G142">
            <v>855</v>
          </cell>
          <cell r="H142">
            <v>690</v>
          </cell>
        </row>
        <row r="143">
          <cell r="A143">
            <v>44049</v>
          </cell>
          <cell r="B143" t="str">
            <v>西部战区-西安-西安一组</v>
          </cell>
          <cell r="C143">
            <v>2358</v>
          </cell>
          <cell r="D143">
            <v>2312</v>
          </cell>
          <cell r="E143">
            <v>2243</v>
          </cell>
          <cell r="F143">
            <v>1319</v>
          </cell>
          <cell r="G143">
            <v>783</v>
          </cell>
          <cell r="H143">
            <v>692</v>
          </cell>
        </row>
        <row r="144">
          <cell r="A144">
            <v>44049</v>
          </cell>
          <cell r="B144" t="str">
            <v>西部战区-武汉-武汉一组</v>
          </cell>
          <cell r="C144">
            <v>2554</v>
          </cell>
          <cell r="D144">
            <v>2499</v>
          </cell>
          <cell r="E144">
            <v>2403</v>
          </cell>
          <cell r="F144">
            <v>1468</v>
          </cell>
          <cell r="G144">
            <v>737</v>
          </cell>
          <cell r="H144">
            <v>698</v>
          </cell>
        </row>
        <row r="145">
          <cell r="A145">
            <v>44049</v>
          </cell>
          <cell r="B145" t="str">
            <v>西部战区-成都-成都一组</v>
          </cell>
          <cell r="C145">
            <v>2100</v>
          </cell>
          <cell r="D145">
            <v>2047</v>
          </cell>
          <cell r="E145">
            <v>1968</v>
          </cell>
          <cell r="F145">
            <v>1268</v>
          </cell>
          <cell r="G145">
            <v>706</v>
          </cell>
          <cell r="H145">
            <v>690</v>
          </cell>
        </row>
        <row r="146">
          <cell r="A146">
            <v>44049</v>
          </cell>
          <cell r="B146" t="str">
            <v>西部战区-成都-成都二组</v>
          </cell>
          <cell r="C146">
            <v>672</v>
          </cell>
          <cell r="D146">
            <v>662</v>
          </cell>
          <cell r="E146">
            <v>643</v>
          </cell>
          <cell r="F146">
            <v>443</v>
          </cell>
          <cell r="G146">
            <v>209</v>
          </cell>
          <cell r="H146">
            <v>692</v>
          </cell>
        </row>
        <row r="147">
          <cell r="A147">
            <v>44049</v>
          </cell>
          <cell r="B147" t="str">
            <v>南部战区-深圳-深圳一组</v>
          </cell>
          <cell r="C147">
            <v>3823</v>
          </cell>
          <cell r="D147">
            <v>3708</v>
          </cell>
          <cell r="E147">
            <v>3535</v>
          </cell>
          <cell r="F147">
            <v>2103</v>
          </cell>
          <cell r="G147">
            <v>1122</v>
          </cell>
          <cell r="H147">
            <v>689</v>
          </cell>
        </row>
        <row r="148">
          <cell r="A148">
            <v>44049</v>
          </cell>
          <cell r="B148" t="str">
            <v>南部战区-广州-广州一组</v>
          </cell>
          <cell r="C148">
            <v>6321</v>
          </cell>
          <cell r="D148">
            <v>6162</v>
          </cell>
          <cell r="E148">
            <v>5897</v>
          </cell>
          <cell r="F148">
            <v>3709</v>
          </cell>
          <cell r="G148">
            <v>2046</v>
          </cell>
          <cell r="H148">
            <v>688</v>
          </cell>
        </row>
        <row r="149">
          <cell r="A149">
            <v>44049</v>
          </cell>
          <cell r="B149" t="str">
            <v>南部战区-广州-广州三组</v>
          </cell>
          <cell r="C149">
            <v>3328</v>
          </cell>
          <cell r="D149">
            <v>3241</v>
          </cell>
          <cell r="E149">
            <v>3067</v>
          </cell>
          <cell r="F149">
            <v>1811</v>
          </cell>
          <cell r="G149">
            <v>997</v>
          </cell>
          <cell r="H149">
            <v>688</v>
          </cell>
        </row>
        <row r="150">
          <cell r="A150">
            <v>44049</v>
          </cell>
          <cell r="B150" t="str">
            <v>南部战区-广州-广州二组</v>
          </cell>
          <cell r="C150">
            <v>3114</v>
          </cell>
          <cell r="D150">
            <v>3063</v>
          </cell>
          <cell r="E150">
            <v>2939</v>
          </cell>
          <cell r="F150">
            <v>1851</v>
          </cell>
          <cell r="G150">
            <v>1069</v>
          </cell>
          <cell r="H150">
            <v>690</v>
          </cell>
        </row>
        <row r="151">
          <cell r="A151">
            <v>44049</v>
          </cell>
          <cell r="B151" t="str">
            <v>东部战区-苏州-苏州一组</v>
          </cell>
          <cell r="C151">
            <v>5050</v>
          </cell>
          <cell r="D151">
            <v>4887</v>
          </cell>
          <cell r="E151">
            <v>4658</v>
          </cell>
          <cell r="F151">
            <v>2805</v>
          </cell>
          <cell r="G151">
            <v>1458</v>
          </cell>
          <cell r="H151">
            <v>694</v>
          </cell>
        </row>
        <row r="152">
          <cell r="A152">
            <v>44049</v>
          </cell>
          <cell r="B152" t="str">
            <v>东部战区-苏州-苏州三组</v>
          </cell>
          <cell r="C152">
            <v>378</v>
          </cell>
          <cell r="D152">
            <v>369</v>
          </cell>
          <cell r="E152">
            <v>352</v>
          </cell>
          <cell r="F152">
            <v>205</v>
          </cell>
          <cell r="G152">
            <v>128</v>
          </cell>
          <cell r="H152">
            <v>690</v>
          </cell>
        </row>
        <row r="153">
          <cell r="A153">
            <v>44049</v>
          </cell>
          <cell r="B153" t="str">
            <v>东部战区-苏州-苏州二组</v>
          </cell>
          <cell r="C153">
            <v>6799</v>
          </cell>
          <cell r="D153">
            <v>6525</v>
          </cell>
          <cell r="E153">
            <v>6213</v>
          </cell>
          <cell r="F153">
            <v>3589</v>
          </cell>
          <cell r="G153">
            <v>1974</v>
          </cell>
          <cell r="H153">
            <v>696</v>
          </cell>
        </row>
        <row r="154">
          <cell r="A154">
            <v>44049</v>
          </cell>
          <cell r="B154" t="str">
            <v>东部战区-上海-上海一组</v>
          </cell>
          <cell r="C154">
            <v>6397</v>
          </cell>
          <cell r="D154">
            <v>6206</v>
          </cell>
          <cell r="E154">
            <v>5971</v>
          </cell>
          <cell r="F154">
            <v>3604</v>
          </cell>
          <cell r="G154">
            <v>1997</v>
          </cell>
          <cell r="H154">
            <v>693</v>
          </cell>
        </row>
        <row r="155">
          <cell r="A155">
            <v>44049</v>
          </cell>
          <cell r="B155" t="str">
            <v>东部战区-上海-上海三组</v>
          </cell>
          <cell r="C155">
            <v>2925</v>
          </cell>
          <cell r="D155">
            <v>2858</v>
          </cell>
          <cell r="E155">
            <v>2747</v>
          </cell>
          <cell r="F155">
            <v>1612</v>
          </cell>
          <cell r="G155">
            <v>968</v>
          </cell>
          <cell r="H155">
            <v>696</v>
          </cell>
        </row>
        <row r="156">
          <cell r="A156">
            <v>44049</v>
          </cell>
          <cell r="B156" t="str">
            <v>东部战区-上海-上海二组</v>
          </cell>
          <cell r="C156">
            <v>3563</v>
          </cell>
          <cell r="D156">
            <v>3506</v>
          </cell>
          <cell r="E156">
            <v>3361</v>
          </cell>
          <cell r="F156">
            <v>2021</v>
          </cell>
          <cell r="G156">
            <v>1074</v>
          </cell>
          <cell r="H156">
            <v>690</v>
          </cell>
        </row>
        <row r="157">
          <cell r="A157">
            <v>44049</v>
          </cell>
          <cell r="B157" t="str">
            <v>东部战区-南京-南京一组</v>
          </cell>
          <cell r="C157">
            <v>3124</v>
          </cell>
          <cell r="D157">
            <v>3056</v>
          </cell>
          <cell r="E157">
            <v>2959</v>
          </cell>
          <cell r="F157">
            <v>1702</v>
          </cell>
          <cell r="G157">
            <v>963</v>
          </cell>
          <cell r="H157">
            <v>696</v>
          </cell>
        </row>
        <row r="158">
          <cell r="A158">
            <v>44049</v>
          </cell>
          <cell r="B158" t="str">
            <v>东部战区-南京-南京四组</v>
          </cell>
          <cell r="C158">
            <v>1701</v>
          </cell>
          <cell r="D158">
            <v>1648</v>
          </cell>
          <cell r="E158">
            <v>1570</v>
          </cell>
          <cell r="F158">
            <v>867</v>
          </cell>
          <cell r="G158">
            <v>479</v>
          </cell>
          <cell r="H158">
            <v>695</v>
          </cell>
        </row>
        <row r="159">
          <cell r="A159">
            <v>44049</v>
          </cell>
          <cell r="B159" t="str">
            <v>东部战区-南京-南京三组</v>
          </cell>
          <cell r="C159">
            <v>1421</v>
          </cell>
          <cell r="D159">
            <v>1387</v>
          </cell>
          <cell r="E159">
            <v>1330</v>
          </cell>
          <cell r="F159">
            <v>830</v>
          </cell>
          <cell r="G159">
            <v>383</v>
          </cell>
          <cell r="H159">
            <v>697</v>
          </cell>
        </row>
        <row r="160">
          <cell r="A160">
            <v>44049</v>
          </cell>
          <cell r="B160" t="str">
            <v>东部战区-南京-南京二组</v>
          </cell>
          <cell r="C160">
            <v>1931</v>
          </cell>
          <cell r="D160">
            <v>1870</v>
          </cell>
          <cell r="E160">
            <v>1794</v>
          </cell>
          <cell r="F160">
            <v>1095</v>
          </cell>
          <cell r="G160">
            <v>574</v>
          </cell>
          <cell r="H160">
            <v>695</v>
          </cell>
        </row>
        <row r="161">
          <cell r="A161">
            <v>44049</v>
          </cell>
          <cell r="B161" t="str">
            <v>东部战区-合肥-合肥一组</v>
          </cell>
          <cell r="C161">
            <v>6133</v>
          </cell>
          <cell r="D161">
            <v>5982</v>
          </cell>
          <cell r="E161">
            <v>5692</v>
          </cell>
          <cell r="F161">
            <v>3545</v>
          </cell>
          <cell r="G161">
            <v>1735</v>
          </cell>
          <cell r="H161">
            <v>696</v>
          </cell>
        </row>
        <row r="162">
          <cell r="A162">
            <v>44049</v>
          </cell>
          <cell r="B162" t="str">
            <v>东部战区-合肥-合肥二组</v>
          </cell>
          <cell r="C162">
            <v>1264</v>
          </cell>
          <cell r="D162">
            <v>1245</v>
          </cell>
          <cell r="E162">
            <v>1202</v>
          </cell>
          <cell r="F162">
            <v>741</v>
          </cell>
          <cell r="G162">
            <v>392</v>
          </cell>
          <cell r="H162">
            <v>696</v>
          </cell>
        </row>
        <row r="163">
          <cell r="A163">
            <v>44049</v>
          </cell>
          <cell r="B163" t="str">
            <v>东部战区-杭州-杭州一组</v>
          </cell>
          <cell r="C163">
            <v>4301</v>
          </cell>
          <cell r="D163">
            <v>4142</v>
          </cell>
          <cell r="E163">
            <v>3940</v>
          </cell>
          <cell r="F163">
            <v>2424</v>
          </cell>
          <cell r="G163">
            <v>1198</v>
          </cell>
          <cell r="H163">
            <v>701</v>
          </cell>
        </row>
        <row r="164">
          <cell r="A164">
            <v>44049</v>
          </cell>
          <cell r="B164" t="str">
            <v>东部战区-杭州-杭州三组</v>
          </cell>
          <cell r="C164">
            <v>1012</v>
          </cell>
          <cell r="D164">
            <v>991</v>
          </cell>
          <cell r="E164">
            <v>974</v>
          </cell>
          <cell r="F164">
            <v>639</v>
          </cell>
          <cell r="G164">
            <v>380</v>
          </cell>
          <cell r="H164">
            <v>704</v>
          </cell>
        </row>
        <row r="165">
          <cell r="A165">
            <v>44049</v>
          </cell>
          <cell r="B165" t="str">
            <v>东部战区-杭州-杭州二组</v>
          </cell>
          <cell r="C165">
            <v>5063</v>
          </cell>
          <cell r="D165">
            <v>4946</v>
          </cell>
          <cell r="E165">
            <v>4779</v>
          </cell>
          <cell r="F165">
            <v>2683</v>
          </cell>
          <cell r="G165">
            <v>1538</v>
          </cell>
          <cell r="H165">
            <v>694</v>
          </cell>
        </row>
        <row r="166">
          <cell r="A166">
            <v>44049</v>
          </cell>
          <cell r="B166" t="str">
            <v>北部战区-天津-天津一组</v>
          </cell>
          <cell r="C166">
            <v>1523</v>
          </cell>
          <cell r="D166">
            <v>1510</v>
          </cell>
          <cell r="E166">
            <v>1465</v>
          </cell>
          <cell r="F166">
            <v>793</v>
          </cell>
          <cell r="G166">
            <v>503</v>
          </cell>
          <cell r="H166">
            <v>685</v>
          </cell>
        </row>
        <row r="167">
          <cell r="A167">
            <v>44049</v>
          </cell>
          <cell r="B167" t="str">
            <v>北部战区-北京-北京一组</v>
          </cell>
          <cell r="C167">
            <v>95</v>
          </cell>
          <cell r="D167">
            <v>91</v>
          </cell>
          <cell r="E167">
            <v>85</v>
          </cell>
          <cell r="F167">
            <v>45</v>
          </cell>
          <cell r="G167">
            <v>25</v>
          </cell>
          <cell r="H167">
            <v>686</v>
          </cell>
        </row>
        <row r="168">
          <cell r="A168">
            <v>44049</v>
          </cell>
          <cell r="B168" t="str">
            <v>北部战区-北京-北京四组</v>
          </cell>
          <cell r="C168">
            <v>1721</v>
          </cell>
          <cell r="D168">
            <v>1698</v>
          </cell>
          <cell r="E168">
            <v>1663</v>
          </cell>
          <cell r="F168">
            <v>1003</v>
          </cell>
          <cell r="G168">
            <v>582</v>
          </cell>
          <cell r="H168">
            <v>688</v>
          </cell>
        </row>
        <row r="169">
          <cell r="A169">
            <v>44049</v>
          </cell>
          <cell r="B169" t="str">
            <v>北部战区-北京-北京三组</v>
          </cell>
          <cell r="C169">
            <v>2344</v>
          </cell>
          <cell r="D169">
            <v>2306</v>
          </cell>
          <cell r="E169">
            <v>2205</v>
          </cell>
          <cell r="F169">
            <v>1375</v>
          </cell>
          <cell r="G169">
            <v>687</v>
          </cell>
          <cell r="H169">
            <v>689</v>
          </cell>
        </row>
        <row r="170">
          <cell r="A170">
            <v>44049</v>
          </cell>
          <cell r="B170" t="str">
            <v>北部战区-北京-北京二组</v>
          </cell>
          <cell r="C170">
            <v>10</v>
          </cell>
          <cell r="D170">
            <v>10</v>
          </cell>
          <cell r="E170">
            <v>10</v>
          </cell>
          <cell r="F170">
            <v>7</v>
          </cell>
          <cell r="G170">
            <v>5</v>
          </cell>
          <cell r="H170">
            <v>685</v>
          </cell>
        </row>
        <row r="171">
          <cell r="A171">
            <v>44050</v>
          </cell>
          <cell r="B171" t="str">
            <v>西部战区-重庆-重庆一组</v>
          </cell>
          <cell r="C171">
            <v>2133</v>
          </cell>
          <cell r="D171">
            <v>2102</v>
          </cell>
          <cell r="E171">
            <v>2043</v>
          </cell>
          <cell r="F171">
            <v>1310</v>
          </cell>
          <cell r="G171">
            <v>719</v>
          </cell>
          <cell r="H171">
            <v>691</v>
          </cell>
        </row>
        <row r="172">
          <cell r="A172">
            <v>44050</v>
          </cell>
          <cell r="B172" t="str">
            <v>西部战区-西安-西安一组</v>
          </cell>
          <cell r="C172">
            <v>3717</v>
          </cell>
          <cell r="D172">
            <v>3652</v>
          </cell>
          <cell r="E172">
            <v>3534</v>
          </cell>
          <cell r="F172">
            <v>2135</v>
          </cell>
          <cell r="G172">
            <v>1196</v>
          </cell>
          <cell r="H172">
            <v>691</v>
          </cell>
        </row>
        <row r="173">
          <cell r="A173">
            <v>44050</v>
          </cell>
          <cell r="B173" t="str">
            <v>西部战区-武汉-武汉一组</v>
          </cell>
          <cell r="C173">
            <v>1814</v>
          </cell>
          <cell r="D173">
            <v>1766</v>
          </cell>
          <cell r="E173">
            <v>1695</v>
          </cell>
          <cell r="F173">
            <v>1027</v>
          </cell>
          <cell r="G173">
            <v>520</v>
          </cell>
          <cell r="H173">
            <v>697</v>
          </cell>
        </row>
        <row r="174">
          <cell r="A174">
            <v>44050</v>
          </cell>
          <cell r="B174" t="str">
            <v>西部战区-成都-成都一组</v>
          </cell>
          <cell r="C174">
            <v>2990</v>
          </cell>
          <cell r="D174">
            <v>2919</v>
          </cell>
          <cell r="E174">
            <v>2820</v>
          </cell>
          <cell r="F174">
            <v>1821</v>
          </cell>
          <cell r="G174">
            <v>1015</v>
          </cell>
          <cell r="H174">
            <v>691</v>
          </cell>
        </row>
        <row r="175">
          <cell r="A175">
            <v>44050</v>
          </cell>
          <cell r="B175" t="str">
            <v>西部战区-成都-成都二组</v>
          </cell>
          <cell r="C175">
            <v>672</v>
          </cell>
          <cell r="D175">
            <v>662</v>
          </cell>
          <cell r="E175">
            <v>643</v>
          </cell>
          <cell r="F175">
            <v>443</v>
          </cell>
          <cell r="G175">
            <v>209</v>
          </cell>
          <cell r="H175">
            <v>692</v>
          </cell>
        </row>
        <row r="176">
          <cell r="A176">
            <v>44050</v>
          </cell>
          <cell r="B176" t="str">
            <v>南部战区-深圳-深圳一组</v>
          </cell>
          <cell r="C176">
            <v>3823</v>
          </cell>
          <cell r="D176">
            <v>3708</v>
          </cell>
          <cell r="E176">
            <v>3535</v>
          </cell>
          <cell r="F176">
            <v>2103</v>
          </cell>
          <cell r="G176">
            <v>1122</v>
          </cell>
          <cell r="H176">
            <v>689</v>
          </cell>
        </row>
        <row r="177">
          <cell r="A177">
            <v>44050</v>
          </cell>
          <cell r="B177" t="str">
            <v>南部战区-广州-广州一组</v>
          </cell>
          <cell r="C177">
            <v>5740</v>
          </cell>
          <cell r="D177">
            <v>5615</v>
          </cell>
          <cell r="E177">
            <v>5382</v>
          </cell>
          <cell r="F177">
            <v>3290</v>
          </cell>
          <cell r="G177">
            <v>1830</v>
          </cell>
          <cell r="H177">
            <v>687</v>
          </cell>
        </row>
        <row r="178">
          <cell r="A178">
            <v>44050</v>
          </cell>
          <cell r="B178" t="str">
            <v>南部战区-广州-广州三组</v>
          </cell>
          <cell r="C178">
            <v>3584</v>
          </cell>
          <cell r="D178">
            <v>3483</v>
          </cell>
          <cell r="E178">
            <v>3304</v>
          </cell>
          <cell r="F178">
            <v>1969</v>
          </cell>
          <cell r="G178">
            <v>1112</v>
          </cell>
          <cell r="H178">
            <v>688</v>
          </cell>
        </row>
        <row r="179">
          <cell r="A179">
            <v>44050</v>
          </cell>
          <cell r="B179" t="str">
            <v>南部战区-广州-广州二组</v>
          </cell>
          <cell r="C179">
            <v>1470</v>
          </cell>
          <cell r="D179">
            <v>1452</v>
          </cell>
          <cell r="E179">
            <v>1410</v>
          </cell>
          <cell r="F179">
            <v>857</v>
          </cell>
          <cell r="G179">
            <v>550</v>
          </cell>
          <cell r="H179">
            <v>688</v>
          </cell>
        </row>
        <row r="180">
          <cell r="A180">
            <v>44050</v>
          </cell>
          <cell r="B180" t="str">
            <v>东部战区-苏州-苏州一组</v>
          </cell>
          <cell r="C180">
            <v>5407</v>
          </cell>
          <cell r="D180">
            <v>5224</v>
          </cell>
          <cell r="E180">
            <v>4994</v>
          </cell>
          <cell r="F180">
            <v>3015</v>
          </cell>
          <cell r="G180">
            <v>1519</v>
          </cell>
          <cell r="H180">
            <v>694</v>
          </cell>
        </row>
        <row r="181">
          <cell r="A181">
            <v>44050</v>
          </cell>
          <cell r="B181" t="str">
            <v>东部战区-苏州-苏州三组</v>
          </cell>
          <cell r="C181">
            <v>361</v>
          </cell>
          <cell r="D181">
            <v>355</v>
          </cell>
          <cell r="E181">
            <v>325</v>
          </cell>
          <cell r="F181">
            <v>193</v>
          </cell>
          <cell r="G181">
            <v>116</v>
          </cell>
          <cell r="H181">
            <v>691</v>
          </cell>
        </row>
        <row r="182">
          <cell r="A182">
            <v>44050</v>
          </cell>
          <cell r="B182" t="str">
            <v>东部战区-苏州-苏州二组</v>
          </cell>
          <cell r="C182">
            <v>6577</v>
          </cell>
          <cell r="D182">
            <v>6317</v>
          </cell>
          <cell r="E182">
            <v>6008</v>
          </cell>
          <cell r="F182">
            <v>3472</v>
          </cell>
          <cell r="G182">
            <v>1875</v>
          </cell>
          <cell r="H182">
            <v>696</v>
          </cell>
        </row>
        <row r="183">
          <cell r="A183">
            <v>44050</v>
          </cell>
          <cell r="B183" t="str">
            <v>东部战区-上海-上海一组</v>
          </cell>
          <cell r="C183">
            <v>6397</v>
          </cell>
          <cell r="D183">
            <v>6206</v>
          </cell>
          <cell r="E183">
            <v>5971</v>
          </cell>
          <cell r="F183">
            <v>3604</v>
          </cell>
          <cell r="G183">
            <v>1997</v>
          </cell>
          <cell r="H183">
            <v>693</v>
          </cell>
        </row>
        <row r="184">
          <cell r="A184">
            <v>44050</v>
          </cell>
          <cell r="B184" t="str">
            <v>东部战区-上海-上海三组</v>
          </cell>
          <cell r="C184">
            <v>2199</v>
          </cell>
          <cell r="D184">
            <v>2160</v>
          </cell>
          <cell r="E184">
            <v>2085</v>
          </cell>
          <cell r="F184">
            <v>1198</v>
          </cell>
          <cell r="G184">
            <v>730</v>
          </cell>
          <cell r="H184">
            <v>693</v>
          </cell>
        </row>
        <row r="185">
          <cell r="A185">
            <v>44050</v>
          </cell>
          <cell r="B185" t="str">
            <v>东部战区-上海-上海二组</v>
          </cell>
          <cell r="C185">
            <v>3435</v>
          </cell>
          <cell r="D185">
            <v>3380</v>
          </cell>
          <cell r="E185">
            <v>3240</v>
          </cell>
          <cell r="F185">
            <v>1944</v>
          </cell>
          <cell r="G185">
            <v>1048</v>
          </cell>
          <cell r="H185">
            <v>690</v>
          </cell>
        </row>
        <row r="186">
          <cell r="A186">
            <v>44050</v>
          </cell>
          <cell r="B186" t="str">
            <v>东部战区-南京-南京一组</v>
          </cell>
          <cell r="C186">
            <v>3966</v>
          </cell>
          <cell r="D186">
            <v>3880</v>
          </cell>
          <cell r="E186">
            <v>3735</v>
          </cell>
          <cell r="F186">
            <v>2154</v>
          </cell>
          <cell r="G186">
            <v>1190</v>
          </cell>
          <cell r="H186">
            <v>697</v>
          </cell>
        </row>
        <row r="187">
          <cell r="A187">
            <v>44050</v>
          </cell>
          <cell r="B187" t="str">
            <v>东部战区-南京-南京四组</v>
          </cell>
          <cell r="C187">
            <v>998</v>
          </cell>
          <cell r="D187">
            <v>974</v>
          </cell>
          <cell r="E187">
            <v>935</v>
          </cell>
          <cell r="F187">
            <v>513</v>
          </cell>
          <cell r="G187">
            <v>295</v>
          </cell>
          <cell r="H187">
            <v>694</v>
          </cell>
        </row>
        <row r="188">
          <cell r="A188">
            <v>44050</v>
          </cell>
          <cell r="B188" t="str">
            <v>东部战区-南京-南京三组</v>
          </cell>
          <cell r="C188">
            <v>2869</v>
          </cell>
          <cell r="D188">
            <v>2815</v>
          </cell>
          <cell r="E188">
            <v>2713</v>
          </cell>
          <cell r="F188">
            <v>1648</v>
          </cell>
          <cell r="G188">
            <v>829</v>
          </cell>
          <cell r="H188">
            <v>698</v>
          </cell>
        </row>
        <row r="189">
          <cell r="A189">
            <v>44050</v>
          </cell>
          <cell r="B189" t="str">
            <v>东部战区-南京-南京二组</v>
          </cell>
          <cell r="C189">
            <v>1815</v>
          </cell>
          <cell r="D189">
            <v>1759</v>
          </cell>
          <cell r="E189">
            <v>1685</v>
          </cell>
          <cell r="F189">
            <v>1060</v>
          </cell>
          <cell r="G189">
            <v>545</v>
          </cell>
          <cell r="H189">
            <v>699</v>
          </cell>
        </row>
        <row r="190">
          <cell r="A190">
            <v>44050</v>
          </cell>
          <cell r="B190" t="str">
            <v>东部战区-合肥-合肥一组</v>
          </cell>
          <cell r="C190">
            <v>4384</v>
          </cell>
          <cell r="D190">
            <v>4272</v>
          </cell>
          <cell r="E190">
            <v>4062</v>
          </cell>
          <cell r="F190">
            <v>2481</v>
          </cell>
          <cell r="G190">
            <v>1205</v>
          </cell>
          <cell r="H190">
            <v>693</v>
          </cell>
        </row>
        <row r="191">
          <cell r="A191">
            <v>44050</v>
          </cell>
          <cell r="B191" t="str">
            <v>东部战区-合肥-合肥二组</v>
          </cell>
          <cell r="C191">
            <v>1307</v>
          </cell>
          <cell r="D191">
            <v>1277</v>
          </cell>
          <cell r="E191">
            <v>1207</v>
          </cell>
          <cell r="F191">
            <v>770</v>
          </cell>
          <cell r="G191">
            <v>368</v>
          </cell>
          <cell r="H191">
            <v>697</v>
          </cell>
        </row>
        <row r="192">
          <cell r="A192">
            <v>44050</v>
          </cell>
          <cell r="B192" t="str">
            <v>东部战区-杭州-杭州一组</v>
          </cell>
          <cell r="C192">
            <v>6548</v>
          </cell>
          <cell r="D192">
            <v>6290</v>
          </cell>
          <cell r="E192">
            <v>5971</v>
          </cell>
          <cell r="F192">
            <v>3662</v>
          </cell>
          <cell r="G192">
            <v>1756</v>
          </cell>
          <cell r="H192">
            <v>701</v>
          </cell>
        </row>
        <row r="193">
          <cell r="A193">
            <v>44050</v>
          </cell>
          <cell r="B193" t="str">
            <v>东部战区-杭州-杭州三组</v>
          </cell>
          <cell r="C193">
            <v>1773</v>
          </cell>
          <cell r="D193">
            <v>1738</v>
          </cell>
          <cell r="E193">
            <v>1690</v>
          </cell>
          <cell r="F193">
            <v>1017</v>
          </cell>
          <cell r="G193">
            <v>614</v>
          </cell>
          <cell r="H193">
            <v>701</v>
          </cell>
        </row>
        <row r="194">
          <cell r="A194">
            <v>44050</v>
          </cell>
          <cell r="B194" t="str">
            <v>东部战区-杭州-杭州二组</v>
          </cell>
          <cell r="C194">
            <v>4358</v>
          </cell>
          <cell r="D194">
            <v>4244</v>
          </cell>
          <cell r="E194">
            <v>4089</v>
          </cell>
          <cell r="F194">
            <v>2366</v>
          </cell>
          <cell r="G194">
            <v>1302</v>
          </cell>
          <cell r="H194">
            <v>694</v>
          </cell>
        </row>
        <row r="195">
          <cell r="A195">
            <v>44050</v>
          </cell>
          <cell r="B195" t="str">
            <v>北部战区-天津-天津一组</v>
          </cell>
          <cell r="C195">
            <v>1649</v>
          </cell>
          <cell r="D195">
            <v>1630</v>
          </cell>
          <cell r="E195">
            <v>1583</v>
          </cell>
          <cell r="F195">
            <v>847</v>
          </cell>
          <cell r="G195">
            <v>532</v>
          </cell>
          <cell r="H195">
            <v>684</v>
          </cell>
        </row>
        <row r="196">
          <cell r="A196">
            <v>44050</v>
          </cell>
          <cell r="B196" t="str">
            <v>北部战区-北京-北京一组</v>
          </cell>
          <cell r="C196">
            <v>15</v>
          </cell>
          <cell r="D196">
            <v>14</v>
          </cell>
          <cell r="E196">
            <v>13</v>
          </cell>
          <cell r="F196">
            <v>8</v>
          </cell>
          <cell r="G196">
            <v>3</v>
          </cell>
          <cell r="H196">
            <v>696</v>
          </cell>
        </row>
        <row r="197">
          <cell r="A197">
            <v>44050</v>
          </cell>
          <cell r="B197" t="str">
            <v>北部战区-北京-北京四组</v>
          </cell>
          <cell r="C197">
            <v>1721</v>
          </cell>
          <cell r="D197">
            <v>1698</v>
          </cell>
          <cell r="E197">
            <v>1663</v>
          </cell>
          <cell r="F197">
            <v>1003</v>
          </cell>
          <cell r="G197">
            <v>582</v>
          </cell>
          <cell r="H197">
            <v>688</v>
          </cell>
        </row>
        <row r="198">
          <cell r="A198">
            <v>44050</v>
          </cell>
          <cell r="B198" t="str">
            <v>北部战区-北京-北京三组</v>
          </cell>
          <cell r="C198">
            <v>3095</v>
          </cell>
          <cell r="D198">
            <v>3034</v>
          </cell>
          <cell r="E198">
            <v>2909</v>
          </cell>
          <cell r="F198">
            <v>1815</v>
          </cell>
          <cell r="G198">
            <v>933</v>
          </cell>
          <cell r="H198">
            <v>689</v>
          </cell>
        </row>
        <row r="199">
          <cell r="A199">
            <v>44050</v>
          </cell>
          <cell r="B199" t="str">
            <v>北部战区-北京-北京二组</v>
          </cell>
          <cell r="C199">
            <v>10</v>
          </cell>
          <cell r="D199">
            <v>10</v>
          </cell>
          <cell r="E199">
            <v>10</v>
          </cell>
          <cell r="F199">
            <v>7</v>
          </cell>
          <cell r="G199">
            <v>5</v>
          </cell>
          <cell r="H199">
            <v>685</v>
          </cell>
        </row>
        <row r="200">
          <cell r="A200">
            <v>44051</v>
          </cell>
          <cell r="B200" t="str">
            <v>西部战区-重庆-重庆一组</v>
          </cell>
          <cell r="C200">
            <v>2583</v>
          </cell>
          <cell r="D200">
            <v>2540</v>
          </cell>
          <cell r="E200">
            <v>2470</v>
          </cell>
          <cell r="F200">
            <v>1542</v>
          </cell>
          <cell r="G200">
            <v>855</v>
          </cell>
          <cell r="H200">
            <v>690</v>
          </cell>
        </row>
        <row r="201">
          <cell r="A201">
            <v>44051</v>
          </cell>
          <cell r="B201" t="str">
            <v>西部战区-西安-西安一组</v>
          </cell>
          <cell r="C201">
            <v>2969</v>
          </cell>
          <cell r="D201">
            <v>2920</v>
          </cell>
          <cell r="E201">
            <v>2830</v>
          </cell>
          <cell r="F201">
            <v>1732</v>
          </cell>
          <cell r="G201">
            <v>979</v>
          </cell>
          <cell r="H201">
            <v>692</v>
          </cell>
        </row>
        <row r="202">
          <cell r="A202">
            <v>44051</v>
          </cell>
          <cell r="B202" t="str">
            <v>西部战区-武汉-武汉一组</v>
          </cell>
          <cell r="C202">
            <v>2538</v>
          </cell>
          <cell r="D202">
            <v>2483</v>
          </cell>
          <cell r="E202">
            <v>2387</v>
          </cell>
          <cell r="F202">
            <v>1460</v>
          </cell>
          <cell r="G202">
            <v>736</v>
          </cell>
          <cell r="H202">
            <v>698</v>
          </cell>
        </row>
        <row r="203">
          <cell r="A203">
            <v>44051</v>
          </cell>
          <cell r="B203" t="str">
            <v>西部战区-成都-成都一组</v>
          </cell>
          <cell r="C203">
            <v>2743</v>
          </cell>
          <cell r="D203">
            <v>2676</v>
          </cell>
          <cell r="E203">
            <v>2581</v>
          </cell>
          <cell r="F203">
            <v>1655</v>
          </cell>
          <cell r="G203">
            <v>928</v>
          </cell>
          <cell r="H203">
            <v>691</v>
          </cell>
        </row>
        <row r="204">
          <cell r="A204">
            <v>44051</v>
          </cell>
          <cell r="B204" t="str">
            <v>西部战区-成都-成都二组</v>
          </cell>
          <cell r="C204">
            <v>672</v>
          </cell>
          <cell r="D204">
            <v>662</v>
          </cell>
          <cell r="E204">
            <v>643</v>
          </cell>
          <cell r="F204">
            <v>443</v>
          </cell>
          <cell r="G204">
            <v>209</v>
          </cell>
          <cell r="H204">
            <v>692</v>
          </cell>
        </row>
        <row r="205">
          <cell r="A205">
            <v>44051</v>
          </cell>
          <cell r="B205" t="str">
            <v>南部战区-深圳-深圳一组</v>
          </cell>
          <cell r="C205">
            <v>3823</v>
          </cell>
          <cell r="D205">
            <v>3708</v>
          </cell>
          <cell r="E205">
            <v>3535</v>
          </cell>
          <cell r="F205">
            <v>2103</v>
          </cell>
          <cell r="G205">
            <v>1122</v>
          </cell>
          <cell r="H205">
            <v>689</v>
          </cell>
        </row>
        <row r="206">
          <cell r="A206">
            <v>44051</v>
          </cell>
          <cell r="B206" t="str">
            <v>南部战区-广州-广州一组</v>
          </cell>
          <cell r="C206">
            <v>6284</v>
          </cell>
          <cell r="D206">
            <v>6145</v>
          </cell>
          <cell r="E206">
            <v>5890</v>
          </cell>
          <cell r="F206">
            <v>3622</v>
          </cell>
          <cell r="G206">
            <v>2009</v>
          </cell>
          <cell r="H206">
            <v>687</v>
          </cell>
        </row>
        <row r="207">
          <cell r="A207">
            <v>44051</v>
          </cell>
          <cell r="B207" t="str">
            <v>南部战区-广州-广州三组</v>
          </cell>
          <cell r="C207">
            <v>3868</v>
          </cell>
          <cell r="D207">
            <v>3765</v>
          </cell>
          <cell r="E207">
            <v>3575</v>
          </cell>
          <cell r="F207">
            <v>2129</v>
          </cell>
          <cell r="G207">
            <v>1197</v>
          </cell>
          <cell r="H207">
            <v>688</v>
          </cell>
        </row>
        <row r="208">
          <cell r="A208">
            <v>44051</v>
          </cell>
          <cell r="B208" t="str">
            <v>南部战区-广州-广州二组</v>
          </cell>
          <cell r="C208">
            <v>3608</v>
          </cell>
          <cell r="D208">
            <v>3532</v>
          </cell>
          <cell r="E208">
            <v>3366</v>
          </cell>
          <cell r="F208">
            <v>2083</v>
          </cell>
          <cell r="G208">
            <v>1204</v>
          </cell>
          <cell r="H208">
            <v>691</v>
          </cell>
        </row>
        <row r="209">
          <cell r="A209">
            <v>44051</v>
          </cell>
          <cell r="B209" t="str">
            <v>东部战区-苏州-苏州一组</v>
          </cell>
          <cell r="C209">
            <v>5539</v>
          </cell>
          <cell r="D209">
            <v>5354</v>
          </cell>
          <cell r="E209">
            <v>5123</v>
          </cell>
          <cell r="F209">
            <v>3095</v>
          </cell>
          <cell r="G209">
            <v>1569</v>
          </cell>
          <cell r="H209">
            <v>694</v>
          </cell>
        </row>
        <row r="210">
          <cell r="A210">
            <v>44051</v>
          </cell>
          <cell r="B210" t="str">
            <v>东部战区-苏州-苏州二组</v>
          </cell>
          <cell r="C210">
            <v>4650</v>
          </cell>
          <cell r="D210">
            <v>4488</v>
          </cell>
          <cell r="E210">
            <v>4248</v>
          </cell>
          <cell r="F210">
            <v>2513</v>
          </cell>
          <cell r="G210">
            <v>1382</v>
          </cell>
          <cell r="H210">
            <v>695</v>
          </cell>
        </row>
        <row r="211">
          <cell r="A211">
            <v>44051</v>
          </cell>
          <cell r="B211" t="str">
            <v>东部战区-上海-上海一组</v>
          </cell>
          <cell r="C211">
            <v>5509</v>
          </cell>
          <cell r="D211">
            <v>5335</v>
          </cell>
          <cell r="E211">
            <v>5150</v>
          </cell>
          <cell r="F211">
            <v>3113</v>
          </cell>
          <cell r="G211">
            <v>1733</v>
          </cell>
          <cell r="H211">
            <v>694</v>
          </cell>
        </row>
        <row r="212">
          <cell r="A212">
            <v>44051</v>
          </cell>
          <cell r="B212" t="str">
            <v>东部战区-上海-上海三组</v>
          </cell>
          <cell r="C212">
            <v>2925</v>
          </cell>
          <cell r="D212">
            <v>2858</v>
          </cell>
          <cell r="E212">
            <v>2747</v>
          </cell>
          <cell r="F212">
            <v>1612</v>
          </cell>
          <cell r="G212">
            <v>968</v>
          </cell>
          <cell r="H212">
            <v>696</v>
          </cell>
        </row>
        <row r="213">
          <cell r="A213">
            <v>44051</v>
          </cell>
          <cell r="B213" t="str">
            <v>东部战区-上海-上海二组</v>
          </cell>
          <cell r="C213">
            <v>3603</v>
          </cell>
          <cell r="D213">
            <v>3543</v>
          </cell>
          <cell r="E213">
            <v>3395</v>
          </cell>
          <cell r="F213">
            <v>2031</v>
          </cell>
          <cell r="G213">
            <v>1078</v>
          </cell>
          <cell r="H213">
            <v>690</v>
          </cell>
        </row>
        <row r="214">
          <cell r="A214">
            <v>44051</v>
          </cell>
          <cell r="B214" t="str">
            <v>东部战区-南京-南京一组</v>
          </cell>
          <cell r="C214">
            <v>3576</v>
          </cell>
          <cell r="D214">
            <v>3498</v>
          </cell>
          <cell r="E214">
            <v>3371</v>
          </cell>
          <cell r="F214">
            <v>1956</v>
          </cell>
          <cell r="G214">
            <v>1085</v>
          </cell>
          <cell r="H214">
            <v>697</v>
          </cell>
        </row>
        <row r="215">
          <cell r="A215">
            <v>44051</v>
          </cell>
          <cell r="B215" t="str">
            <v>东部战区-南京-南京四组</v>
          </cell>
          <cell r="C215">
            <v>1402</v>
          </cell>
          <cell r="D215">
            <v>1368</v>
          </cell>
          <cell r="E215">
            <v>1311</v>
          </cell>
          <cell r="F215">
            <v>766</v>
          </cell>
          <cell r="G215">
            <v>467</v>
          </cell>
          <cell r="H215">
            <v>696</v>
          </cell>
        </row>
        <row r="216">
          <cell r="A216">
            <v>44051</v>
          </cell>
          <cell r="B216" t="str">
            <v>东部战区-南京-南京三组</v>
          </cell>
          <cell r="C216">
            <v>1637</v>
          </cell>
          <cell r="D216">
            <v>1606</v>
          </cell>
          <cell r="E216">
            <v>1546</v>
          </cell>
          <cell r="F216">
            <v>919</v>
          </cell>
          <cell r="G216">
            <v>446</v>
          </cell>
          <cell r="H216">
            <v>697</v>
          </cell>
        </row>
        <row r="217">
          <cell r="A217">
            <v>44051</v>
          </cell>
          <cell r="B217" t="str">
            <v>东部战区-南京-南京二组</v>
          </cell>
          <cell r="C217">
            <v>1606</v>
          </cell>
          <cell r="D217">
            <v>1557</v>
          </cell>
          <cell r="E217">
            <v>1492</v>
          </cell>
          <cell r="F217">
            <v>962</v>
          </cell>
          <cell r="G217">
            <v>507</v>
          </cell>
          <cell r="H217">
            <v>701</v>
          </cell>
        </row>
        <row r="218">
          <cell r="A218">
            <v>44051</v>
          </cell>
          <cell r="B218" t="str">
            <v>东部战区-合肥-合肥一组</v>
          </cell>
          <cell r="C218">
            <v>5881</v>
          </cell>
          <cell r="D218">
            <v>5738</v>
          </cell>
          <cell r="E218">
            <v>5474</v>
          </cell>
          <cell r="F218">
            <v>3433</v>
          </cell>
          <cell r="G218">
            <v>1676</v>
          </cell>
          <cell r="H218">
            <v>697</v>
          </cell>
        </row>
        <row r="219">
          <cell r="A219">
            <v>44051</v>
          </cell>
          <cell r="B219" t="str">
            <v>东部战区-合肥-合肥二组</v>
          </cell>
          <cell r="C219">
            <v>1292</v>
          </cell>
          <cell r="D219">
            <v>1268</v>
          </cell>
          <cell r="E219">
            <v>1213</v>
          </cell>
          <cell r="F219">
            <v>757</v>
          </cell>
          <cell r="G219">
            <v>391</v>
          </cell>
          <cell r="H219">
            <v>696</v>
          </cell>
        </row>
        <row r="220">
          <cell r="A220">
            <v>44051</v>
          </cell>
          <cell r="B220" t="str">
            <v>东部战区-杭州-杭州一组</v>
          </cell>
          <cell r="C220">
            <v>6742</v>
          </cell>
          <cell r="D220">
            <v>6482</v>
          </cell>
          <cell r="E220">
            <v>6142</v>
          </cell>
          <cell r="F220">
            <v>3799</v>
          </cell>
          <cell r="G220">
            <v>1789</v>
          </cell>
          <cell r="H220">
            <v>702</v>
          </cell>
        </row>
        <row r="221">
          <cell r="A221">
            <v>44051</v>
          </cell>
          <cell r="B221" t="str">
            <v>东部战区-杭州-杭州三组</v>
          </cell>
          <cell r="C221">
            <v>1773</v>
          </cell>
          <cell r="D221">
            <v>1738</v>
          </cell>
          <cell r="E221">
            <v>1690</v>
          </cell>
          <cell r="F221">
            <v>1017</v>
          </cell>
          <cell r="G221">
            <v>614</v>
          </cell>
          <cell r="H221">
            <v>701</v>
          </cell>
        </row>
        <row r="222">
          <cell r="A222">
            <v>44051</v>
          </cell>
          <cell r="B222" t="str">
            <v>东部战区-杭州-杭州二组</v>
          </cell>
          <cell r="C222">
            <v>5283</v>
          </cell>
          <cell r="D222">
            <v>5146</v>
          </cell>
          <cell r="E222">
            <v>4976</v>
          </cell>
          <cell r="F222">
            <v>2839</v>
          </cell>
          <cell r="G222">
            <v>1597</v>
          </cell>
          <cell r="H222">
            <v>694</v>
          </cell>
        </row>
        <row r="223">
          <cell r="A223">
            <v>44051</v>
          </cell>
          <cell r="B223" t="str">
            <v>北部战区-天津-天津一组</v>
          </cell>
          <cell r="C223">
            <v>1124</v>
          </cell>
          <cell r="D223">
            <v>1111</v>
          </cell>
          <cell r="E223">
            <v>1072</v>
          </cell>
          <cell r="F223">
            <v>591</v>
          </cell>
          <cell r="G223">
            <v>360</v>
          </cell>
          <cell r="H223">
            <v>685</v>
          </cell>
        </row>
        <row r="224">
          <cell r="A224">
            <v>44051</v>
          </cell>
          <cell r="B224" t="str">
            <v>北部战区-北京-北京一组</v>
          </cell>
          <cell r="C224">
            <v>95</v>
          </cell>
          <cell r="D224">
            <v>91</v>
          </cell>
          <cell r="E224">
            <v>85</v>
          </cell>
          <cell r="F224">
            <v>45</v>
          </cell>
          <cell r="G224">
            <v>25</v>
          </cell>
          <cell r="H224">
            <v>686</v>
          </cell>
        </row>
        <row r="225">
          <cell r="A225">
            <v>44051</v>
          </cell>
          <cell r="B225" t="str">
            <v>北部战区-北京-北京四组</v>
          </cell>
          <cell r="C225">
            <v>1721</v>
          </cell>
          <cell r="D225">
            <v>1698</v>
          </cell>
          <cell r="E225">
            <v>1663</v>
          </cell>
          <cell r="F225">
            <v>1003</v>
          </cell>
          <cell r="G225">
            <v>582</v>
          </cell>
          <cell r="H225">
            <v>688</v>
          </cell>
        </row>
        <row r="226">
          <cell r="A226">
            <v>44051</v>
          </cell>
          <cell r="B226" t="str">
            <v>北部战区-北京-北京三组</v>
          </cell>
          <cell r="C226">
            <v>1275</v>
          </cell>
          <cell r="D226">
            <v>1256</v>
          </cell>
          <cell r="E226">
            <v>1208</v>
          </cell>
          <cell r="F226">
            <v>731</v>
          </cell>
          <cell r="G226">
            <v>377</v>
          </cell>
          <cell r="H226">
            <v>689</v>
          </cell>
        </row>
        <row r="227">
          <cell r="A227">
            <v>44052</v>
          </cell>
          <cell r="B227" t="str">
            <v>西部战区-重庆-重庆一组</v>
          </cell>
          <cell r="C227">
            <v>2133</v>
          </cell>
          <cell r="D227">
            <v>2102</v>
          </cell>
          <cell r="E227">
            <v>2043</v>
          </cell>
          <cell r="F227">
            <v>1310</v>
          </cell>
          <cell r="G227">
            <v>719</v>
          </cell>
          <cell r="H227">
            <v>691</v>
          </cell>
        </row>
        <row r="228">
          <cell r="A228">
            <v>44052</v>
          </cell>
          <cell r="B228" t="str">
            <v>西部战区-西安-西安一组</v>
          </cell>
          <cell r="C228">
            <v>3717</v>
          </cell>
          <cell r="D228">
            <v>3652</v>
          </cell>
          <cell r="E228">
            <v>3534</v>
          </cell>
          <cell r="F228">
            <v>2135</v>
          </cell>
          <cell r="G228">
            <v>1196</v>
          </cell>
          <cell r="H228">
            <v>691</v>
          </cell>
        </row>
        <row r="229">
          <cell r="A229">
            <v>44052</v>
          </cell>
          <cell r="B229" t="str">
            <v>西部战区-武汉-武汉一组</v>
          </cell>
          <cell r="C229">
            <v>1378</v>
          </cell>
          <cell r="D229">
            <v>1349</v>
          </cell>
          <cell r="E229">
            <v>1304</v>
          </cell>
          <cell r="F229">
            <v>773</v>
          </cell>
          <cell r="G229">
            <v>450</v>
          </cell>
          <cell r="H229">
            <v>695</v>
          </cell>
        </row>
        <row r="230">
          <cell r="A230">
            <v>44052</v>
          </cell>
          <cell r="B230" t="str">
            <v>西部战区-成都-成都一组</v>
          </cell>
          <cell r="C230">
            <v>1946</v>
          </cell>
          <cell r="D230">
            <v>1900</v>
          </cell>
          <cell r="E230">
            <v>1835</v>
          </cell>
          <cell r="F230">
            <v>1189</v>
          </cell>
          <cell r="G230">
            <v>695</v>
          </cell>
          <cell r="H230">
            <v>693</v>
          </cell>
        </row>
        <row r="231">
          <cell r="A231">
            <v>44052</v>
          </cell>
          <cell r="B231" t="str">
            <v>西部战区-成都-成都二组</v>
          </cell>
          <cell r="C231">
            <v>672</v>
          </cell>
          <cell r="D231">
            <v>662</v>
          </cell>
          <cell r="E231">
            <v>643</v>
          </cell>
          <cell r="F231">
            <v>443</v>
          </cell>
          <cell r="G231">
            <v>209</v>
          </cell>
          <cell r="H231">
            <v>692</v>
          </cell>
        </row>
        <row r="232">
          <cell r="A232">
            <v>44052</v>
          </cell>
          <cell r="B232" t="str">
            <v>南部战区-深圳-深圳一组</v>
          </cell>
          <cell r="C232">
            <v>3120</v>
          </cell>
          <cell r="D232">
            <v>3018</v>
          </cell>
          <cell r="E232">
            <v>2877</v>
          </cell>
          <cell r="F232">
            <v>1701</v>
          </cell>
          <cell r="G232">
            <v>900</v>
          </cell>
          <cell r="H232">
            <v>689</v>
          </cell>
        </row>
        <row r="233">
          <cell r="A233">
            <v>44052</v>
          </cell>
          <cell r="B233" t="str">
            <v>南部战区-广州-广州一组</v>
          </cell>
          <cell r="C233">
            <v>6382</v>
          </cell>
          <cell r="D233">
            <v>6226</v>
          </cell>
          <cell r="E233">
            <v>5957</v>
          </cell>
          <cell r="F233">
            <v>3717</v>
          </cell>
          <cell r="G233">
            <v>2085</v>
          </cell>
          <cell r="H233">
            <v>688</v>
          </cell>
        </row>
        <row r="234">
          <cell r="A234">
            <v>44052</v>
          </cell>
          <cell r="B234" t="str">
            <v>南部战区-广州-广州三组</v>
          </cell>
          <cell r="C234">
            <v>3836</v>
          </cell>
          <cell r="D234">
            <v>3734</v>
          </cell>
          <cell r="E234">
            <v>3542</v>
          </cell>
          <cell r="F234">
            <v>2108</v>
          </cell>
          <cell r="G234">
            <v>1190</v>
          </cell>
          <cell r="H234">
            <v>688</v>
          </cell>
        </row>
        <row r="235">
          <cell r="A235">
            <v>44052</v>
          </cell>
          <cell r="B235" t="str">
            <v>南部战区-广州-广州二组</v>
          </cell>
          <cell r="C235">
            <v>4484</v>
          </cell>
          <cell r="D235">
            <v>4394</v>
          </cell>
          <cell r="E235">
            <v>4200</v>
          </cell>
          <cell r="F235">
            <v>2583</v>
          </cell>
          <cell r="G235">
            <v>1493</v>
          </cell>
          <cell r="H235">
            <v>691</v>
          </cell>
        </row>
        <row r="236">
          <cell r="A236">
            <v>44052</v>
          </cell>
          <cell r="B236" t="str">
            <v>东部战区-苏州-苏州一组</v>
          </cell>
          <cell r="C236">
            <v>5709</v>
          </cell>
          <cell r="D236">
            <v>5521</v>
          </cell>
          <cell r="E236">
            <v>5276</v>
          </cell>
          <cell r="F236">
            <v>3164</v>
          </cell>
          <cell r="G236">
            <v>1591</v>
          </cell>
          <cell r="H236">
            <v>694</v>
          </cell>
        </row>
        <row r="237">
          <cell r="A237">
            <v>44052</v>
          </cell>
          <cell r="B237" t="str">
            <v>东部战区-苏州-苏州三组</v>
          </cell>
          <cell r="C237">
            <v>83</v>
          </cell>
          <cell r="D237">
            <v>80</v>
          </cell>
          <cell r="E237">
            <v>70</v>
          </cell>
          <cell r="F237">
            <v>41</v>
          </cell>
          <cell r="G237">
            <v>18</v>
          </cell>
          <cell r="H237">
            <v>684</v>
          </cell>
        </row>
        <row r="238">
          <cell r="A238">
            <v>44052</v>
          </cell>
          <cell r="B238" t="str">
            <v>东部战区-苏州-苏州二组</v>
          </cell>
          <cell r="C238">
            <v>7055</v>
          </cell>
          <cell r="D238">
            <v>6772</v>
          </cell>
          <cell r="E238">
            <v>6439</v>
          </cell>
          <cell r="F238">
            <v>3733</v>
          </cell>
          <cell r="G238">
            <v>2027</v>
          </cell>
          <cell r="H238">
            <v>696</v>
          </cell>
        </row>
        <row r="239">
          <cell r="A239">
            <v>44052</v>
          </cell>
          <cell r="B239" t="str">
            <v>东部战区-上海-上海一组</v>
          </cell>
          <cell r="C239">
            <v>6164</v>
          </cell>
          <cell r="D239">
            <v>5974</v>
          </cell>
          <cell r="E239">
            <v>5748</v>
          </cell>
          <cell r="F239">
            <v>3467</v>
          </cell>
          <cell r="G239">
            <v>1907</v>
          </cell>
          <cell r="H239">
            <v>694</v>
          </cell>
        </row>
        <row r="240">
          <cell r="A240">
            <v>44052</v>
          </cell>
          <cell r="B240" t="str">
            <v>东部战区-上海-上海三组</v>
          </cell>
          <cell r="C240">
            <v>2925</v>
          </cell>
          <cell r="D240">
            <v>2858</v>
          </cell>
          <cell r="E240">
            <v>2747</v>
          </cell>
          <cell r="F240">
            <v>1612</v>
          </cell>
          <cell r="G240">
            <v>968</v>
          </cell>
          <cell r="H240">
            <v>696</v>
          </cell>
        </row>
        <row r="241">
          <cell r="A241">
            <v>44052</v>
          </cell>
          <cell r="B241" t="str">
            <v>东部战区-上海-上海二组</v>
          </cell>
          <cell r="C241">
            <v>3511</v>
          </cell>
          <cell r="D241">
            <v>3450</v>
          </cell>
          <cell r="E241">
            <v>3299</v>
          </cell>
          <cell r="F241">
            <v>1966</v>
          </cell>
          <cell r="G241">
            <v>1070</v>
          </cell>
          <cell r="H241">
            <v>690</v>
          </cell>
        </row>
        <row r="242">
          <cell r="A242">
            <v>44052</v>
          </cell>
          <cell r="B242" t="str">
            <v>东部战区-南京-南京一组</v>
          </cell>
          <cell r="C242">
            <v>2164</v>
          </cell>
          <cell r="D242">
            <v>2123</v>
          </cell>
          <cell r="E242">
            <v>2051</v>
          </cell>
          <cell r="F242">
            <v>1184</v>
          </cell>
          <cell r="G242">
            <v>652</v>
          </cell>
          <cell r="H242">
            <v>696</v>
          </cell>
        </row>
        <row r="243">
          <cell r="A243">
            <v>44052</v>
          </cell>
          <cell r="B243" t="str">
            <v>东部战区-南京-南京四组</v>
          </cell>
          <cell r="C243">
            <v>1907</v>
          </cell>
          <cell r="D243">
            <v>1854</v>
          </cell>
          <cell r="E243">
            <v>1776</v>
          </cell>
          <cell r="F243">
            <v>1048</v>
          </cell>
          <cell r="G243">
            <v>592</v>
          </cell>
          <cell r="H243">
            <v>696</v>
          </cell>
        </row>
        <row r="244">
          <cell r="A244">
            <v>44052</v>
          </cell>
          <cell r="B244" t="str">
            <v>东部战区-南京-南京三组</v>
          </cell>
          <cell r="C244">
            <v>2869</v>
          </cell>
          <cell r="D244">
            <v>2815</v>
          </cell>
          <cell r="E244">
            <v>2713</v>
          </cell>
          <cell r="F244">
            <v>1648</v>
          </cell>
          <cell r="G244">
            <v>829</v>
          </cell>
          <cell r="H244">
            <v>698</v>
          </cell>
        </row>
        <row r="245">
          <cell r="A245">
            <v>44052</v>
          </cell>
          <cell r="B245" t="str">
            <v>东部战区-南京-南京二组</v>
          </cell>
          <cell r="C245">
            <v>2750</v>
          </cell>
          <cell r="D245">
            <v>2659</v>
          </cell>
          <cell r="E245">
            <v>2549</v>
          </cell>
          <cell r="F245">
            <v>1581</v>
          </cell>
          <cell r="G245">
            <v>811</v>
          </cell>
          <cell r="H245">
            <v>698</v>
          </cell>
        </row>
        <row r="246">
          <cell r="A246">
            <v>44052</v>
          </cell>
          <cell r="B246" t="str">
            <v>东部战区-合肥-合肥一组</v>
          </cell>
          <cell r="C246">
            <v>4888</v>
          </cell>
          <cell r="D246">
            <v>4780</v>
          </cell>
          <cell r="E246">
            <v>4560</v>
          </cell>
          <cell r="F246">
            <v>2832</v>
          </cell>
          <cell r="G246">
            <v>1370</v>
          </cell>
          <cell r="H246">
            <v>695</v>
          </cell>
        </row>
        <row r="247">
          <cell r="A247">
            <v>44052</v>
          </cell>
          <cell r="B247" t="str">
            <v>东部战区-合肥-合肥二组</v>
          </cell>
          <cell r="C247">
            <v>1361</v>
          </cell>
          <cell r="D247">
            <v>1334</v>
          </cell>
          <cell r="E247">
            <v>1268</v>
          </cell>
          <cell r="F247">
            <v>801</v>
          </cell>
          <cell r="G247">
            <v>407</v>
          </cell>
          <cell r="H247">
            <v>696</v>
          </cell>
        </row>
        <row r="248">
          <cell r="A248">
            <v>44052</v>
          </cell>
          <cell r="B248" t="str">
            <v>东部战区-杭州-杭州一组</v>
          </cell>
          <cell r="C248">
            <v>5144</v>
          </cell>
          <cell r="D248">
            <v>4967</v>
          </cell>
          <cell r="E248">
            <v>4715</v>
          </cell>
          <cell r="F248">
            <v>2936</v>
          </cell>
          <cell r="G248">
            <v>1376</v>
          </cell>
          <cell r="H248">
            <v>702</v>
          </cell>
        </row>
        <row r="249">
          <cell r="A249">
            <v>44052</v>
          </cell>
          <cell r="B249" t="str">
            <v>东部战区-杭州-杭州三组</v>
          </cell>
          <cell r="C249">
            <v>1773</v>
          </cell>
          <cell r="D249">
            <v>1738</v>
          </cell>
          <cell r="E249">
            <v>1690</v>
          </cell>
          <cell r="F249">
            <v>1017</v>
          </cell>
          <cell r="G249">
            <v>614</v>
          </cell>
          <cell r="H249">
            <v>701</v>
          </cell>
        </row>
        <row r="250">
          <cell r="A250">
            <v>44052</v>
          </cell>
          <cell r="B250" t="str">
            <v>东部战区-杭州-杭州二组</v>
          </cell>
          <cell r="C250">
            <v>4393</v>
          </cell>
          <cell r="D250">
            <v>4293</v>
          </cell>
          <cell r="E250">
            <v>4142</v>
          </cell>
          <cell r="F250">
            <v>2352</v>
          </cell>
          <cell r="G250">
            <v>1331</v>
          </cell>
          <cell r="H250">
            <v>694</v>
          </cell>
        </row>
        <row r="251">
          <cell r="A251">
            <v>44052</v>
          </cell>
          <cell r="B251" t="str">
            <v>北部战区-天津-天津一组</v>
          </cell>
          <cell r="C251">
            <v>1689</v>
          </cell>
          <cell r="D251">
            <v>1671</v>
          </cell>
          <cell r="E251">
            <v>1624</v>
          </cell>
          <cell r="F251">
            <v>890</v>
          </cell>
          <cell r="G251">
            <v>577</v>
          </cell>
          <cell r="H251">
            <v>685</v>
          </cell>
        </row>
        <row r="252">
          <cell r="A252">
            <v>44052</v>
          </cell>
          <cell r="B252" t="str">
            <v>北部战区-北京-北京一组</v>
          </cell>
          <cell r="C252">
            <v>95</v>
          </cell>
          <cell r="D252">
            <v>91</v>
          </cell>
          <cell r="E252">
            <v>85</v>
          </cell>
          <cell r="F252">
            <v>45</v>
          </cell>
          <cell r="G252">
            <v>25</v>
          </cell>
          <cell r="H252">
            <v>686</v>
          </cell>
        </row>
        <row r="253">
          <cell r="A253">
            <v>44052</v>
          </cell>
          <cell r="B253" t="str">
            <v>北部战区-北京-北京四组</v>
          </cell>
          <cell r="C253">
            <v>1721</v>
          </cell>
          <cell r="D253">
            <v>1698</v>
          </cell>
          <cell r="E253">
            <v>1663</v>
          </cell>
          <cell r="F253">
            <v>1003</v>
          </cell>
          <cell r="G253">
            <v>582</v>
          </cell>
          <cell r="H253">
            <v>688</v>
          </cell>
        </row>
        <row r="254">
          <cell r="A254">
            <v>44052</v>
          </cell>
          <cell r="B254" t="str">
            <v>北部战区-北京-北京三组</v>
          </cell>
          <cell r="C254">
            <v>2977</v>
          </cell>
          <cell r="D254">
            <v>2920</v>
          </cell>
          <cell r="E254">
            <v>2799</v>
          </cell>
          <cell r="F254">
            <v>1745</v>
          </cell>
          <cell r="G254">
            <v>899</v>
          </cell>
          <cell r="H254">
            <v>690</v>
          </cell>
        </row>
        <row r="255">
          <cell r="A255">
            <v>44053</v>
          </cell>
          <cell r="B255" t="str">
            <v>西部战区-重庆-重庆一组</v>
          </cell>
          <cell r="C255">
            <v>1387</v>
          </cell>
          <cell r="D255">
            <v>1375</v>
          </cell>
          <cell r="E255">
            <v>1327</v>
          </cell>
          <cell r="F255">
            <v>836</v>
          </cell>
          <cell r="G255">
            <v>439</v>
          </cell>
          <cell r="H255">
            <v>688</v>
          </cell>
        </row>
        <row r="256">
          <cell r="A256">
            <v>44053</v>
          </cell>
          <cell r="B256" t="str">
            <v>西部战区-西安-西安一组</v>
          </cell>
          <cell r="C256">
            <v>1449</v>
          </cell>
          <cell r="D256">
            <v>1422</v>
          </cell>
          <cell r="E256">
            <v>1376</v>
          </cell>
          <cell r="F256">
            <v>816</v>
          </cell>
          <cell r="G256">
            <v>439</v>
          </cell>
          <cell r="H256">
            <v>688</v>
          </cell>
        </row>
        <row r="257">
          <cell r="A257">
            <v>44053</v>
          </cell>
          <cell r="B257" t="str">
            <v>西部战区-武汉-武汉一组</v>
          </cell>
          <cell r="C257">
            <v>3303</v>
          </cell>
          <cell r="D257">
            <v>3234</v>
          </cell>
          <cell r="E257">
            <v>3102</v>
          </cell>
          <cell r="F257">
            <v>1918</v>
          </cell>
          <cell r="G257">
            <v>992</v>
          </cell>
          <cell r="H257">
            <v>699</v>
          </cell>
        </row>
        <row r="258">
          <cell r="A258">
            <v>44053</v>
          </cell>
          <cell r="B258" t="str">
            <v>西部战区-成都-成都一组</v>
          </cell>
          <cell r="C258">
            <v>2990</v>
          </cell>
          <cell r="D258">
            <v>2919</v>
          </cell>
          <cell r="E258">
            <v>2820</v>
          </cell>
          <cell r="F258">
            <v>1821</v>
          </cell>
          <cell r="G258">
            <v>1015</v>
          </cell>
          <cell r="H258">
            <v>691</v>
          </cell>
        </row>
        <row r="259">
          <cell r="A259">
            <v>44053</v>
          </cell>
          <cell r="B259" t="str">
            <v>西部战区-成都-成都二组</v>
          </cell>
          <cell r="C259">
            <v>672</v>
          </cell>
          <cell r="D259">
            <v>662</v>
          </cell>
          <cell r="E259">
            <v>643</v>
          </cell>
          <cell r="F259">
            <v>443</v>
          </cell>
          <cell r="G259">
            <v>209</v>
          </cell>
          <cell r="H259">
            <v>692</v>
          </cell>
        </row>
        <row r="260">
          <cell r="A260">
            <v>44053</v>
          </cell>
          <cell r="B260" t="str">
            <v>南部战区-深圳-深圳一组</v>
          </cell>
          <cell r="C260">
            <v>3120</v>
          </cell>
          <cell r="D260">
            <v>3018</v>
          </cell>
          <cell r="E260">
            <v>2877</v>
          </cell>
          <cell r="F260">
            <v>1701</v>
          </cell>
          <cell r="G260">
            <v>900</v>
          </cell>
          <cell r="H260">
            <v>689</v>
          </cell>
        </row>
        <row r="261">
          <cell r="A261">
            <v>44053</v>
          </cell>
          <cell r="B261" t="str">
            <v>南部战区-广州-广州一组</v>
          </cell>
          <cell r="C261">
            <v>5770</v>
          </cell>
          <cell r="D261">
            <v>5628</v>
          </cell>
          <cell r="E261">
            <v>5384</v>
          </cell>
          <cell r="F261">
            <v>3358</v>
          </cell>
          <cell r="G261">
            <v>1890</v>
          </cell>
          <cell r="H261">
            <v>688</v>
          </cell>
        </row>
        <row r="262">
          <cell r="A262">
            <v>44053</v>
          </cell>
          <cell r="B262" t="str">
            <v>南部战区-广州-广州三组</v>
          </cell>
          <cell r="C262">
            <v>3746</v>
          </cell>
          <cell r="D262">
            <v>3645</v>
          </cell>
          <cell r="E262">
            <v>3464</v>
          </cell>
          <cell r="F262">
            <v>2062</v>
          </cell>
          <cell r="G262">
            <v>1163</v>
          </cell>
          <cell r="H262">
            <v>688</v>
          </cell>
        </row>
        <row r="263">
          <cell r="A263">
            <v>44053</v>
          </cell>
          <cell r="B263" t="str">
            <v>南部战区-广州-广州二组</v>
          </cell>
          <cell r="C263">
            <v>3082</v>
          </cell>
          <cell r="D263">
            <v>3035</v>
          </cell>
          <cell r="E263">
            <v>2913</v>
          </cell>
          <cell r="F263">
            <v>1766</v>
          </cell>
          <cell r="G263">
            <v>1032</v>
          </cell>
          <cell r="H263">
            <v>689</v>
          </cell>
        </row>
        <row r="264">
          <cell r="A264">
            <v>44053</v>
          </cell>
          <cell r="B264" t="str">
            <v>东部战区-苏州-苏州一组</v>
          </cell>
          <cell r="C264">
            <v>4922</v>
          </cell>
          <cell r="D264">
            <v>4758</v>
          </cell>
          <cell r="E264">
            <v>4539</v>
          </cell>
          <cell r="F264">
            <v>2718</v>
          </cell>
          <cell r="G264">
            <v>1369</v>
          </cell>
          <cell r="H264">
            <v>695</v>
          </cell>
        </row>
        <row r="265">
          <cell r="A265">
            <v>44053</v>
          </cell>
          <cell r="B265" t="str">
            <v>东部战区-苏州-苏州三组</v>
          </cell>
          <cell r="C265">
            <v>179</v>
          </cell>
          <cell r="D265">
            <v>176</v>
          </cell>
          <cell r="E265">
            <v>172</v>
          </cell>
          <cell r="F265">
            <v>104</v>
          </cell>
          <cell r="G265">
            <v>76</v>
          </cell>
          <cell r="H265">
            <v>694</v>
          </cell>
        </row>
        <row r="266">
          <cell r="A266">
            <v>44053</v>
          </cell>
          <cell r="B266" t="str">
            <v>东部战区-苏州-苏州二组</v>
          </cell>
          <cell r="C266">
            <v>5703</v>
          </cell>
          <cell r="D266">
            <v>5489</v>
          </cell>
          <cell r="E266">
            <v>5227</v>
          </cell>
          <cell r="F266">
            <v>3019</v>
          </cell>
          <cell r="G266">
            <v>1654</v>
          </cell>
          <cell r="H266">
            <v>696</v>
          </cell>
        </row>
        <row r="267">
          <cell r="A267">
            <v>44053</v>
          </cell>
          <cell r="B267" t="str">
            <v>东部战区-上海-上海一组</v>
          </cell>
          <cell r="C267">
            <v>5472</v>
          </cell>
          <cell r="D267">
            <v>5334</v>
          </cell>
          <cell r="E267">
            <v>5140</v>
          </cell>
          <cell r="F267">
            <v>3139</v>
          </cell>
          <cell r="G267">
            <v>1734</v>
          </cell>
          <cell r="H267">
            <v>694</v>
          </cell>
        </row>
        <row r="268">
          <cell r="A268">
            <v>44053</v>
          </cell>
          <cell r="B268" t="str">
            <v>东部战区-上海-上海三组</v>
          </cell>
          <cell r="C268">
            <v>2925</v>
          </cell>
          <cell r="D268">
            <v>2858</v>
          </cell>
          <cell r="E268">
            <v>2747</v>
          </cell>
          <cell r="F268">
            <v>1612</v>
          </cell>
          <cell r="G268">
            <v>968</v>
          </cell>
          <cell r="H268">
            <v>696</v>
          </cell>
        </row>
        <row r="269">
          <cell r="A269">
            <v>44053</v>
          </cell>
          <cell r="B269" t="str">
            <v>东部战区-上海-上海二组</v>
          </cell>
          <cell r="C269">
            <v>2848</v>
          </cell>
          <cell r="D269">
            <v>2808</v>
          </cell>
          <cell r="E269">
            <v>2692</v>
          </cell>
          <cell r="F269">
            <v>1578</v>
          </cell>
          <cell r="G269">
            <v>861</v>
          </cell>
          <cell r="H269">
            <v>690</v>
          </cell>
        </row>
        <row r="270">
          <cell r="A270">
            <v>44053</v>
          </cell>
          <cell r="B270" t="str">
            <v>东部战区-南京-南京一组</v>
          </cell>
          <cell r="C270">
            <v>3253</v>
          </cell>
          <cell r="D270">
            <v>3176</v>
          </cell>
          <cell r="E270">
            <v>3060</v>
          </cell>
          <cell r="F270">
            <v>1750</v>
          </cell>
          <cell r="G270">
            <v>959</v>
          </cell>
          <cell r="H270">
            <v>697</v>
          </cell>
        </row>
        <row r="271">
          <cell r="A271">
            <v>44053</v>
          </cell>
          <cell r="B271" t="str">
            <v>东部战区-南京-南京四组</v>
          </cell>
          <cell r="C271">
            <v>1402</v>
          </cell>
          <cell r="D271">
            <v>1368</v>
          </cell>
          <cell r="E271">
            <v>1311</v>
          </cell>
          <cell r="F271">
            <v>766</v>
          </cell>
          <cell r="G271">
            <v>467</v>
          </cell>
          <cell r="H271">
            <v>696</v>
          </cell>
        </row>
        <row r="272">
          <cell r="A272">
            <v>44053</v>
          </cell>
          <cell r="B272" t="str">
            <v>东部战区-南京-南京三组</v>
          </cell>
          <cell r="C272">
            <v>1661</v>
          </cell>
          <cell r="D272">
            <v>1634</v>
          </cell>
          <cell r="E272">
            <v>1569</v>
          </cell>
          <cell r="F272">
            <v>963</v>
          </cell>
          <cell r="G272">
            <v>496</v>
          </cell>
          <cell r="H272">
            <v>698</v>
          </cell>
        </row>
        <row r="273">
          <cell r="A273">
            <v>44053</v>
          </cell>
          <cell r="B273" t="str">
            <v>东部战区-南京-南京二组</v>
          </cell>
          <cell r="C273">
            <v>1638</v>
          </cell>
          <cell r="D273">
            <v>1577</v>
          </cell>
          <cell r="E273">
            <v>1516</v>
          </cell>
          <cell r="F273">
            <v>940</v>
          </cell>
          <cell r="G273">
            <v>533</v>
          </cell>
          <cell r="H273">
            <v>700</v>
          </cell>
        </row>
        <row r="274">
          <cell r="A274">
            <v>44053</v>
          </cell>
          <cell r="B274" t="str">
            <v>东部战区-合肥-合肥一组</v>
          </cell>
          <cell r="C274">
            <v>5711</v>
          </cell>
          <cell r="D274">
            <v>5577</v>
          </cell>
          <cell r="E274">
            <v>5315</v>
          </cell>
          <cell r="F274">
            <v>3317</v>
          </cell>
          <cell r="G274">
            <v>1631</v>
          </cell>
          <cell r="H274">
            <v>696</v>
          </cell>
        </row>
        <row r="275">
          <cell r="A275">
            <v>44053</v>
          </cell>
          <cell r="B275" t="str">
            <v>东部战区-合肥-合肥二组</v>
          </cell>
          <cell r="C275">
            <v>954</v>
          </cell>
          <cell r="D275">
            <v>938</v>
          </cell>
          <cell r="E275">
            <v>880</v>
          </cell>
          <cell r="F275">
            <v>561</v>
          </cell>
          <cell r="G275">
            <v>273</v>
          </cell>
          <cell r="H275">
            <v>697</v>
          </cell>
        </row>
        <row r="276">
          <cell r="A276">
            <v>44053</v>
          </cell>
          <cell r="B276" t="str">
            <v>东部战区-杭州-杭州一组</v>
          </cell>
          <cell r="C276">
            <v>2686</v>
          </cell>
          <cell r="D276">
            <v>2599</v>
          </cell>
          <cell r="E276">
            <v>2462</v>
          </cell>
          <cell r="F276">
            <v>1461</v>
          </cell>
          <cell r="G276">
            <v>708</v>
          </cell>
          <cell r="H276">
            <v>699</v>
          </cell>
        </row>
        <row r="277">
          <cell r="A277">
            <v>44053</v>
          </cell>
          <cell r="B277" t="str">
            <v>东部战区-杭州-杭州三组</v>
          </cell>
          <cell r="C277">
            <v>1773</v>
          </cell>
          <cell r="D277">
            <v>1738</v>
          </cell>
          <cell r="E277">
            <v>1690</v>
          </cell>
          <cell r="F277">
            <v>1017</v>
          </cell>
          <cell r="G277">
            <v>614</v>
          </cell>
          <cell r="H277">
            <v>701</v>
          </cell>
        </row>
        <row r="278">
          <cell r="A278">
            <v>44053</v>
          </cell>
          <cell r="B278" t="str">
            <v>东部战区-杭州-杭州二组</v>
          </cell>
          <cell r="C278">
            <v>3643</v>
          </cell>
          <cell r="D278">
            <v>3572</v>
          </cell>
          <cell r="E278">
            <v>3464</v>
          </cell>
          <cell r="F278">
            <v>1936</v>
          </cell>
          <cell r="G278">
            <v>1151</v>
          </cell>
          <cell r="H278">
            <v>694</v>
          </cell>
        </row>
        <row r="279">
          <cell r="A279">
            <v>44053</v>
          </cell>
          <cell r="B279" t="str">
            <v>北部战区-天津-天津一组</v>
          </cell>
          <cell r="C279">
            <v>1763</v>
          </cell>
          <cell r="D279">
            <v>1745</v>
          </cell>
          <cell r="E279">
            <v>1698</v>
          </cell>
          <cell r="F279">
            <v>925</v>
          </cell>
          <cell r="G279">
            <v>611</v>
          </cell>
          <cell r="H279">
            <v>685</v>
          </cell>
        </row>
        <row r="280">
          <cell r="A280">
            <v>44053</v>
          </cell>
          <cell r="B280" t="str">
            <v>北部战区-北京-北京一组</v>
          </cell>
          <cell r="C280">
            <v>95</v>
          </cell>
          <cell r="D280">
            <v>91</v>
          </cell>
          <cell r="E280">
            <v>85</v>
          </cell>
          <cell r="F280">
            <v>45</v>
          </cell>
          <cell r="G280">
            <v>25</v>
          </cell>
          <cell r="H280">
            <v>686</v>
          </cell>
        </row>
        <row r="281">
          <cell r="A281">
            <v>44053</v>
          </cell>
          <cell r="B281" t="str">
            <v>北部战区-北京-北京四组</v>
          </cell>
          <cell r="C281">
            <v>1721</v>
          </cell>
          <cell r="D281">
            <v>1698</v>
          </cell>
          <cell r="E281">
            <v>1663</v>
          </cell>
          <cell r="F281">
            <v>1003</v>
          </cell>
          <cell r="G281">
            <v>582</v>
          </cell>
          <cell r="H281">
            <v>688</v>
          </cell>
        </row>
        <row r="282">
          <cell r="A282">
            <v>44053</v>
          </cell>
          <cell r="B282" t="str">
            <v>北部战区-北京-北京三组</v>
          </cell>
          <cell r="C282">
            <v>2391</v>
          </cell>
          <cell r="D282">
            <v>2336</v>
          </cell>
          <cell r="E282">
            <v>2237</v>
          </cell>
          <cell r="F282">
            <v>1422</v>
          </cell>
          <cell r="G282">
            <v>749</v>
          </cell>
          <cell r="H282">
            <v>689</v>
          </cell>
        </row>
        <row r="283">
          <cell r="A283">
            <v>44054</v>
          </cell>
          <cell r="B283" t="str">
            <v>西部战区-重庆-重庆一组</v>
          </cell>
          <cell r="C283">
            <v>1763</v>
          </cell>
          <cell r="D283">
            <v>1727</v>
          </cell>
          <cell r="E283">
            <v>1695</v>
          </cell>
          <cell r="F283">
            <v>1051</v>
          </cell>
          <cell r="G283">
            <v>602</v>
          </cell>
          <cell r="H283">
            <v>691</v>
          </cell>
        </row>
        <row r="284">
          <cell r="A284">
            <v>44054</v>
          </cell>
          <cell r="B284" t="str">
            <v>西部战区-西安-西安一组</v>
          </cell>
          <cell r="C284">
            <v>3717</v>
          </cell>
          <cell r="D284">
            <v>3652</v>
          </cell>
          <cell r="E284">
            <v>3534</v>
          </cell>
          <cell r="F284">
            <v>2135</v>
          </cell>
          <cell r="G284">
            <v>1196</v>
          </cell>
          <cell r="H284">
            <v>691</v>
          </cell>
        </row>
        <row r="285">
          <cell r="A285">
            <v>44054</v>
          </cell>
          <cell r="B285" t="str">
            <v>西部战区-武汉-武汉一组</v>
          </cell>
          <cell r="C285">
            <v>3100</v>
          </cell>
          <cell r="D285">
            <v>3035</v>
          </cell>
          <cell r="E285">
            <v>2912</v>
          </cell>
          <cell r="F285">
            <v>1755</v>
          </cell>
          <cell r="G285">
            <v>907</v>
          </cell>
          <cell r="H285">
            <v>697</v>
          </cell>
        </row>
        <row r="286">
          <cell r="A286">
            <v>44054</v>
          </cell>
          <cell r="B286" t="str">
            <v>西部战区-成都-成都一组</v>
          </cell>
          <cell r="C286">
            <v>1047</v>
          </cell>
          <cell r="D286">
            <v>1036</v>
          </cell>
          <cell r="E286">
            <v>1004</v>
          </cell>
          <cell r="F286">
            <v>659</v>
          </cell>
          <cell r="G286">
            <v>391</v>
          </cell>
          <cell r="H286">
            <v>687</v>
          </cell>
        </row>
        <row r="287">
          <cell r="A287">
            <v>44054</v>
          </cell>
          <cell r="B287" t="str">
            <v>西部战区-成都-成都二组</v>
          </cell>
          <cell r="C287">
            <v>672</v>
          </cell>
          <cell r="D287">
            <v>662</v>
          </cell>
          <cell r="E287">
            <v>643</v>
          </cell>
          <cell r="F287">
            <v>443</v>
          </cell>
          <cell r="G287">
            <v>209</v>
          </cell>
          <cell r="H287">
            <v>692</v>
          </cell>
        </row>
        <row r="288">
          <cell r="A288">
            <v>44054</v>
          </cell>
          <cell r="B288" t="str">
            <v>南部战区-深圳-深圳一组</v>
          </cell>
          <cell r="C288">
            <v>3120</v>
          </cell>
          <cell r="D288">
            <v>3018</v>
          </cell>
          <cell r="E288">
            <v>2877</v>
          </cell>
          <cell r="F288">
            <v>1701</v>
          </cell>
          <cell r="G288">
            <v>900</v>
          </cell>
          <cell r="H288">
            <v>689</v>
          </cell>
        </row>
        <row r="289">
          <cell r="A289">
            <v>44054</v>
          </cell>
          <cell r="B289" t="str">
            <v>南部战区-广州-广州一组</v>
          </cell>
          <cell r="C289">
            <v>5634</v>
          </cell>
          <cell r="D289">
            <v>5501</v>
          </cell>
          <cell r="E289">
            <v>5259</v>
          </cell>
          <cell r="F289">
            <v>3249</v>
          </cell>
          <cell r="G289">
            <v>1842</v>
          </cell>
          <cell r="H289">
            <v>687</v>
          </cell>
        </row>
        <row r="290">
          <cell r="A290">
            <v>44054</v>
          </cell>
          <cell r="B290" t="str">
            <v>南部战区-广州-广州三组</v>
          </cell>
          <cell r="C290">
            <v>3090</v>
          </cell>
          <cell r="D290">
            <v>3009</v>
          </cell>
          <cell r="E290">
            <v>2859</v>
          </cell>
          <cell r="F290">
            <v>1706</v>
          </cell>
          <cell r="G290">
            <v>975</v>
          </cell>
          <cell r="H290">
            <v>688</v>
          </cell>
        </row>
        <row r="291">
          <cell r="A291">
            <v>44054</v>
          </cell>
          <cell r="B291" t="str">
            <v>南部战区-广州-广州二组</v>
          </cell>
          <cell r="C291">
            <v>1295</v>
          </cell>
          <cell r="D291">
            <v>1280</v>
          </cell>
          <cell r="E291">
            <v>1231</v>
          </cell>
          <cell r="F291">
            <v>723</v>
          </cell>
          <cell r="G291">
            <v>488</v>
          </cell>
          <cell r="H291">
            <v>690</v>
          </cell>
        </row>
        <row r="292">
          <cell r="A292">
            <v>44054</v>
          </cell>
          <cell r="B292" t="str">
            <v>东部战区-苏州-苏州一组</v>
          </cell>
          <cell r="C292">
            <v>2586</v>
          </cell>
          <cell r="D292">
            <v>2505</v>
          </cell>
          <cell r="E292">
            <v>2409</v>
          </cell>
          <cell r="F292">
            <v>1471</v>
          </cell>
          <cell r="G292">
            <v>739</v>
          </cell>
          <cell r="H292">
            <v>692</v>
          </cell>
        </row>
        <row r="293">
          <cell r="A293">
            <v>44054</v>
          </cell>
          <cell r="B293" t="str">
            <v>东部战区-苏州-苏州三组</v>
          </cell>
          <cell r="C293">
            <v>167</v>
          </cell>
          <cell r="D293">
            <v>162</v>
          </cell>
          <cell r="E293">
            <v>153</v>
          </cell>
          <cell r="F293">
            <v>91</v>
          </cell>
          <cell r="G293">
            <v>43</v>
          </cell>
          <cell r="H293">
            <v>691</v>
          </cell>
        </row>
        <row r="294">
          <cell r="A294">
            <v>44054</v>
          </cell>
          <cell r="B294" t="str">
            <v>东部战区-苏州-苏州二组</v>
          </cell>
          <cell r="C294">
            <v>3818</v>
          </cell>
          <cell r="D294">
            <v>3687</v>
          </cell>
          <cell r="E294">
            <v>3523</v>
          </cell>
          <cell r="F294">
            <v>2044</v>
          </cell>
          <cell r="G294">
            <v>1164</v>
          </cell>
          <cell r="H294">
            <v>695</v>
          </cell>
        </row>
        <row r="295">
          <cell r="A295">
            <v>44054</v>
          </cell>
          <cell r="B295" t="str">
            <v>东部战区-上海-上海一组</v>
          </cell>
          <cell r="C295">
            <v>5239</v>
          </cell>
          <cell r="D295">
            <v>5102</v>
          </cell>
          <cell r="E295">
            <v>4917</v>
          </cell>
          <cell r="F295">
            <v>3002</v>
          </cell>
          <cell r="G295">
            <v>1644</v>
          </cell>
          <cell r="H295">
            <v>694</v>
          </cell>
        </row>
        <row r="296">
          <cell r="A296">
            <v>44054</v>
          </cell>
          <cell r="B296" t="str">
            <v>东部战区-上海-上海三组</v>
          </cell>
          <cell r="C296">
            <v>2925</v>
          </cell>
          <cell r="D296">
            <v>2858</v>
          </cell>
          <cell r="E296">
            <v>2747</v>
          </cell>
          <cell r="F296">
            <v>1612</v>
          </cell>
          <cell r="G296">
            <v>968</v>
          </cell>
          <cell r="H296">
            <v>696</v>
          </cell>
        </row>
        <row r="297">
          <cell r="A297">
            <v>44054</v>
          </cell>
          <cell r="B297" t="str">
            <v>东部战区-上海-上海二组</v>
          </cell>
          <cell r="C297">
            <v>3293</v>
          </cell>
          <cell r="D297">
            <v>3239</v>
          </cell>
          <cell r="E297">
            <v>3105</v>
          </cell>
          <cell r="F297">
            <v>1871</v>
          </cell>
          <cell r="G297">
            <v>1013</v>
          </cell>
          <cell r="H297">
            <v>691</v>
          </cell>
        </row>
        <row r="298">
          <cell r="A298">
            <v>44054</v>
          </cell>
          <cell r="B298" t="str">
            <v>东部战区-南京-南京一组</v>
          </cell>
          <cell r="C298">
            <v>2520</v>
          </cell>
          <cell r="D298">
            <v>2468</v>
          </cell>
          <cell r="E298">
            <v>2391</v>
          </cell>
          <cell r="F298">
            <v>1365</v>
          </cell>
          <cell r="G298">
            <v>773</v>
          </cell>
          <cell r="H298">
            <v>696</v>
          </cell>
        </row>
        <row r="299">
          <cell r="A299">
            <v>44054</v>
          </cell>
          <cell r="B299" t="str">
            <v>东部战区-南京-南京四组</v>
          </cell>
          <cell r="C299">
            <v>1907</v>
          </cell>
          <cell r="D299">
            <v>1854</v>
          </cell>
          <cell r="E299">
            <v>1776</v>
          </cell>
          <cell r="F299">
            <v>1048</v>
          </cell>
          <cell r="G299">
            <v>592</v>
          </cell>
          <cell r="H299">
            <v>696</v>
          </cell>
        </row>
        <row r="300">
          <cell r="A300">
            <v>44054</v>
          </cell>
          <cell r="B300" t="str">
            <v>东部战区-南京-南京三组</v>
          </cell>
          <cell r="C300">
            <v>925</v>
          </cell>
          <cell r="D300">
            <v>906</v>
          </cell>
          <cell r="E300">
            <v>866</v>
          </cell>
          <cell r="F300">
            <v>532</v>
          </cell>
          <cell r="G300">
            <v>248</v>
          </cell>
          <cell r="H300">
            <v>697</v>
          </cell>
        </row>
        <row r="301">
          <cell r="A301">
            <v>44054</v>
          </cell>
          <cell r="B301" t="str">
            <v>东部战区-南京-南京二组</v>
          </cell>
          <cell r="C301">
            <v>1606</v>
          </cell>
          <cell r="D301">
            <v>1557</v>
          </cell>
          <cell r="E301">
            <v>1492</v>
          </cell>
          <cell r="F301">
            <v>962</v>
          </cell>
          <cell r="G301">
            <v>507</v>
          </cell>
          <cell r="H301">
            <v>701</v>
          </cell>
        </row>
        <row r="302">
          <cell r="A302">
            <v>44054</v>
          </cell>
          <cell r="B302" t="str">
            <v>东部战区-合肥-合肥一组</v>
          </cell>
          <cell r="C302">
            <v>3710</v>
          </cell>
          <cell r="D302">
            <v>3624</v>
          </cell>
          <cell r="E302">
            <v>3456</v>
          </cell>
          <cell r="F302">
            <v>2150</v>
          </cell>
          <cell r="G302">
            <v>1029</v>
          </cell>
          <cell r="H302">
            <v>695</v>
          </cell>
        </row>
        <row r="303">
          <cell r="A303">
            <v>44054</v>
          </cell>
          <cell r="B303" t="str">
            <v>东部战区-合肥-合肥二组</v>
          </cell>
          <cell r="C303">
            <v>763</v>
          </cell>
          <cell r="D303">
            <v>753</v>
          </cell>
          <cell r="E303">
            <v>717</v>
          </cell>
          <cell r="F303">
            <v>458</v>
          </cell>
          <cell r="G303">
            <v>247</v>
          </cell>
          <cell r="H303">
            <v>696</v>
          </cell>
        </row>
        <row r="304">
          <cell r="A304">
            <v>44054</v>
          </cell>
          <cell r="B304" t="str">
            <v>东部战区-杭州-杭州一组</v>
          </cell>
          <cell r="C304">
            <v>4585</v>
          </cell>
          <cell r="D304">
            <v>4391</v>
          </cell>
          <cell r="E304">
            <v>4157</v>
          </cell>
          <cell r="F304">
            <v>2517</v>
          </cell>
          <cell r="G304">
            <v>1232</v>
          </cell>
          <cell r="H304">
            <v>701</v>
          </cell>
        </row>
        <row r="305">
          <cell r="A305">
            <v>44054</v>
          </cell>
          <cell r="B305" t="str">
            <v>东部战区-杭州-杭州三组</v>
          </cell>
          <cell r="C305">
            <v>1773</v>
          </cell>
          <cell r="D305">
            <v>1738</v>
          </cell>
          <cell r="E305">
            <v>1690</v>
          </cell>
          <cell r="F305">
            <v>1017</v>
          </cell>
          <cell r="G305">
            <v>614</v>
          </cell>
          <cell r="H305">
            <v>701</v>
          </cell>
        </row>
        <row r="306">
          <cell r="A306">
            <v>44054</v>
          </cell>
          <cell r="B306" t="str">
            <v>东部战区-杭州-杭州二组</v>
          </cell>
          <cell r="C306">
            <v>4308</v>
          </cell>
          <cell r="D306">
            <v>4208</v>
          </cell>
          <cell r="E306">
            <v>4077</v>
          </cell>
          <cell r="F306">
            <v>2242</v>
          </cell>
          <cell r="G306">
            <v>1318</v>
          </cell>
          <cell r="H306">
            <v>694</v>
          </cell>
        </row>
        <row r="307">
          <cell r="A307">
            <v>44054</v>
          </cell>
          <cell r="B307" t="str">
            <v>北部战区-天津-天津一组</v>
          </cell>
          <cell r="C307">
            <v>1320</v>
          </cell>
          <cell r="D307">
            <v>1304</v>
          </cell>
          <cell r="E307">
            <v>1261</v>
          </cell>
          <cell r="F307">
            <v>682</v>
          </cell>
          <cell r="G307">
            <v>429</v>
          </cell>
          <cell r="H307">
            <v>685</v>
          </cell>
        </row>
        <row r="308">
          <cell r="A308">
            <v>44054</v>
          </cell>
          <cell r="B308" t="str">
            <v>北部战区-北京-北京一组</v>
          </cell>
          <cell r="C308">
            <v>132</v>
          </cell>
          <cell r="D308">
            <v>126</v>
          </cell>
          <cell r="E308">
            <v>117</v>
          </cell>
          <cell r="F308">
            <v>64</v>
          </cell>
          <cell r="G308">
            <v>33</v>
          </cell>
          <cell r="H308">
            <v>689</v>
          </cell>
        </row>
        <row r="309">
          <cell r="A309">
            <v>44054</v>
          </cell>
          <cell r="B309" t="str">
            <v>北部战区-北京-北京四组</v>
          </cell>
          <cell r="C309">
            <v>1721</v>
          </cell>
          <cell r="D309">
            <v>1698</v>
          </cell>
          <cell r="E309">
            <v>1663</v>
          </cell>
          <cell r="F309">
            <v>1003</v>
          </cell>
          <cell r="G309">
            <v>582</v>
          </cell>
          <cell r="H309">
            <v>688</v>
          </cell>
        </row>
        <row r="310">
          <cell r="A310">
            <v>44054</v>
          </cell>
          <cell r="B310" t="str">
            <v>北部战区-北京-北京三组</v>
          </cell>
          <cell r="C310">
            <v>2795</v>
          </cell>
          <cell r="D310">
            <v>2747</v>
          </cell>
          <cell r="E310">
            <v>2636</v>
          </cell>
          <cell r="F310">
            <v>1639</v>
          </cell>
          <cell r="G310">
            <v>850</v>
          </cell>
          <cell r="H310">
            <v>690</v>
          </cell>
        </row>
        <row r="311">
          <cell r="A311">
            <v>44055</v>
          </cell>
          <cell r="B311" t="str">
            <v>西部战区-重庆-重庆一组</v>
          </cell>
          <cell r="C311">
            <v>2583</v>
          </cell>
          <cell r="D311">
            <v>2540</v>
          </cell>
          <cell r="E311">
            <v>2470</v>
          </cell>
          <cell r="F311">
            <v>1542</v>
          </cell>
          <cell r="G311">
            <v>855</v>
          </cell>
          <cell r="H311">
            <v>690</v>
          </cell>
        </row>
        <row r="312">
          <cell r="A312">
            <v>44055</v>
          </cell>
          <cell r="B312" t="str">
            <v>西部战区-西安-西安一组</v>
          </cell>
          <cell r="C312">
            <v>3059</v>
          </cell>
          <cell r="D312">
            <v>3002</v>
          </cell>
          <cell r="E312">
            <v>2915</v>
          </cell>
          <cell r="F312">
            <v>1732</v>
          </cell>
          <cell r="G312">
            <v>1005</v>
          </cell>
          <cell r="H312">
            <v>691</v>
          </cell>
        </row>
        <row r="313">
          <cell r="A313">
            <v>44055</v>
          </cell>
          <cell r="B313" t="str">
            <v>西部战区-武汉-武汉一组</v>
          </cell>
          <cell r="C313">
            <v>2949</v>
          </cell>
          <cell r="D313">
            <v>2885</v>
          </cell>
          <cell r="E313">
            <v>2764</v>
          </cell>
          <cell r="F313">
            <v>1674</v>
          </cell>
          <cell r="G313">
            <v>857</v>
          </cell>
          <cell r="H313">
            <v>697</v>
          </cell>
        </row>
        <row r="314">
          <cell r="A314">
            <v>44055</v>
          </cell>
          <cell r="B314" t="str">
            <v>西部战区-成都-成都一组</v>
          </cell>
          <cell r="C314">
            <v>2990</v>
          </cell>
          <cell r="D314">
            <v>2919</v>
          </cell>
          <cell r="E314">
            <v>2820</v>
          </cell>
          <cell r="F314">
            <v>1821</v>
          </cell>
          <cell r="G314">
            <v>1015</v>
          </cell>
          <cell r="H314">
            <v>691</v>
          </cell>
        </row>
        <row r="315">
          <cell r="A315">
            <v>44055</v>
          </cell>
          <cell r="B315" t="str">
            <v>西部战区-成都-成都二组</v>
          </cell>
          <cell r="C315">
            <v>672</v>
          </cell>
          <cell r="D315">
            <v>662</v>
          </cell>
          <cell r="E315">
            <v>643</v>
          </cell>
          <cell r="F315">
            <v>443</v>
          </cell>
          <cell r="G315">
            <v>209</v>
          </cell>
          <cell r="H315">
            <v>692</v>
          </cell>
        </row>
        <row r="316">
          <cell r="A316">
            <v>44055</v>
          </cell>
          <cell r="B316" t="str">
            <v>南部战区-深圳-深圳一组</v>
          </cell>
          <cell r="C316">
            <v>3823</v>
          </cell>
          <cell r="D316">
            <v>3708</v>
          </cell>
          <cell r="E316">
            <v>3535</v>
          </cell>
          <cell r="F316">
            <v>2103</v>
          </cell>
          <cell r="G316">
            <v>1122</v>
          </cell>
          <cell r="H316">
            <v>689</v>
          </cell>
        </row>
        <row r="317">
          <cell r="A317">
            <v>44055</v>
          </cell>
          <cell r="B317" t="str">
            <v>南部战区-广州-广州一组</v>
          </cell>
          <cell r="C317">
            <v>6715</v>
          </cell>
          <cell r="D317">
            <v>6552</v>
          </cell>
          <cell r="E317">
            <v>6276</v>
          </cell>
          <cell r="F317">
            <v>3927</v>
          </cell>
          <cell r="G317">
            <v>2170</v>
          </cell>
          <cell r="H317">
            <v>688</v>
          </cell>
        </row>
        <row r="318">
          <cell r="A318">
            <v>44055</v>
          </cell>
          <cell r="B318" t="str">
            <v>南部战区-广州-广州三组</v>
          </cell>
          <cell r="C318">
            <v>3385</v>
          </cell>
          <cell r="D318">
            <v>3296</v>
          </cell>
          <cell r="E318">
            <v>3129</v>
          </cell>
          <cell r="F318">
            <v>1864</v>
          </cell>
          <cell r="G318">
            <v>1064</v>
          </cell>
          <cell r="H318">
            <v>688</v>
          </cell>
        </row>
        <row r="319">
          <cell r="A319">
            <v>44055</v>
          </cell>
          <cell r="B319" t="str">
            <v>南部战区-广州-广州二组</v>
          </cell>
          <cell r="C319">
            <v>3815</v>
          </cell>
          <cell r="D319">
            <v>3753</v>
          </cell>
          <cell r="E319">
            <v>3594</v>
          </cell>
          <cell r="F319">
            <v>2217</v>
          </cell>
          <cell r="G319">
            <v>1296</v>
          </cell>
          <cell r="H319">
            <v>690</v>
          </cell>
        </row>
        <row r="320">
          <cell r="A320">
            <v>44055</v>
          </cell>
          <cell r="B320" t="str">
            <v>东部战区-苏州-苏州一组</v>
          </cell>
          <cell r="C320">
            <v>7187</v>
          </cell>
          <cell r="D320">
            <v>6928</v>
          </cell>
          <cell r="E320">
            <v>6595</v>
          </cell>
          <cell r="F320">
            <v>3995</v>
          </cell>
          <cell r="G320">
            <v>2060</v>
          </cell>
          <cell r="H320">
            <v>695</v>
          </cell>
        </row>
        <row r="321">
          <cell r="A321">
            <v>44055</v>
          </cell>
          <cell r="B321" t="str">
            <v>东部战区-苏州-苏州三组</v>
          </cell>
          <cell r="C321">
            <v>179</v>
          </cell>
          <cell r="D321">
            <v>176</v>
          </cell>
          <cell r="E321">
            <v>172</v>
          </cell>
          <cell r="F321">
            <v>104</v>
          </cell>
          <cell r="G321">
            <v>76</v>
          </cell>
          <cell r="H321">
            <v>694</v>
          </cell>
        </row>
        <row r="322">
          <cell r="A322">
            <v>44055</v>
          </cell>
          <cell r="B322" t="str">
            <v>东部战区-苏州-苏州二组</v>
          </cell>
          <cell r="C322">
            <v>6027</v>
          </cell>
          <cell r="D322">
            <v>5785</v>
          </cell>
          <cell r="E322">
            <v>5519</v>
          </cell>
          <cell r="F322">
            <v>3187</v>
          </cell>
          <cell r="G322">
            <v>1733</v>
          </cell>
          <cell r="H322">
            <v>696</v>
          </cell>
        </row>
        <row r="323">
          <cell r="A323">
            <v>44055</v>
          </cell>
          <cell r="B323" t="str">
            <v>东部战区-上海-上海一组</v>
          </cell>
          <cell r="C323">
            <v>4336</v>
          </cell>
          <cell r="D323">
            <v>4194</v>
          </cell>
          <cell r="E323">
            <v>4017</v>
          </cell>
          <cell r="F323">
            <v>2444</v>
          </cell>
          <cell r="G323">
            <v>1303</v>
          </cell>
          <cell r="H323">
            <v>693</v>
          </cell>
        </row>
        <row r="324">
          <cell r="A324">
            <v>44055</v>
          </cell>
          <cell r="B324" t="str">
            <v>东部战区-上海-上海三组</v>
          </cell>
          <cell r="C324">
            <v>2925</v>
          </cell>
          <cell r="D324">
            <v>2858</v>
          </cell>
          <cell r="E324">
            <v>2747</v>
          </cell>
          <cell r="F324">
            <v>1612</v>
          </cell>
          <cell r="G324">
            <v>968</v>
          </cell>
          <cell r="H324">
            <v>696</v>
          </cell>
        </row>
        <row r="325">
          <cell r="A325">
            <v>44055</v>
          </cell>
          <cell r="B325" t="str">
            <v>东部战区-上海-上海二组</v>
          </cell>
          <cell r="C325">
            <v>3421</v>
          </cell>
          <cell r="D325">
            <v>3365</v>
          </cell>
          <cell r="E325">
            <v>3226</v>
          </cell>
          <cell r="F325">
            <v>1948</v>
          </cell>
          <cell r="G325">
            <v>1039</v>
          </cell>
          <cell r="H325">
            <v>690</v>
          </cell>
        </row>
        <row r="326">
          <cell r="A326">
            <v>44055</v>
          </cell>
          <cell r="B326" t="str">
            <v>东部战区-南京-南京一组</v>
          </cell>
          <cell r="C326">
            <v>2653</v>
          </cell>
          <cell r="D326">
            <v>2593</v>
          </cell>
          <cell r="E326">
            <v>2506</v>
          </cell>
          <cell r="F326">
            <v>1439</v>
          </cell>
          <cell r="G326">
            <v>791</v>
          </cell>
          <cell r="H326">
            <v>696</v>
          </cell>
        </row>
        <row r="327">
          <cell r="A327">
            <v>44055</v>
          </cell>
          <cell r="B327" t="str">
            <v>东部战区-南京-南京四组</v>
          </cell>
          <cell r="C327">
            <v>1612</v>
          </cell>
          <cell r="D327">
            <v>1554</v>
          </cell>
          <cell r="E327">
            <v>1476</v>
          </cell>
          <cell r="F327">
            <v>889</v>
          </cell>
          <cell r="G327">
            <v>481</v>
          </cell>
          <cell r="H327">
            <v>698</v>
          </cell>
        </row>
        <row r="328">
          <cell r="A328">
            <v>44055</v>
          </cell>
          <cell r="B328" t="str">
            <v>东部战区-南京-南京三组</v>
          </cell>
          <cell r="C328">
            <v>2869</v>
          </cell>
          <cell r="D328">
            <v>2815</v>
          </cell>
          <cell r="E328">
            <v>2713</v>
          </cell>
          <cell r="F328">
            <v>1648</v>
          </cell>
          <cell r="G328">
            <v>829</v>
          </cell>
          <cell r="H328">
            <v>698</v>
          </cell>
        </row>
        <row r="329">
          <cell r="A329">
            <v>44055</v>
          </cell>
          <cell r="B329" t="str">
            <v>东部战区-南京-南京二组</v>
          </cell>
          <cell r="C329">
            <v>2750</v>
          </cell>
          <cell r="D329">
            <v>2659</v>
          </cell>
          <cell r="E329">
            <v>2549</v>
          </cell>
          <cell r="F329">
            <v>1581</v>
          </cell>
          <cell r="G329">
            <v>811</v>
          </cell>
          <cell r="H329">
            <v>698</v>
          </cell>
        </row>
        <row r="330">
          <cell r="A330">
            <v>44055</v>
          </cell>
          <cell r="B330" t="str">
            <v>东部战区-合肥-合肥一组</v>
          </cell>
          <cell r="C330">
            <v>3331</v>
          </cell>
          <cell r="D330">
            <v>3254</v>
          </cell>
          <cell r="E330">
            <v>3110</v>
          </cell>
          <cell r="F330">
            <v>1880</v>
          </cell>
          <cell r="G330">
            <v>976</v>
          </cell>
          <cell r="H330">
            <v>692</v>
          </cell>
        </row>
        <row r="331">
          <cell r="A331">
            <v>44055</v>
          </cell>
          <cell r="B331" t="str">
            <v>东部战区-合肥-合肥二组</v>
          </cell>
          <cell r="C331">
            <v>1044</v>
          </cell>
          <cell r="D331">
            <v>1026</v>
          </cell>
          <cell r="E331">
            <v>964</v>
          </cell>
          <cell r="F331">
            <v>631</v>
          </cell>
          <cell r="G331">
            <v>310</v>
          </cell>
          <cell r="H331">
            <v>697</v>
          </cell>
        </row>
        <row r="332">
          <cell r="A332">
            <v>44055</v>
          </cell>
          <cell r="B332" t="str">
            <v>东部战区-杭州-杭州一组</v>
          </cell>
          <cell r="C332">
            <v>5306</v>
          </cell>
          <cell r="D332">
            <v>5100</v>
          </cell>
          <cell r="E332">
            <v>4819</v>
          </cell>
          <cell r="F332">
            <v>2993</v>
          </cell>
          <cell r="G332">
            <v>1380</v>
          </cell>
          <cell r="H332">
            <v>703</v>
          </cell>
        </row>
        <row r="333">
          <cell r="A333">
            <v>44055</v>
          </cell>
          <cell r="B333" t="str">
            <v>东部战区-杭州-杭州三组</v>
          </cell>
          <cell r="C333">
            <v>1773</v>
          </cell>
          <cell r="D333">
            <v>1738</v>
          </cell>
          <cell r="E333">
            <v>1690</v>
          </cell>
          <cell r="F333">
            <v>1017</v>
          </cell>
          <cell r="G333">
            <v>614</v>
          </cell>
          <cell r="H333">
            <v>701</v>
          </cell>
        </row>
        <row r="334">
          <cell r="A334">
            <v>44055</v>
          </cell>
          <cell r="B334" t="str">
            <v>东部战区-杭州-杭州二组</v>
          </cell>
          <cell r="C334">
            <v>4286</v>
          </cell>
          <cell r="D334">
            <v>4183</v>
          </cell>
          <cell r="E334">
            <v>4030</v>
          </cell>
          <cell r="F334">
            <v>2285</v>
          </cell>
          <cell r="G334">
            <v>1267</v>
          </cell>
          <cell r="H334">
            <v>693</v>
          </cell>
        </row>
        <row r="335">
          <cell r="A335">
            <v>44055</v>
          </cell>
          <cell r="B335" t="str">
            <v>北部战区-天津-天津一组</v>
          </cell>
          <cell r="C335">
            <v>1449</v>
          </cell>
          <cell r="D335">
            <v>1437</v>
          </cell>
          <cell r="E335">
            <v>1395</v>
          </cell>
          <cell r="F335">
            <v>753</v>
          </cell>
          <cell r="G335">
            <v>476</v>
          </cell>
          <cell r="H335">
            <v>685</v>
          </cell>
        </row>
        <row r="336">
          <cell r="A336">
            <v>44055</v>
          </cell>
          <cell r="B336" t="str">
            <v>北部战区-北京-北京四组</v>
          </cell>
          <cell r="C336">
            <v>1721</v>
          </cell>
          <cell r="D336">
            <v>1698</v>
          </cell>
          <cell r="E336">
            <v>1663</v>
          </cell>
          <cell r="F336">
            <v>1003</v>
          </cell>
          <cell r="G336">
            <v>582</v>
          </cell>
          <cell r="H336">
            <v>688</v>
          </cell>
        </row>
        <row r="337">
          <cell r="A337">
            <v>44055</v>
          </cell>
          <cell r="B337" t="str">
            <v>北部战区-北京-北京三组</v>
          </cell>
          <cell r="C337">
            <v>2245</v>
          </cell>
          <cell r="D337">
            <v>2189</v>
          </cell>
          <cell r="E337">
            <v>2090</v>
          </cell>
          <cell r="F337">
            <v>1337</v>
          </cell>
          <cell r="G337">
            <v>667</v>
          </cell>
          <cell r="H337">
            <v>689</v>
          </cell>
        </row>
        <row r="338">
          <cell r="A338">
            <v>44056</v>
          </cell>
          <cell r="B338" t="str">
            <v>西部战区-重庆-重庆一组</v>
          </cell>
          <cell r="C338">
            <v>2583</v>
          </cell>
          <cell r="D338">
            <v>2540</v>
          </cell>
          <cell r="E338">
            <v>2470</v>
          </cell>
          <cell r="F338">
            <v>1542</v>
          </cell>
          <cell r="G338">
            <v>855</v>
          </cell>
          <cell r="H338">
            <v>690</v>
          </cell>
        </row>
        <row r="339">
          <cell r="A339">
            <v>44056</v>
          </cell>
          <cell r="B339" t="str">
            <v>西部战区-西安-西安一组</v>
          </cell>
          <cell r="C339">
            <v>2475</v>
          </cell>
          <cell r="D339">
            <v>2426</v>
          </cell>
          <cell r="E339">
            <v>2349</v>
          </cell>
          <cell r="F339">
            <v>1384</v>
          </cell>
          <cell r="G339">
            <v>764</v>
          </cell>
          <cell r="H339">
            <v>690</v>
          </cell>
        </row>
        <row r="340">
          <cell r="A340">
            <v>44056</v>
          </cell>
          <cell r="B340" t="str">
            <v>西部战区-武汉-武汉一组</v>
          </cell>
          <cell r="C340">
            <v>2005</v>
          </cell>
          <cell r="D340">
            <v>1943</v>
          </cell>
          <cell r="E340">
            <v>1864</v>
          </cell>
          <cell r="F340">
            <v>1150</v>
          </cell>
          <cell r="G340">
            <v>610</v>
          </cell>
          <cell r="H340">
            <v>697</v>
          </cell>
        </row>
        <row r="341">
          <cell r="A341">
            <v>44056</v>
          </cell>
          <cell r="B341" t="str">
            <v>西部战区-成都-成都一组</v>
          </cell>
          <cell r="C341">
            <v>2347</v>
          </cell>
          <cell r="D341">
            <v>2290</v>
          </cell>
          <cell r="E341">
            <v>2207</v>
          </cell>
          <cell r="F341">
            <v>1434</v>
          </cell>
          <cell r="G341">
            <v>793</v>
          </cell>
          <cell r="H341">
            <v>690</v>
          </cell>
        </row>
        <row r="342">
          <cell r="A342">
            <v>44056</v>
          </cell>
          <cell r="B342" t="str">
            <v>西部战区-成都-成都二组</v>
          </cell>
          <cell r="C342">
            <v>672</v>
          </cell>
          <cell r="D342">
            <v>662</v>
          </cell>
          <cell r="E342">
            <v>643</v>
          </cell>
          <cell r="F342">
            <v>443</v>
          </cell>
          <cell r="G342">
            <v>209</v>
          </cell>
          <cell r="H342">
            <v>692</v>
          </cell>
        </row>
        <row r="343">
          <cell r="A343">
            <v>44056</v>
          </cell>
          <cell r="B343" t="str">
            <v>南部战区-深圳-深圳一组</v>
          </cell>
          <cell r="C343">
            <v>3823</v>
          </cell>
          <cell r="D343">
            <v>3708</v>
          </cell>
          <cell r="E343">
            <v>3535</v>
          </cell>
          <cell r="F343">
            <v>2103</v>
          </cell>
          <cell r="G343">
            <v>1122</v>
          </cell>
          <cell r="H343">
            <v>689</v>
          </cell>
        </row>
        <row r="344">
          <cell r="A344">
            <v>44056</v>
          </cell>
          <cell r="B344" t="str">
            <v>南部战区-广州-广州一组</v>
          </cell>
          <cell r="C344">
            <v>5229</v>
          </cell>
          <cell r="D344">
            <v>5103</v>
          </cell>
          <cell r="E344">
            <v>4911</v>
          </cell>
          <cell r="F344">
            <v>3076</v>
          </cell>
          <cell r="G344">
            <v>1679</v>
          </cell>
          <cell r="H344">
            <v>688</v>
          </cell>
        </row>
        <row r="345">
          <cell r="A345">
            <v>44056</v>
          </cell>
          <cell r="B345" t="str">
            <v>南部战区-广州-广州三组</v>
          </cell>
          <cell r="C345">
            <v>3219</v>
          </cell>
          <cell r="D345">
            <v>3133</v>
          </cell>
          <cell r="E345">
            <v>2965</v>
          </cell>
          <cell r="F345">
            <v>1749</v>
          </cell>
          <cell r="G345">
            <v>966</v>
          </cell>
          <cell r="H345">
            <v>688</v>
          </cell>
        </row>
        <row r="346">
          <cell r="A346">
            <v>44056</v>
          </cell>
          <cell r="B346" t="str">
            <v>南部战区-广州-广州二组</v>
          </cell>
          <cell r="C346">
            <v>4484</v>
          </cell>
          <cell r="D346">
            <v>4394</v>
          </cell>
          <cell r="E346">
            <v>4200</v>
          </cell>
          <cell r="F346">
            <v>2583</v>
          </cell>
          <cell r="G346">
            <v>1493</v>
          </cell>
          <cell r="H346">
            <v>691</v>
          </cell>
        </row>
        <row r="347">
          <cell r="A347">
            <v>44056</v>
          </cell>
          <cell r="B347" t="str">
            <v>东部战区-苏州-苏州一组</v>
          </cell>
          <cell r="C347">
            <v>5554</v>
          </cell>
          <cell r="D347">
            <v>5348</v>
          </cell>
          <cell r="E347">
            <v>5094</v>
          </cell>
          <cell r="F347">
            <v>3106</v>
          </cell>
          <cell r="G347">
            <v>1603</v>
          </cell>
          <cell r="H347">
            <v>695</v>
          </cell>
        </row>
        <row r="348">
          <cell r="A348">
            <v>44056</v>
          </cell>
          <cell r="B348" t="str">
            <v>东部战区-苏州-苏州三组</v>
          </cell>
          <cell r="C348">
            <v>179</v>
          </cell>
          <cell r="D348">
            <v>176</v>
          </cell>
          <cell r="E348">
            <v>172</v>
          </cell>
          <cell r="F348">
            <v>104</v>
          </cell>
          <cell r="G348">
            <v>76</v>
          </cell>
          <cell r="H348">
            <v>694</v>
          </cell>
        </row>
        <row r="349">
          <cell r="A349">
            <v>44056</v>
          </cell>
          <cell r="B349" t="str">
            <v>东部战区-苏州-苏州二组</v>
          </cell>
          <cell r="C349">
            <v>6850</v>
          </cell>
          <cell r="D349">
            <v>6578</v>
          </cell>
          <cell r="E349">
            <v>6264</v>
          </cell>
          <cell r="F349">
            <v>3626</v>
          </cell>
          <cell r="G349">
            <v>1974</v>
          </cell>
          <cell r="H349">
            <v>696</v>
          </cell>
        </row>
        <row r="350">
          <cell r="A350">
            <v>44056</v>
          </cell>
          <cell r="B350" t="str">
            <v>东部战区-上海-上海一组</v>
          </cell>
          <cell r="C350">
            <v>4454</v>
          </cell>
          <cell r="D350">
            <v>4328</v>
          </cell>
          <cell r="E350">
            <v>4156</v>
          </cell>
          <cell r="F350">
            <v>2538</v>
          </cell>
          <cell r="G350">
            <v>1463</v>
          </cell>
          <cell r="H350">
            <v>696</v>
          </cell>
        </row>
        <row r="351">
          <cell r="A351">
            <v>44056</v>
          </cell>
          <cell r="B351" t="str">
            <v>东部战区-上海-上海三组</v>
          </cell>
          <cell r="C351">
            <v>2925</v>
          </cell>
          <cell r="D351">
            <v>2858</v>
          </cell>
          <cell r="E351">
            <v>2747</v>
          </cell>
          <cell r="F351">
            <v>1612</v>
          </cell>
          <cell r="G351">
            <v>968</v>
          </cell>
          <cell r="H351">
            <v>696</v>
          </cell>
        </row>
        <row r="352">
          <cell r="A352">
            <v>44056</v>
          </cell>
          <cell r="B352" t="str">
            <v>东部战区-上海-上海二组</v>
          </cell>
          <cell r="C352">
            <v>2335</v>
          </cell>
          <cell r="D352">
            <v>2299</v>
          </cell>
          <cell r="E352">
            <v>2204</v>
          </cell>
          <cell r="F352">
            <v>1291</v>
          </cell>
          <cell r="G352">
            <v>704</v>
          </cell>
          <cell r="H352">
            <v>691</v>
          </cell>
        </row>
        <row r="353">
          <cell r="A353">
            <v>44056</v>
          </cell>
          <cell r="B353" t="str">
            <v>东部战区-南京-南京一组</v>
          </cell>
          <cell r="C353">
            <v>3574</v>
          </cell>
          <cell r="D353">
            <v>3497</v>
          </cell>
          <cell r="E353">
            <v>3369</v>
          </cell>
          <cell r="F353">
            <v>1956</v>
          </cell>
          <cell r="G353">
            <v>1087</v>
          </cell>
          <cell r="H353">
            <v>698</v>
          </cell>
        </row>
        <row r="354">
          <cell r="A354">
            <v>44056</v>
          </cell>
          <cell r="B354" t="str">
            <v>东部战区-南京-南京四组</v>
          </cell>
          <cell r="C354">
            <v>1402</v>
          </cell>
          <cell r="D354">
            <v>1368</v>
          </cell>
          <cell r="E354">
            <v>1311</v>
          </cell>
          <cell r="F354">
            <v>766</v>
          </cell>
          <cell r="G354">
            <v>467</v>
          </cell>
          <cell r="H354">
            <v>696</v>
          </cell>
        </row>
        <row r="355">
          <cell r="A355">
            <v>44056</v>
          </cell>
          <cell r="B355" t="str">
            <v>东部战区-南京-南京三组</v>
          </cell>
          <cell r="C355">
            <v>2373</v>
          </cell>
          <cell r="D355">
            <v>2334</v>
          </cell>
          <cell r="E355">
            <v>2249</v>
          </cell>
          <cell r="F355">
            <v>1350</v>
          </cell>
          <cell r="G355">
            <v>694</v>
          </cell>
          <cell r="H355">
            <v>697</v>
          </cell>
        </row>
        <row r="356">
          <cell r="A356">
            <v>44056</v>
          </cell>
          <cell r="B356" t="str">
            <v>东部战区-南京-南京二组</v>
          </cell>
          <cell r="C356">
            <v>2177</v>
          </cell>
          <cell r="D356">
            <v>2104</v>
          </cell>
          <cell r="E356">
            <v>2011</v>
          </cell>
          <cell r="F356">
            <v>1273</v>
          </cell>
          <cell r="G356">
            <v>634</v>
          </cell>
          <cell r="H356">
            <v>698</v>
          </cell>
        </row>
        <row r="357">
          <cell r="A357">
            <v>44056</v>
          </cell>
          <cell r="B357" t="str">
            <v>东部战区-合肥-合肥一组</v>
          </cell>
          <cell r="C357">
            <v>3446</v>
          </cell>
          <cell r="D357">
            <v>3355</v>
          </cell>
          <cell r="E357">
            <v>3182</v>
          </cell>
          <cell r="F357">
            <v>1934</v>
          </cell>
          <cell r="G357">
            <v>968</v>
          </cell>
          <cell r="H357">
            <v>694</v>
          </cell>
        </row>
        <row r="358">
          <cell r="A358">
            <v>44056</v>
          </cell>
          <cell r="B358" t="str">
            <v>东部战区-合肥-合肥二组</v>
          </cell>
          <cell r="C358">
            <v>1405</v>
          </cell>
          <cell r="D358">
            <v>1382</v>
          </cell>
          <cell r="E358">
            <v>1304</v>
          </cell>
          <cell r="F358">
            <v>833</v>
          </cell>
          <cell r="G358">
            <v>419</v>
          </cell>
          <cell r="H358">
            <v>697</v>
          </cell>
        </row>
        <row r="359">
          <cell r="A359">
            <v>44056</v>
          </cell>
          <cell r="B359" t="str">
            <v>东部战区-杭州-杭州一组</v>
          </cell>
          <cell r="C359">
            <v>4649</v>
          </cell>
          <cell r="D359">
            <v>4473</v>
          </cell>
          <cell r="E359">
            <v>4242</v>
          </cell>
          <cell r="F359">
            <v>2596</v>
          </cell>
          <cell r="G359">
            <v>1292</v>
          </cell>
          <cell r="H359">
            <v>701</v>
          </cell>
        </row>
        <row r="360">
          <cell r="A360">
            <v>44056</v>
          </cell>
          <cell r="B360" t="str">
            <v>东部战区-杭州-杭州三组</v>
          </cell>
          <cell r="C360">
            <v>1773</v>
          </cell>
          <cell r="D360">
            <v>1738</v>
          </cell>
          <cell r="E360">
            <v>1690</v>
          </cell>
          <cell r="F360">
            <v>1017</v>
          </cell>
          <cell r="G360">
            <v>614</v>
          </cell>
          <cell r="H360">
            <v>701</v>
          </cell>
        </row>
        <row r="361">
          <cell r="A361">
            <v>44056</v>
          </cell>
          <cell r="B361" t="str">
            <v>东部战区-杭州-杭州二组</v>
          </cell>
          <cell r="C361">
            <v>4302</v>
          </cell>
          <cell r="D361">
            <v>4208</v>
          </cell>
          <cell r="E361">
            <v>4058</v>
          </cell>
          <cell r="F361">
            <v>2295</v>
          </cell>
          <cell r="G361">
            <v>1297</v>
          </cell>
          <cell r="H361">
            <v>693</v>
          </cell>
        </row>
        <row r="362">
          <cell r="A362">
            <v>44056</v>
          </cell>
          <cell r="B362" t="str">
            <v>北部战区-天津-天津一组</v>
          </cell>
          <cell r="C362">
            <v>1579</v>
          </cell>
          <cell r="D362">
            <v>1560</v>
          </cell>
          <cell r="E362">
            <v>1513</v>
          </cell>
          <cell r="F362">
            <v>826</v>
          </cell>
          <cell r="G362">
            <v>526</v>
          </cell>
          <cell r="H362">
            <v>686</v>
          </cell>
        </row>
        <row r="363">
          <cell r="A363">
            <v>44056</v>
          </cell>
          <cell r="B363" t="str">
            <v>北部战区-北京-北京一组</v>
          </cell>
          <cell r="C363">
            <v>95</v>
          </cell>
          <cell r="D363">
            <v>91</v>
          </cell>
          <cell r="E363">
            <v>85</v>
          </cell>
          <cell r="F363">
            <v>45</v>
          </cell>
          <cell r="G363">
            <v>25</v>
          </cell>
          <cell r="H363">
            <v>686</v>
          </cell>
        </row>
        <row r="364">
          <cell r="A364">
            <v>44056</v>
          </cell>
          <cell r="B364" t="str">
            <v>北部战区-北京-北京四组</v>
          </cell>
          <cell r="C364">
            <v>798</v>
          </cell>
          <cell r="D364">
            <v>786</v>
          </cell>
          <cell r="E364">
            <v>769</v>
          </cell>
          <cell r="F364">
            <v>456</v>
          </cell>
          <cell r="G364">
            <v>283</v>
          </cell>
          <cell r="H364">
            <v>688</v>
          </cell>
        </row>
        <row r="365">
          <cell r="A365">
            <v>44056</v>
          </cell>
          <cell r="B365" t="str">
            <v>北部战区-北京-北京三组</v>
          </cell>
          <cell r="C365">
            <v>1807</v>
          </cell>
          <cell r="D365">
            <v>1765</v>
          </cell>
          <cell r="E365">
            <v>1688</v>
          </cell>
          <cell r="F365">
            <v>1076</v>
          </cell>
          <cell r="G365">
            <v>548</v>
          </cell>
          <cell r="H365">
            <v>690</v>
          </cell>
        </row>
        <row r="366">
          <cell r="A366">
            <v>44057</v>
          </cell>
          <cell r="B366" t="str">
            <v>西部战区-重庆-重庆一组</v>
          </cell>
          <cell r="C366">
            <v>2583</v>
          </cell>
          <cell r="D366">
            <v>2540</v>
          </cell>
          <cell r="E366">
            <v>2470</v>
          </cell>
          <cell r="F366">
            <v>1542</v>
          </cell>
          <cell r="G366">
            <v>855</v>
          </cell>
          <cell r="H366">
            <v>690</v>
          </cell>
        </row>
        <row r="367">
          <cell r="A367">
            <v>44057</v>
          </cell>
          <cell r="B367" t="str">
            <v>西部战区-西安-西安一组</v>
          </cell>
          <cell r="C367">
            <v>3717</v>
          </cell>
          <cell r="D367">
            <v>3652</v>
          </cell>
          <cell r="E367">
            <v>3534</v>
          </cell>
          <cell r="F367">
            <v>2135</v>
          </cell>
          <cell r="G367">
            <v>1196</v>
          </cell>
          <cell r="H367">
            <v>691</v>
          </cell>
        </row>
        <row r="368">
          <cell r="A368">
            <v>44057</v>
          </cell>
          <cell r="B368" t="str">
            <v>西部战区-武汉-武汉一组</v>
          </cell>
          <cell r="C368">
            <v>4995</v>
          </cell>
          <cell r="D368">
            <v>4878</v>
          </cell>
          <cell r="E368">
            <v>4685</v>
          </cell>
          <cell r="F368">
            <v>2939</v>
          </cell>
          <cell r="G368">
            <v>1529</v>
          </cell>
          <cell r="H368">
            <v>699</v>
          </cell>
        </row>
        <row r="369">
          <cell r="A369">
            <v>44057</v>
          </cell>
          <cell r="B369" t="str">
            <v>西部战区-成都-成都一组</v>
          </cell>
          <cell r="C369">
            <v>2426</v>
          </cell>
          <cell r="D369">
            <v>2372</v>
          </cell>
          <cell r="E369">
            <v>2292</v>
          </cell>
          <cell r="F369">
            <v>1496</v>
          </cell>
          <cell r="G369">
            <v>869</v>
          </cell>
          <cell r="H369">
            <v>691</v>
          </cell>
        </row>
        <row r="370">
          <cell r="A370">
            <v>44057</v>
          </cell>
          <cell r="B370" t="str">
            <v>西部战区-成都-成都二组</v>
          </cell>
          <cell r="C370">
            <v>672</v>
          </cell>
          <cell r="D370">
            <v>662</v>
          </cell>
          <cell r="E370">
            <v>643</v>
          </cell>
          <cell r="F370">
            <v>443</v>
          </cell>
          <cell r="G370">
            <v>209</v>
          </cell>
          <cell r="H370">
            <v>692</v>
          </cell>
        </row>
        <row r="371">
          <cell r="A371">
            <v>44057</v>
          </cell>
          <cell r="B371" t="str">
            <v>南部战区-深圳-深圳一组</v>
          </cell>
          <cell r="C371">
            <v>3823</v>
          </cell>
          <cell r="D371">
            <v>3708</v>
          </cell>
          <cell r="E371">
            <v>3535</v>
          </cell>
          <cell r="F371">
            <v>2103</v>
          </cell>
          <cell r="G371">
            <v>1122</v>
          </cell>
          <cell r="H371">
            <v>689</v>
          </cell>
        </row>
        <row r="372">
          <cell r="A372">
            <v>44057</v>
          </cell>
          <cell r="B372" t="str">
            <v>南部战区-广州-广州一组</v>
          </cell>
          <cell r="C372">
            <v>6383</v>
          </cell>
          <cell r="D372">
            <v>6224</v>
          </cell>
          <cell r="E372">
            <v>5960</v>
          </cell>
          <cell r="F372">
            <v>3747</v>
          </cell>
          <cell r="G372">
            <v>2077</v>
          </cell>
          <cell r="H372">
            <v>688</v>
          </cell>
        </row>
        <row r="373">
          <cell r="A373">
            <v>44057</v>
          </cell>
          <cell r="B373" t="str">
            <v>南部战区-广州-广州三组</v>
          </cell>
          <cell r="C373">
            <v>3215</v>
          </cell>
          <cell r="D373">
            <v>3129</v>
          </cell>
          <cell r="E373">
            <v>2961</v>
          </cell>
          <cell r="F373">
            <v>1747</v>
          </cell>
          <cell r="G373">
            <v>965</v>
          </cell>
          <cell r="H373">
            <v>688</v>
          </cell>
        </row>
        <row r="374">
          <cell r="A374">
            <v>44057</v>
          </cell>
          <cell r="B374" t="str">
            <v>南部战区-广州-广州二组</v>
          </cell>
          <cell r="C374">
            <v>4484</v>
          </cell>
          <cell r="D374">
            <v>4394</v>
          </cell>
          <cell r="E374">
            <v>4200</v>
          </cell>
          <cell r="F374">
            <v>2583</v>
          </cell>
          <cell r="G374">
            <v>1493</v>
          </cell>
          <cell r="H374">
            <v>691</v>
          </cell>
        </row>
        <row r="375">
          <cell r="A375">
            <v>44057</v>
          </cell>
          <cell r="B375" t="str">
            <v>东部战区-苏州-苏州一组</v>
          </cell>
          <cell r="C375">
            <v>5113</v>
          </cell>
          <cell r="D375">
            <v>4948</v>
          </cell>
          <cell r="E375">
            <v>4724</v>
          </cell>
          <cell r="F375">
            <v>2861</v>
          </cell>
          <cell r="G375">
            <v>1484</v>
          </cell>
          <cell r="H375">
            <v>694</v>
          </cell>
        </row>
        <row r="376">
          <cell r="A376">
            <v>44057</v>
          </cell>
          <cell r="B376" t="str">
            <v>东部战区-苏州-苏州三组</v>
          </cell>
          <cell r="C376">
            <v>83</v>
          </cell>
          <cell r="D376">
            <v>80</v>
          </cell>
          <cell r="E376">
            <v>70</v>
          </cell>
          <cell r="F376">
            <v>41</v>
          </cell>
          <cell r="G376">
            <v>18</v>
          </cell>
          <cell r="H376">
            <v>684</v>
          </cell>
        </row>
        <row r="377">
          <cell r="A377">
            <v>44057</v>
          </cell>
          <cell r="B377" t="str">
            <v>东部战区-苏州-苏州二组</v>
          </cell>
          <cell r="C377">
            <v>6462</v>
          </cell>
          <cell r="D377">
            <v>6194</v>
          </cell>
          <cell r="E377">
            <v>5893</v>
          </cell>
          <cell r="F377">
            <v>3424</v>
          </cell>
          <cell r="G377">
            <v>1874</v>
          </cell>
          <cell r="H377">
            <v>696</v>
          </cell>
        </row>
        <row r="378">
          <cell r="A378">
            <v>44057</v>
          </cell>
          <cell r="B378" t="str">
            <v>东部战区-上海-上海一组</v>
          </cell>
          <cell r="C378">
            <v>4626</v>
          </cell>
          <cell r="D378">
            <v>4473</v>
          </cell>
          <cell r="E378">
            <v>4294</v>
          </cell>
          <cell r="F378">
            <v>2606</v>
          </cell>
          <cell r="G378">
            <v>1506</v>
          </cell>
          <cell r="H378">
            <v>696</v>
          </cell>
        </row>
        <row r="379">
          <cell r="A379">
            <v>44057</v>
          </cell>
          <cell r="B379" t="str">
            <v>东部战区-上海-上海三组</v>
          </cell>
          <cell r="C379">
            <v>2925</v>
          </cell>
          <cell r="D379">
            <v>2858</v>
          </cell>
          <cell r="E379">
            <v>2747</v>
          </cell>
          <cell r="F379">
            <v>1612</v>
          </cell>
          <cell r="G379">
            <v>968</v>
          </cell>
          <cell r="H379">
            <v>696</v>
          </cell>
        </row>
        <row r="380">
          <cell r="A380">
            <v>44057</v>
          </cell>
          <cell r="B380" t="str">
            <v>东部战区-上海-上海二组</v>
          </cell>
          <cell r="C380">
            <v>2513</v>
          </cell>
          <cell r="D380">
            <v>2475</v>
          </cell>
          <cell r="E380">
            <v>2375</v>
          </cell>
          <cell r="F380">
            <v>1440</v>
          </cell>
          <cell r="G380">
            <v>776</v>
          </cell>
          <cell r="H380">
            <v>691</v>
          </cell>
        </row>
        <row r="381">
          <cell r="A381">
            <v>44057</v>
          </cell>
          <cell r="B381" t="str">
            <v>东部战区-南京-南京一组</v>
          </cell>
          <cell r="C381">
            <v>2540</v>
          </cell>
          <cell r="D381">
            <v>2495</v>
          </cell>
          <cell r="E381">
            <v>2424</v>
          </cell>
          <cell r="F381">
            <v>1407</v>
          </cell>
          <cell r="G381">
            <v>816</v>
          </cell>
          <cell r="H381">
            <v>696</v>
          </cell>
        </row>
        <row r="382">
          <cell r="A382">
            <v>44057</v>
          </cell>
          <cell r="B382" t="str">
            <v>东部战区-南京-南京四组</v>
          </cell>
          <cell r="C382">
            <v>1907</v>
          </cell>
          <cell r="D382">
            <v>1854</v>
          </cell>
          <cell r="E382">
            <v>1776</v>
          </cell>
          <cell r="F382">
            <v>1048</v>
          </cell>
          <cell r="G382">
            <v>592</v>
          </cell>
          <cell r="H382">
            <v>696</v>
          </cell>
        </row>
        <row r="383">
          <cell r="A383">
            <v>44057</v>
          </cell>
          <cell r="B383" t="str">
            <v>东部战区-南京-南京三组</v>
          </cell>
          <cell r="C383">
            <v>2869</v>
          </cell>
          <cell r="D383">
            <v>2815</v>
          </cell>
          <cell r="E383">
            <v>2713</v>
          </cell>
          <cell r="F383">
            <v>1648</v>
          </cell>
          <cell r="G383">
            <v>829</v>
          </cell>
          <cell r="H383">
            <v>698</v>
          </cell>
        </row>
        <row r="384">
          <cell r="A384">
            <v>44057</v>
          </cell>
          <cell r="B384" t="str">
            <v>东部战区-南京-南京二组</v>
          </cell>
          <cell r="C384">
            <v>1821</v>
          </cell>
          <cell r="D384">
            <v>1766</v>
          </cell>
          <cell r="E384">
            <v>1687</v>
          </cell>
          <cell r="F384">
            <v>1085</v>
          </cell>
          <cell r="G384">
            <v>569</v>
          </cell>
          <cell r="H384">
            <v>700</v>
          </cell>
        </row>
        <row r="385">
          <cell r="A385">
            <v>44057</v>
          </cell>
          <cell r="B385" t="str">
            <v>东部战区-合肥-合肥一组</v>
          </cell>
          <cell r="C385">
            <v>5493</v>
          </cell>
          <cell r="D385">
            <v>5366</v>
          </cell>
          <cell r="E385">
            <v>5117</v>
          </cell>
          <cell r="F385">
            <v>3186</v>
          </cell>
          <cell r="G385">
            <v>1527</v>
          </cell>
          <cell r="H385">
            <v>695</v>
          </cell>
        </row>
        <row r="386">
          <cell r="A386">
            <v>44057</v>
          </cell>
          <cell r="B386" t="str">
            <v>东部战区-合肥-合肥二组</v>
          </cell>
          <cell r="C386">
            <v>1174</v>
          </cell>
          <cell r="D386">
            <v>1153</v>
          </cell>
          <cell r="E386">
            <v>1085</v>
          </cell>
          <cell r="F386">
            <v>694</v>
          </cell>
          <cell r="G386">
            <v>344</v>
          </cell>
          <cell r="H386">
            <v>698</v>
          </cell>
        </row>
        <row r="387">
          <cell r="A387">
            <v>44057</v>
          </cell>
          <cell r="B387" t="str">
            <v>东部战区-杭州-杭州一组</v>
          </cell>
          <cell r="C387">
            <v>5497</v>
          </cell>
          <cell r="D387">
            <v>5275</v>
          </cell>
          <cell r="E387">
            <v>4997</v>
          </cell>
          <cell r="F387">
            <v>3077</v>
          </cell>
          <cell r="G387">
            <v>1524</v>
          </cell>
          <cell r="H387">
            <v>702</v>
          </cell>
        </row>
        <row r="388">
          <cell r="A388">
            <v>44057</v>
          </cell>
          <cell r="B388" t="str">
            <v>东部战区-杭州-杭州三组</v>
          </cell>
          <cell r="C388">
            <v>1773</v>
          </cell>
          <cell r="D388">
            <v>1738</v>
          </cell>
          <cell r="E388">
            <v>1690</v>
          </cell>
          <cell r="F388">
            <v>1017</v>
          </cell>
          <cell r="G388">
            <v>614</v>
          </cell>
          <cell r="H388">
            <v>701</v>
          </cell>
        </row>
        <row r="389">
          <cell r="A389">
            <v>44057</v>
          </cell>
          <cell r="B389" t="str">
            <v>东部战区-杭州-杭州二组</v>
          </cell>
          <cell r="C389">
            <v>4580</v>
          </cell>
          <cell r="D389">
            <v>4469</v>
          </cell>
          <cell r="E389">
            <v>4325</v>
          </cell>
          <cell r="F389">
            <v>2440</v>
          </cell>
          <cell r="G389">
            <v>1402</v>
          </cell>
          <cell r="H389">
            <v>694</v>
          </cell>
        </row>
        <row r="390">
          <cell r="A390">
            <v>44057</v>
          </cell>
          <cell r="B390" t="str">
            <v>北部战区-天津-天津一组</v>
          </cell>
          <cell r="C390">
            <v>2020</v>
          </cell>
          <cell r="D390">
            <v>2000</v>
          </cell>
          <cell r="E390">
            <v>1937</v>
          </cell>
          <cell r="F390">
            <v>1091</v>
          </cell>
          <cell r="G390">
            <v>719</v>
          </cell>
          <cell r="H390">
            <v>686</v>
          </cell>
        </row>
        <row r="391">
          <cell r="A391">
            <v>44057</v>
          </cell>
          <cell r="B391" t="str">
            <v>北部战区-北京-北京四组</v>
          </cell>
          <cell r="C391">
            <v>1721</v>
          </cell>
          <cell r="D391">
            <v>1698</v>
          </cell>
          <cell r="E391">
            <v>1663</v>
          </cell>
          <cell r="F391">
            <v>1003</v>
          </cell>
          <cell r="G391">
            <v>582</v>
          </cell>
          <cell r="H391">
            <v>688</v>
          </cell>
        </row>
        <row r="392">
          <cell r="A392">
            <v>44057</v>
          </cell>
          <cell r="B392" t="str">
            <v>北部战区-北京-北京三组</v>
          </cell>
          <cell r="C392">
            <v>891</v>
          </cell>
          <cell r="D392">
            <v>873</v>
          </cell>
          <cell r="E392">
            <v>841</v>
          </cell>
          <cell r="F392">
            <v>512</v>
          </cell>
          <cell r="G392">
            <v>285</v>
          </cell>
          <cell r="H392">
            <v>689</v>
          </cell>
        </row>
        <row r="393">
          <cell r="A393">
            <v>44058</v>
          </cell>
          <cell r="B393" t="str">
            <v>西部战区-重庆-重庆一组</v>
          </cell>
          <cell r="C393">
            <v>2583</v>
          </cell>
          <cell r="D393">
            <v>2540</v>
          </cell>
          <cell r="E393">
            <v>2470</v>
          </cell>
          <cell r="F393">
            <v>1542</v>
          </cell>
          <cell r="G393">
            <v>855</v>
          </cell>
          <cell r="H393">
            <v>690</v>
          </cell>
        </row>
        <row r="394">
          <cell r="A394">
            <v>44058</v>
          </cell>
          <cell r="B394" t="str">
            <v>西部战区-西安-西安一组</v>
          </cell>
          <cell r="C394">
            <v>2358</v>
          </cell>
          <cell r="D394">
            <v>2312</v>
          </cell>
          <cell r="E394">
            <v>2243</v>
          </cell>
          <cell r="F394">
            <v>1319</v>
          </cell>
          <cell r="G394">
            <v>783</v>
          </cell>
          <cell r="H394">
            <v>692</v>
          </cell>
        </row>
        <row r="395">
          <cell r="A395">
            <v>44058</v>
          </cell>
          <cell r="B395" t="str">
            <v>西部战区-武汉-武汉一组</v>
          </cell>
          <cell r="C395">
            <v>3719</v>
          </cell>
          <cell r="D395">
            <v>3646</v>
          </cell>
          <cell r="E395">
            <v>3507</v>
          </cell>
          <cell r="F395">
            <v>2146</v>
          </cell>
          <cell r="G395">
            <v>1149</v>
          </cell>
          <cell r="H395">
            <v>698</v>
          </cell>
        </row>
        <row r="396">
          <cell r="A396">
            <v>44058</v>
          </cell>
          <cell r="B396" t="str">
            <v>西部战区-成都-成都一组</v>
          </cell>
          <cell r="C396">
            <v>2100</v>
          </cell>
          <cell r="D396">
            <v>2047</v>
          </cell>
          <cell r="E396">
            <v>1968</v>
          </cell>
          <cell r="F396">
            <v>1268</v>
          </cell>
          <cell r="G396">
            <v>706</v>
          </cell>
          <cell r="H396">
            <v>690</v>
          </cell>
        </row>
        <row r="397">
          <cell r="A397">
            <v>44058</v>
          </cell>
          <cell r="B397" t="str">
            <v>西部战区-成都-成都二组</v>
          </cell>
          <cell r="C397">
            <v>672</v>
          </cell>
          <cell r="D397">
            <v>662</v>
          </cell>
          <cell r="E397">
            <v>643</v>
          </cell>
          <cell r="F397">
            <v>443</v>
          </cell>
          <cell r="G397">
            <v>209</v>
          </cell>
          <cell r="H397">
            <v>692</v>
          </cell>
        </row>
        <row r="398">
          <cell r="A398">
            <v>44058</v>
          </cell>
          <cell r="B398" t="str">
            <v>南部战区-深圳-深圳一组</v>
          </cell>
          <cell r="C398">
            <v>3823</v>
          </cell>
          <cell r="D398">
            <v>3708</v>
          </cell>
          <cell r="E398">
            <v>3535</v>
          </cell>
          <cell r="F398">
            <v>2103</v>
          </cell>
          <cell r="G398">
            <v>1122</v>
          </cell>
          <cell r="H398">
            <v>689</v>
          </cell>
        </row>
        <row r="399">
          <cell r="A399">
            <v>44058</v>
          </cell>
          <cell r="B399" t="str">
            <v>南部战区-广州-广州一组</v>
          </cell>
          <cell r="C399">
            <v>5868</v>
          </cell>
          <cell r="D399">
            <v>5718</v>
          </cell>
          <cell r="E399">
            <v>5473</v>
          </cell>
          <cell r="F399">
            <v>3443</v>
          </cell>
          <cell r="G399">
            <v>1909</v>
          </cell>
          <cell r="H399">
            <v>688</v>
          </cell>
        </row>
        <row r="400">
          <cell r="A400">
            <v>44058</v>
          </cell>
          <cell r="B400" t="str">
            <v>南部战区-广州-广州三组</v>
          </cell>
          <cell r="C400">
            <v>3024</v>
          </cell>
          <cell r="D400">
            <v>2946</v>
          </cell>
          <cell r="E400">
            <v>2793</v>
          </cell>
          <cell r="F400">
            <v>1648</v>
          </cell>
          <cell r="G400">
            <v>911</v>
          </cell>
          <cell r="H400">
            <v>689</v>
          </cell>
        </row>
        <row r="401">
          <cell r="A401">
            <v>44058</v>
          </cell>
          <cell r="B401" t="str">
            <v>南部战区-广州-广州二组</v>
          </cell>
          <cell r="C401">
            <v>2203</v>
          </cell>
          <cell r="D401">
            <v>2170</v>
          </cell>
          <cell r="E401">
            <v>2091</v>
          </cell>
          <cell r="F401">
            <v>1308</v>
          </cell>
          <cell r="G401">
            <v>814</v>
          </cell>
          <cell r="H401">
            <v>690</v>
          </cell>
        </row>
        <row r="402">
          <cell r="A402">
            <v>44058</v>
          </cell>
          <cell r="B402" t="str">
            <v>东部战区-苏州-苏州一组</v>
          </cell>
          <cell r="C402">
            <v>5654</v>
          </cell>
          <cell r="D402">
            <v>5465</v>
          </cell>
          <cell r="E402">
            <v>5231</v>
          </cell>
          <cell r="F402">
            <v>3165</v>
          </cell>
          <cell r="G402">
            <v>1603</v>
          </cell>
          <cell r="H402">
            <v>694</v>
          </cell>
        </row>
        <row r="403">
          <cell r="A403">
            <v>44058</v>
          </cell>
          <cell r="B403" t="str">
            <v>东部战区-苏州-苏州三组</v>
          </cell>
          <cell r="C403">
            <v>313</v>
          </cell>
          <cell r="D403">
            <v>305</v>
          </cell>
          <cell r="E403">
            <v>285</v>
          </cell>
          <cell r="F403">
            <v>176</v>
          </cell>
          <cell r="G403">
            <v>103</v>
          </cell>
          <cell r="H403">
            <v>692</v>
          </cell>
        </row>
        <row r="404">
          <cell r="A404">
            <v>44058</v>
          </cell>
          <cell r="B404" t="str">
            <v>东部战区-苏州-苏州二组</v>
          </cell>
          <cell r="C404">
            <v>7051</v>
          </cell>
          <cell r="D404">
            <v>6772</v>
          </cell>
          <cell r="E404">
            <v>6442</v>
          </cell>
          <cell r="F404">
            <v>3733</v>
          </cell>
          <cell r="G404">
            <v>2022</v>
          </cell>
          <cell r="H404">
            <v>696</v>
          </cell>
        </row>
        <row r="405">
          <cell r="A405">
            <v>44058</v>
          </cell>
          <cell r="B405" t="str">
            <v>东部战区-上海-上海一组</v>
          </cell>
          <cell r="C405">
            <v>4889</v>
          </cell>
          <cell r="D405">
            <v>4728</v>
          </cell>
          <cell r="E405">
            <v>4533</v>
          </cell>
          <cell r="F405">
            <v>2749</v>
          </cell>
          <cell r="G405">
            <v>1590</v>
          </cell>
          <cell r="H405">
            <v>695</v>
          </cell>
        </row>
        <row r="406">
          <cell r="A406">
            <v>44058</v>
          </cell>
          <cell r="B406" t="str">
            <v>东部战区-上海-上海三组</v>
          </cell>
          <cell r="C406">
            <v>2925</v>
          </cell>
          <cell r="D406">
            <v>2858</v>
          </cell>
          <cell r="E406">
            <v>2747</v>
          </cell>
          <cell r="F406">
            <v>1612</v>
          </cell>
          <cell r="G406">
            <v>968</v>
          </cell>
          <cell r="H406">
            <v>696</v>
          </cell>
        </row>
        <row r="407">
          <cell r="A407">
            <v>44058</v>
          </cell>
          <cell r="B407" t="str">
            <v>东部战区-上海-上海二组</v>
          </cell>
          <cell r="C407">
            <v>2970</v>
          </cell>
          <cell r="D407">
            <v>2916</v>
          </cell>
          <cell r="E407">
            <v>2790</v>
          </cell>
          <cell r="F407">
            <v>1674</v>
          </cell>
          <cell r="G407">
            <v>905</v>
          </cell>
          <cell r="H407">
            <v>691</v>
          </cell>
        </row>
        <row r="408">
          <cell r="A408">
            <v>44058</v>
          </cell>
          <cell r="B408" t="str">
            <v>东部战区-南京-南京一组</v>
          </cell>
          <cell r="C408">
            <v>3941</v>
          </cell>
          <cell r="D408">
            <v>3858</v>
          </cell>
          <cell r="E408">
            <v>3719</v>
          </cell>
          <cell r="F408">
            <v>2134</v>
          </cell>
          <cell r="G408">
            <v>1195</v>
          </cell>
          <cell r="H408">
            <v>697</v>
          </cell>
        </row>
        <row r="409">
          <cell r="A409">
            <v>44058</v>
          </cell>
          <cell r="B409" t="str">
            <v>东部战区-南京-南京四组</v>
          </cell>
          <cell r="C409">
            <v>1907</v>
          </cell>
          <cell r="D409">
            <v>1854</v>
          </cell>
          <cell r="E409">
            <v>1776</v>
          </cell>
          <cell r="F409">
            <v>1048</v>
          </cell>
          <cell r="G409">
            <v>592</v>
          </cell>
          <cell r="H409">
            <v>696</v>
          </cell>
        </row>
        <row r="410">
          <cell r="A410">
            <v>44058</v>
          </cell>
          <cell r="B410" t="str">
            <v>东部战区-南京-南京三组</v>
          </cell>
          <cell r="C410">
            <v>2869</v>
          </cell>
          <cell r="D410">
            <v>2815</v>
          </cell>
          <cell r="E410">
            <v>2713</v>
          </cell>
          <cell r="F410">
            <v>1648</v>
          </cell>
          <cell r="G410">
            <v>829</v>
          </cell>
          <cell r="H410">
            <v>698</v>
          </cell>
        </row>
        <row r="411">
          <cell r="A411">
            <v>44058</v>
          </cell>
          <cell r="B411" t="str">
            <v>东部战区-南京-南京二组</v>
          </cell>
          <cell r="C411">
            <v>1516</v>
          </cell>
          <cell r="D411">
            <v>1472</v>
          </cell>
          <cell r="E411">
            <v>1416</v>
          </cell>
          <cell r="F411">
            <v>867</v>
          </cell>
          <cell r="G411">
            <v>485</v>
          </cell>
          <cell r="H411">
            <v>695</v>
          </cell>
        </row>
        <row r="412">
          <cell r="A412">
            <v>44058</v>
          </cell>
          <cell r="B412" t="str">
            <v>东部战区-合肥-合肥一组</v>
          </cell>
          <cell r="C412">
            <v>5784</v>
          </cell>
          <cell r="D412">
            <v>5648</v>
          </cell>
          <cell r="E412">
            <v>5383</v>
          </cell>
          <cell r="F412">
            <v>3355</v>
          </cell>
          <cell r="G412">
            <v>1652</v>
          </cell>
          <cell r="H412">
            <v>696</v>
          </cell>
        </row>
        <row r="413">
          <cell r="A413">
            <v>44058</v>
          </cell>
          <cell r="B413" t="str">
            <v>东部战区-合肥-合肥二组</v>
          </cell>
          <cell r="C413">
            <v>1290</v>
          </cell>
          <cell r="D413">
            <v>1273</v>
          </cell>
          <cell r="E413">
            <v>1209</v>
          </cell>
          <cell r="F413">
            <v>771</v>
          </cell>
          <cell r="G413">
            <v>398</v>
          </cell>
          <cell r="H413">
            <v>697</v>
          </cell>
        </row>
        <row r="414">
          <cell r="A414">
            <v>44058</v>
          </cell>
          <cell r="B414" t="str">
            <v>东部战区-杭州-杭州一组</v>
          </cell>
          <cell r="C414">
            <v>6445</v>
          </cell>
          <cell r="D414">
            <v>6178</v>
          </cell>
          <cell r="E414">
            <v>5849</v>
          </cell>
          <cell r="F414">
            <v>3656</v>
          </cell>
          <cell r="G414">
            <v>1725</v>
          </cell>
          <cell r="H414">
            <v>702</v>
          </cell>
        </row>
        <row r="415">
          <cell r="A415">
            <v>44058</v>
          </cell>
          <cell r="B415" t="str">
            <v>东部战区-杭州-杭州三组</v>
          </cell>
          <cell r="C415">
            <v>1773</v>
          </cell>
          <cell r="D415">
            <v>1738</v>
          </cell>
          <cell r="E415">
            <v>1690</v>
          </cell>
          <cell r="F415">
            <v>1017</v>
          </cell>
          <cell r="G415">
            <v>614</v>
          </cell>
          <cell r="H415">
            <v>701</v>
          </cell>
        </row>
        <row r="416">
          <cell r="A416">
            <v>44058</v>
          </cell>
          <cell r="B416" t="str">
            <v>东部战区-杭州-杭州二组</v>
          </cell>
          <cell r="C416">
            <v>4956</v>
          </cell>
          <cell r="D416">
            <v>4840</v>
          </cell>
          <cell r="E416">
            <v>4687</v>
          </cell>
          <cell r="F416">
            <v>2628</v>
          </cell>
          <cell r="G416">
            <v>1525</v>
          </cell>
          <cell r="H416">
            <v>694</v>
          </cell>
        </row>
        <row r="417">
          <cell r="A417">
            <v>44058</v>
          </cell>
          <cell r="B417" t="str">
            <v>北部战区-天津-天津一组</v>
          </cell>
          <cell r="C417">
            <v>2151</v>
          </cell>
          <cell r="D417">
            <v>2128</v>
          </cell>
          <cell r="E417">
            <v>2060</v>
          </cell>
          <cell r="F417">
            <v>1168</v>
          </cell>
          <cell r="G417">
            <v>762</v>
          </cell>
          <cell r="H417">
            <v>686</v>
          </cell>
        </row>
        <row r="418">
          <cell r="A418">
            <v>44058</v>
          </cell>
          <cell r="B418" t="str">
            <v>北部战区-北京-北京一组</v>
          </cell>
          <cell r="C418">
            <v>95</v>
          </cell>
          <cell r="D418">
            <v>91</v>
          </cell>
          <cell r="E418">
            <v>85</v>
          </cell>
          <cell r="F418">
            <v>45</v>
          </cell>
          <cell r="G418">
            <v>25</v>
          </cell>
          <cell r="H418">
            <v>686</v>
          </cell>
        </row>
        <row r="419">
          <cell r="A419">
            <v>44058</v>
          </cell>
          <cell r="B419" t="str">
            <v>北部战区-北京-北京四组</v>
          </cell>
          <cell r="C419">
            <v>1721</v>
          </cell>
          <cell r="D419">
            <v>1698</v>
          </cell>
          <cell r="E419">
            <v>1663</v>
          </cell>
          <cell r="F419">
            <v>1003</v>
          </cell>
          <cell r="G419">
            <v>582</v>
          </cell>
          <cell r="H419">
            <v>688</v>
          </cell>
        </row>
        <row r="420">
          <cell r="A420">
            <v>44058</v>
          </cell>
          <cell r="B420" t="str">
            <v>北部战区-北京-北京三组</v>
          </cell>
          <cell r="C420">
            <v>1921</v>
          </cell>
          <cell r="D420">
            <v>1874</v>
          </cell>
          <cell r="E420">
            <v>1792</v>
          </cell>
          <cell r="F420">
            <v>1143</v>
          </cell>
          <cell r="G420">
            <v>579</v>
          </cell>
          <cell r="H420">
            <v>690</v>
          </cell>
        </row>
        <row r="421">
          <cell r="A421">
            <v>44059</v>
          </cell>
          <cell r="B421" t="str">
            <v>西部战区-重庆-重庆一组</v>
          </cell>
          <cell r="C421">
            <v>2583</v>
          </cell>
          <cell r="D421">
            <v>2540</v>
          </cell>
          <cell r="E421">
            <v>2470</v>
          </cell>
          <cell r="F421">
            <v>1542</v>
          </cell>
          <cell r="G421">
            <v>855</v>
          </cell>
          <cell r="H421">
            <v>690</v>
          </cell>
        </row>
        <row r="422">
          <cell r="A422">
            <v>44059</v>
          </cell>
          <cell r="B422" t="str">
            <v>西部战区-西安-西安一组</v>
          </cell>
          <cell r="C422">
            <v>3717</v>
          </cell>
          <cell r="D422">
            <v>3652</v>
          </cell>
          <cell r="E422">
            <v>3534</v>
          </cell>
          <cell r="F422">
            <v>2135</v>
          </cell>
          <cell r="G422">
            <v>1196</v>
          </cell>
          <cell r="H422">
            <v>691</v>
          </cell>
        </row>
        <row r="423">
          <cell r="A423">
            <v>44059</v>
          </cell>
          <cell r="B423" t="str">
            <v>西部战区-武汉-武汉一组</v>
          </cell>
          <cell r="C423">
            <v>601</v>
          </cell>
          <cell r="D423">
            <v>592</v>
          </cell>
          <cell r="E423">
            <v>567</v>
          </cell>
          <cell r="F423">
            <v>315</v>
          </cell>
          <cell r="G423">
            <v>176</v>
          </cell>
          <cell r="H423">
            <v>695</v>
          </cell>
        </row>
        <row r="424">
          <cell r="A424">
            <v>44059</v>
          </cell>
          <cell r="B424" t="str">
            <v>西部战区-成都-成都一组</v>
          </cell>
          <cell r="C424">
            <v>2179</v>
          </cell>
          <cell r="D424">
            <v>2129</v>
          </cell>
          <cell r="E424">
            <v>2053</v>
          </cell>
          <cell r="F424">
            <v>1330</v>
          </cell>
          <cell r="G424">
            <v>782</v>
          </cell>
          <cell r="H424">
            <v>692</v>
          </cell>
        </row>
        <row r="425">
          <cell r="A425">
            <v>44059</v>
          </cell>
          <cell r="B425" t="str">
            <v>西部战区-成都-成都二组</v>
          </cell>
          <cell r="C425">
            <v>672</v>
          </cell>
          <cell r="D425">
            <v>662</v>
          </cell>
          <cell r="E425">
            <v>643</v>
          </cell>
          <cell r="F425">
            <v>443</v>
          </cell>
          <cell r="G425">
            <v>209</v>
          </cell>
          <cell r="H425">
            <v>692</v>
          </cell>
        </row>
        <row r="426">
          <cell r="A426">
            <v>44059</v>
          </cell>
          <cell r="B426" t="str">
            <v>南部战区-深圳-深圳一组</v>
          </cell>
          <cell r="C426">
            <v>3823</v>
          </cell>
          <cell r="D426">
            <v>3708</v>
          </cell>
          <cell r="E426">
            <v>3535</v>
          </cell>
          <cell r="F426">
            <v>2103</v>
          </cell>
          <cell r="G426">
            <v>1122</v>
          </cell>
          <cell r="H426">
            <v>689</v>
          </cell>
        </row>
        <row r="427">
          <cell r="A427">
            <v>44059</v>
          </cell>
          <cell r="B427" t="str">
            <v>南部战区-广州-广州一组</v>
          </cell>
          <cell r="C427">
            <v>5803</v>
          </cell>
          <cell r="D427">
            <v>5667</v>
          </cell>
          <cell r="E427">
            <v>5427</v>
          </cell>
          <cell r="F427">
            <v>3391</v>
          </cell>
          <cell r="G427">
            <v>1922</v>
          </cell>
          <cell r="H427">
            <v>688</v>
          </cell>
        </row>
        <row r="428">
          <cell r="A428">
            <v>44059</v>
          </cell>
          <cell r="B428" t="str">
            <v>南部战区-广州-广州三组</v>
          </cell>
          <cell r="C428">
            <v>4421</v>
          </cell>
          <cell r="D428">
            <v>4296</v>
          </cell>
          <cell r="E428">
            <v>4081</v>
          </cell>
          <cell r="F428">
            <v>2441</v>
          </cell>
          <cell r="G428">
            <v>1401</v>
          </cell>
          <cell r="H428">
            <v>689</v>
          </cell>
        </row>
        <row r="429">
          <cell r="A429">
            <v>44059</v>
          </cell>
          <cell r="B429" t="str">
            <v>南部战区-广州-广州二组</v>
          </cell>
          <cell r="C429">
            <v>4484</v>
          </cell>
          <cell r="D429">
            <v>4394</v>
          </cell>
          <cell r="E429">
            <v>4200</v>
          </cell>
          <cell r="F429">
            <v>2583</v>
          </cell>
          <cell r="G429">
            <v>1493</v>
          </cell>
          <cell r="H429">
            <v>691</v>
          </cell>
        </row>
        <row r="430">
          <cell r="A430">
            <v>44059</v>
          </cell>
          <cell r="B430" t="str">
            <v>东部战区-苏州-苏州一组</v>
          </cell>
          <cell r="C430">
            <v>5517</v>
          </cell>
          <cell r="D430">
            <v>5298</v>
          </cell>
          <cell r="E430">
            <v>5031</v>
          </cell>
          <cell r="F430">
            <v>3081</v>
          </cell>
          <cell r="G430">
            <v>1596</v>
          </cell>
          <cell r="H430">
            <v>694</v>
          </cell>
        </row>
        <row r="431">
          <cell r="A431">
            <v>44059</v>
          </cell>
          <cell r="B431" t="str">
            <v>东部战区-苏州-苏州三组</v>
          </cell>
          <cell r="C431">
            <v>412</v>
          </cell>
          <cell r="D431">
            <v>404</v>
          </cell>
          <cell r="E431">
            <v>368</v>
          </cell>
          <cell r="F431">
            <v>224</v>
          </cell>
          <cell r="G431">
            <v>125</v>
          </cell>
          <cell r="H431">
            <v>691</v>
          </cell>
        </row>
        <row r="432">
          <cell r="A432">
            <v>44059</v>
          </cell>
          <cell r="B432" t="str">
            <v>东部战区-苏州-苏州二组</v>
          </cell>
          <cell r="C432">
            <v>6571</v>
          </cell>
          <cell r="D432">
            <v>6309</v>
          </cell>
          <cell r="E432">
            <v>6011</v>
          </cell>
          <cell r="F432">
            <v>3472</v>
          </cell>
          <cell r="G432">
            <v>1907</v>
          </cell>
          <cell r="H432">
            <v>696</v>
          </cell>
        </row>
        <row r="433">
          <cell r="A433">
            <v>44059</v>
          </cell>
          <cell r="B433" t="str">
            <v>东部战区-上海-上海一组</v>
          </cell>
          <cell r="C433">
            <v>4626</v>
          </cell>
          <cell r="D433">
            <v>4473</v>
          </cell>
          <cell r="E433">
            <v>4294</v>
          </cell>
          <cell r="F433">
            <v>2606</v>
          </cell>
          <cell r="G433">
            <v>1506</v>
          </cell>
          <cell r="H433">
            <v>696</v>
          </cell>
        </row>
        <row r="434">
          <cell r="A434">
            <v>44059</v>
          </cell>
          <cell r="B434" t="str">
            <v>东部战区-上海-上海三组</v>
          </cell>
          <cell r="C434">
            <v>2925</v>
          </cell>
          <cell r="D434">
            <v>2858</v>
          </cell>
          <cell r="E434">
            <v>2747</v>
          </cell>
          <cell r="F434">
            <v>1612</v>
          </cell>
          <cell r="G434">
            <v>968</v>
          </cell>
          <cell r="H434">
            <v>696</v>
          </cell>
        </row>
        <row r="435">
          <cell r="A435">
            <v>44059</v>
          </cell>
          <cell r="B435" t="str">
            <v>东部战区-上海-上海二组</v>
          </cell>
          <cell r="C435">
            <v>2578</v>
          </cell>
          <cell r="D435">
            <v>2537</v>
          </cell>
          <cell r="E435">
            <v>2430</v>
          </cell>
          <cell r="F435">
            <v>1471</v>
          </cell>
          <cell r="G435">
            <v>795</v>
          </cell>
          <cell r="H435">
            <v>691</v>
          </cell>
        </row>
        <row r="436">
          <cell r="A436">
            <v>44059</v>
          </cell>
          <cell r="B436" t="str">
            <v>东部战区-南京-南京一组</v>
          </cell>
          <cell r="C436">
            <v>1788</v>
          </cell>
          <cell r="D436">
            <v>1759</v>
          </cell>
          <cell r="E436">
            <v>1705</v>
          </cell>
          <cell r="F436">
            <v>988</v>
          </cell>
          <cell r="G436">
            <v>588</v>
          </cell>
          <cell r="H436">
            <v>696</v>
          </cell>
        </row>
        <row r="437">
          <cell r="A437">
            <v>44059</v>
          </cell>
          <cell r="B437" t="str">
            <v>东部战区-南京-南京四组</v>
          </cell>
          <cell r="C437">
            <v>2105</v>
          </cell>
          <cell r="D437">
            <v>2042</v>
          </cell>
          <cell r="E437">
            <v>1946</v>
          </cell>
          <cell r="F437">
            <v>1120</v>
          </cell>
          <cell r="G437">
            <v>651</v>
          </cell>
          <cell r="H437">
            <v>696</v>
          </cell>
        </row>
        <row r="438">
          <cell r="A438">
            <v>44059</v>
          </cell>
          <cell r="B438" t="str">
            <v>东部战区-南京-南京三组</v>
          </cell>
          <cell r="C438">
            <v>1560</v>
          </cell>
          <cell r="D438">
            <v>1532</v>
          </cell>
          <cell r="E438">
            <v>1473</v>
          </cell>
          <cell r="F438">
            <v>921</v>
          </cell>
          <cell r="G438">
            <v>466</v>
          </cell>
          <cell r="H438">
            <v>698</v>
          </cell>
        </row>
        <row r="439">
          <cell r="A439">
            <v>44059</v>
          </cell>
          <cell r="B439" t="str">
            <v>东部战区-南京-南京二组</v>
          </cell>
          <cell r="C439">
            <v>1853</v>
          </cell>
          <cell r="D439">
            <v>1786</v>
          </cell>
          <cell r="E439">
            <v>1718</v>
          </cell>
          <cell r="F439">
            <v>1055</v>
          </cell>
          <cell r="G439">
            <v>581</v>
          </cell>
          <cell r="H439">
            <v>699</v>
          </cell>
        </row>
        <row r="440">
          <cell r="A440">
            <v>44059</v>
          </cell>
          <cell r="B440" t="str">
            <v>东部战区-合肥-合肥一组</v>
          </cell>
          <cell r="C440">
            <v>4815</v>
          </cell>
          <cell r="D440">
            <v>4691</v>
          </cell>
          <cell r="E440">
            <v>4470</v>
          </cell>
          <cell r="F440">
            <v>2769</v>
          </cell>
          <cell r="G440">
            <v>1393</v>
          </cell>
          <cell r="H440">
            <v>695</v>
          </cell>
        </row>
        <row r="441">
          <cell r="A441">
            <v>44059</v>
          </cell>
          <cell r="B441" t="str">
            <v>东部战区-合肥-合肥二组</v>
          </cell>
          <cell r="C441">
            <v>1255</v>
          </cell>
          <cell r="D441">
            <v>1237</v>
          </cell>
          <cell r="E441">
            <v>1176</v>
          </cell>
          <cell r="F441">
            <v>739</v>
          </cell>
          <cell r="G441">
            <v>383</v>
          </cell>
          <cell r="H441">
            <v>696</v>
          </cell>
        </row>
        <row r="442">
          <cell r="A442">
            <v>44059</v>
          </cell>
          <cell r="B442" t="str">
            <v>东部战区-杭州-杭州一组</v>
          </cell>
          <cell r="C442">
            <v>5771</v>
          </cell>
          <cell r="D442">
            <v>5534</v>
          </cell>
          <cell r="E442">
            <v>5243</v>
          </cell>
          <cell r="F442">
            <v>3227</v>
          </cell>
          <cell r="G442">
            <v>1595</v>
          </cell>
          <cell r="H442">
            <v>701</v>
          </cell>
        </row>
        <row r="443">
          <cell r="A443">
            <v>44059</v>
          </cell>
          <cell r="B443" t="str">
            <v>东部战区-杭州-杭州三组</v>
          </cell>
          <cell r="C443">
            <v>1773</v>
          </cell>
          <cell r="D443">
            <v>1738</v>
          </cell>
          <cell r="E443">
            <v>1690</v>
          </cell>
          <cell r="F443">
            <v>1017</v>
          </cell>
          <cell r="G443">
            <v>614</v>
          </cell>
          <cell r="H443">
            <v>701</v>
          </cell>
        </row>
        <row r="444">
          <cell r="A444">
            <v>44059</v>
          </cell>
          <cell r="B444" t="str">
            <v>东部战区-杭州-杭州二组</v>
          </cell>
          <cell r="C444">
            <v>4655</v>
          </cell>
          <cell r="D444">
            <v>4534</v>
          </cell>
          <cell r="E444">
            <v>4374</v>
          </cell>
          <cell r="F444">
            <v>2461</v>
          </cell>
          <cell r="G444">
            <v>1381</v>
          </cell>
          <cell r="H444">
            <v>694</v>
          </cell>
        </row>
        <row r="445">
          <cell r="A445">
            <v>44059</v>
          </cell>
          <cell r="B445" t="str">
            <v>北部战区-天津-天津一组</v>
          </cell>
          <cell r="C445">
            <v>2015</v>
          </cell>
          <cell r="D445">
            <v>1995</v>
          </cell>
          <cell r="E445">
            <v>1935</v>
          </cell>
          <cell r="F445">
            <v>1068</v>
          </cell>
          <cell r="G445">
            <v>701</v>
          </cell>
          <cell r="H445">
            <v>685</v>
          </cell>
        </row>
        <row r="446">
          <cell r="A446">
            <v>44059</v>
          </cell>
          <cell r="B446" t="str">
            <v>北部战区-北京-北京四组</v>
          </cell>
          <cell r="C446">
            <v>1721</v>
          </cell>
          <cell r="D446">
            <v>1698</v>
          </cell>
          <cell r="E446">
            <v>1663</v>
          </cell>
          <cell r="F446">
            <v>1003</v>
          </cell>
          <cell r="G446">
            <v>582</v>
          </cell>
          <cell r="H446">
            <v>688</v>
          </cell>
        </row>
        <row r="447">
          <cell r="A447">
            <v>44059</v>
          </cell>
          <cell r="B447" t="str">
            <v>北部战区-北京-北京三组</v>
          </cell>
          <cell r="C447">
            <v>1541</v>
          </cell>
          <cell r="D447">
            <v>1505</v>
          </cell>
          <cell r="E447">
            <v>1441</v>
          </cell>
          <cell r="F447">
            <v>925</v>
          </cell>
          <cell r="G447">
            <v>478</v>
          </cell>
          <cell r="H447">
            <v>691</v>
          </cell>
        </row>
        <row r="448">
          <cell r="A448">
            <v>44060</v>
          </cell>
          <cell r="B448" t="str">
            <v>西部战区-重庆-重庆一组</v>
          </cell>
          <cell r="C448">
            <v>1313</v>
          </cell>
          <cell r="D448">
            <v>1289</v>
          </cell>
          <cell r="E448">
            <v>1268</v>
          </cell>
          <cell r="F448">
            <v>819</v>
          </cell>
          <cell r="G448">
            <v>466</v>
          </cell>
          <cell r="H448">
            <v>693</v>
          </cell>
        </row>
        <row r="449">
          <cell r="A449">
            <v>44060</v>
          </cell>
          <cell r="B449" t="str">
            <v>西部战区-西安-西安一组</v>
          </cell>
          <cell r="C449">
            <v>2385</v>
          </cell>
          <cell r="D449">
            <v>2344</v>
          </cell>
          <cell r="E449">
            <v>2264</v>
          </cell>
          <cell r="F449">
            <v>1384</v>
          </cell>
          <cell r="G449">
            <v>738</v>
          </cell>
          <cell r="H449">
            <v>692</v>
          </cell>
        </row>
        <row r="450">
          <cell r="A450">
            <v>44060</v>
          </cell>
          <cell r="B450" t="str">
            <v>西部战区-武汉-武汉一组</v>
          </cell>
          <cell r="C450">
            <v>1227</v>
          </cell>
          <cell r="D450">
            <v>1199</v>
          </cell>
          <cell r="E450">
            <v>1156</v>
          </cell>
          <cell r="F450">
            <v>692</v>
          </cell>
          <cell r="G450">
            <v>400</v>
          </cell>
          <cell r="H450">
            <v>695</v>
          </cell>
        </row>
        <row r="451">
          <cell r="A451">
            <v>44060</v>
          </cell>
          <cell r="B451" t="str">
            <v>西部战区-成都-成都一组</v>
          </cell>
          <cell r="C451">
            <v>2426</v>
          </cell>
          <cell r="D451">
            <v>2372</v>
          </cell>
          <cell r="E451">
            <v>2292</v>
          </cell>
          <cell r="F451">
            <v>1496</v>
          </cell>
          <cell r="G451">
            <v>869</v>
          </cell>
          <cell r="H451">
            <v>691</v>
          </cell>
        </row>
        <row r="452">
          <cell r="A452">
            <v>44060</v>
          </cell>
          <cell r="B452" t="str">
            <v>西部战区-成都-成都二组</v>
          </cell>
          <cell r="C452">
            <v>672</v>
          </cell>
          <cell r="D452">
            <v>662</v>
          </cell>
          <cell r="E452">
            <v>643</v>
          </cell>
          <cell r="F452">
            <v>443</v>
          </cell>
          <cell r="G452">
            <v>209</v>
          </cell>
          <cell r="H452">
            <v>692</v>
          </cell>
        </row>
        <row r="453">
          <cell r="A453">
            <v>44060</v>
          </cell>
          <cell r="B453" t="str">
            <v>南部战区-深圳-深圳一组</v>
          </cell>
          <cell r="C453">
            <v>2574</v>
          </cell>
          <cell r="D453">
            <v>2494</v>
          </cell>
          <cell r="E453">
            <v>2376</v>
          </cell>
          <cell r="F453">
            <v>1460</v>
          </cell>
          <cell r="G453">
            <v>776</v>
          </cell>
          <cell r="H453">
            <v>690</v>
          </cell>
        </row>
        <row r="454">
          <cell r="A454">
            <v>44060</v>
          </cell>
          <cell r="B454" t="str">
            <v>南部战区-广州-广州一组</v>
          </cell>
          <cell r="C454">
            <v>6285</v>
          </cell>
          <cell r="D454">
            <v>6134</v>
          </cell>
          <cell r="E454">
            <v>5871</v>
          </cell>
          <cell r="F454">
            <v>3662</v>
          </cell>
          <cell r="G454">
            <v>2058</v>
          </cell>
          <cell r="H454">
            <v>688</v>
          </cell>
        </row>
        <row r="455">
          <cell r="A455">
            <v>44060</v>
          </cell>
          <cell r="B455" t="str">
            <v>南部战区-广州-广州三组</v>
          </cell>
          <cell r="C455">
            <v>3919</v>
          </cell>
          <cell r="D455">
            <v>3809</v>
          </cell>
          <cell r="E455">
            <v>3607</v>
          </cell>
          <cell r="F455">
            <v>2143</v>
          </cell>
          <cell r="G455">
            <v>1211</v>
          </cell>
          <cell r="H455">
            <v>689</v>
          </cell>
        </row>
        <row r="456">
          <cell r="A456">
            <v>44060</v>
          </cell>
          <cell r="B456" t="str">
            <v>南部战区-广州-广州二组</v>
          </cell>
          <cell r="C456">
            <v>3751</v>
          </cell>
          <cell r="D456">
            <v>3676</v>
          </cell>
          <cell r="E456">
            <v>3519</v>
          </cell>
          <cell r="F456">
            <v>2132</v>
          </cell>
          <cell r="G456">
            <v>1229</v>
          </cell>
          <cell r="H456">
            <v>690</v>
          </cell>
        </row>
        <row r="457">
          <cell r="A457">
            <v>44060</v>
          </cell>
          <cell r="B457" t="str">
            <v>东部战区-苏州-苏州一组</v>
          </cell>
          <cell r="C457">
            <v>5721</v>
          </cell>
          <cell r="D457">
            <v>5509</v>
          </cell>
          <cell r="E457">
            <v>5244</v>
          </cell>
          <cell r="F457">
            <v>3190</v>
          </cell>
          <cell r="G457">
            <v>1645</v>
          </cell>
          <cell r="H457">
            <v>694</v>
          </cell>
        </row>
        <row r="458">
          <cell r="A458">
            <v>44060</v>
          </cell>
          <cell r="B458" t="str">
            <v>东部战区-苏州-苏州三组</v>
          </cell>
          <cell r="C458">
            <v>150</v>
          </cell>
          <cell r="D458">
            <v>148</v>
          </cell>
          <cell r="E458">
            <v>126</v>
          </cell>
          <cell r="F458">
            <v>79</v>
          </cell>
          <cell r="G458">
            <v>31</v>
          </cell>
          <cell r="H458">
            <v>692</v>
          </cell>
        </row>
        <row r="459">
          <cell r="A459">
            <v>44060</v>
          </cell>
          <cell r="B459" t="str">
            <v>东部战区-苏州-苏州二组</v>
          </cell>
          <cell r="C459">
            <v>6152</v>
          </cell>
          <cell r="D459">
            <v>5926</v>
          </cell>
          <cell r="E459">
            <v>5630</v>
          </cell>
          <cell r="F459">
            <v>3247</v>
          </cell>
          <cell r="G459">
            <v>1765</v>
          </cell>
          <cell r="H459">
            <v>696</v>
          </cell>
        </row>
        <row r="460">
          <cell r="A460">
            <v>44060</v>
          </cell>
          <cell r="B460" t="str">
            <v>东部战区-上海-上海一组</v>
          </cell>
          <cell r="C460">
            <v>5414</v>
          </cell>
          <cell r="D460">
            <v>5247</v>
          </cell>
          <cell r="E460">
            <v>5042</v>
          </cell>
          <cell r="F460">
            <v>3050</v>
          </cell>
          <cell r="G460">
            <v>1729</v>
          </cell>
          <cell r="H460">
            <v>695</v>
          </cell>
        </row>
        <row r="461">
          <cell r="A461">
            <v>44060</v>
          </cell>
          <cell r="B461" t="str">
            <v>东部战区-上海-上海三组</v>
          </cell>
          <cell r="C461">
            <v>2925</v>
          </cell>
          <cell r="D461">
            <v>2858</v>
          </cell>
          <cell r="E461">
            <v>2747</v>
          </cell>
          <cell r="F461">
            <v>1612</v>
          </cell>
          <cell r="G461">
            <v>968</v>
          </cell>
          <cell r="H461">
            <v>696</v>
          </cell>
        </row>
        <row r="462">
          <cell r="A462">
            <v>44060</v>
          </cell>
          <cell r="B462" t="str">
            <v>东部战区-上海-上海二组</v>
          </cell>
          <cell r="C462">
            <v>2840</v>
          </cell>
          <cell r="D462">
            <v>2794</v>
          </cell>
          <cell r="E462">
            <v>2677</v>
          </cell>
          <cell r="F462">
            <v>1597</v>
          </cell>
          <cell r="G462">
            <v>862</v>
          </cell>
          <cell r="H462">
            <v>690</v>
          </cell>
        </row>
        <row r="463">
          <cell r="A463">
            <v>44060</v>
          </cell>
          <cell r="B463" t="str">
            <v>东部战区-南京-南京一组</v>
          </cell>
          <cell r="C463">
            <v>3860</v>
          </cell>
          <cell r="D463">
            <v>3777</v>
          </cell>
          <cell r="E463">
            <v>3639</v>
          </cell>
          <cell r="F463">
            <v>2105</v>
          </cell>
          <cell r="G463">
            <v>1172</v>
          </cell>
          <cell r="H463">
            <v>697</v>
          </cell>
        </row>
        <row r="464">
          <cell r="A464">
            <v>44060</v>
          </cell>
          <cell r="B464" t="str">
            <v>东部战区-南京-南京四组</v>
          </cell>
          <cell r="C464">
            <v>2206</v>
          </cell>
          <cell r="D464">
            <v>2134</v>
          </cell>
          <cell r="E464">
            <v>2035</v>
          </cell>
          <cell r="F464">
            <v>1149</v>
          </cell>
          <cell r="G464">
            <v>604</v>
          </cell>
          <cell r="H464">
            <v>695</v>
          </cell>
        </row>
        <row r="465">
          <cell r="A465">
            <v>44060</v>
          </cell>
          <cell r="B465" t="str">
            <v>东部战区-南京-南京三组</v>
          </cell>
          <cell r="C465">
            <v>2869</v>
          </cell>
          <cell r="D465">
            <v>2815</v>
          </cell>
          <cell r="E465">
            <v>2713</v>
          </cell>
          <cell r="F465">
            <v>1648</v>
          </cell>
          <cell r="G465">
            <v>829</v>
          </cell>
          <cell r="H465">
            <v>698</v>
          </cell>
        </row>
        <row r="466">
          <cell r="A466">
            <v>44060</v>
          </cell>
          <cell r="B466" t="str">
            <v>东部战区-南京-南京二组</v>
          </cell>
          <cell r="C466">
            <v>1931</v>
          </cell>
          <cell r="D466">
            <v>1871</v>
          </cell>
          <cell r="E466">
            <v>1781</v>
          </cell>
          <cell r="F466">
            <v>1135</v>
          </cell>
          <cell r="G466">
            <v>529</v>
          </cell>
          <cell r="H466">
            <v>699</v>
          </cell>
        </row>
        <row r="467">
          <cell r="A467">
            <v>44060</v>
          </cell>
          <cell r="B467" t="str">
            <v>东部战区-合肥-合肥一组</v>
          </cell>
          <cell r="C467">
            <v>3902</v>
          </cell>
          <cell r="D467">
            <v>3808</v>
          </cell>
          <cell r="E467">
            <v>3626</v>
          </cell>
          <cell r="F467">
            <v>2209</v>
          </cell>
          <cell r="G467">
            <v>1099</v>
          </cell>
          <cell r="H467">
            <v>693</v>
          </cell>
        </row>
        <row r="468">
          <cell r="A468">
            <v>44060</v>
          </cell>
          <cell r="B468" t="str">
            <v>东部战区-合肥-合肥二组</v>
          </cell>
          <cell r="C468">
            <v>1325</v>
          </cell>
          <cell r="D468">
            <v>1308</v>
          </cell>
          <cell r="E468">
            <v>1243</v>
          </cell>
          <cell r="F468">
            <v>792</v>
          </cell>
          <cell r="G468">
            <v>409</v>
          </cell>
          <cell r="H468">
            <v>697</v>
          </cell>
        </row>
        <row r="469">
          <cell r="A469">
            <v>44060</v>
          </cell>
          <cell r="B469" t="str">
            <v>东部战区-杭州-杭州一组</v>
          </cell>
          <cell r="C469">
            <v>5872</v>
          </cell>
          <cell r="D469">
            <v>5650</v>
          </cell>
          <cell r="E469">
            <v>5349</v>
          </cell>
          <cell r="F469">
            <v>3319</v>
          </cell>
          <cell r="G469">
            <v>1563</v>
          </cell>
          <cell r="H469">
            <v>702</v>
          </cell>
        </row>
        <row r="470">
          <cell r="A470">
            <v>44060</v>
          </cell>
          <cell r="B470" t="str">
            <v>东部战区-杭州-杭州三组</v>
          </cell>
          <cell r="C470">
            <v>1773</v>
          </cell>
          <cell r="D470">
            <v>1738</v>
          </cell>
          <cell r="E470">
            <v>1690</v>
          </cell>
          <cell r="F470">
            <v>1017</v>
          </cell>
          <cell r="G470">
            <v>614</v>
          </cell>
          <cell r="H470">
            <v>701</v>
          </cell>
        </row>
        <row r="471">
          <cell r="A471">
            <v>44060</v>
          </cell>
          <cell r="B471" t="str">
            <v>东部战区-杭州-杭州二组</v>
          </cell>
          <cell r="C471">
            <v>4173</v>
          </cell>
          <cell r="D471">
            <v>4067</v>
          </cell>
          <cell r="E471">
            <v>3937</v>
          </cell>
          <cell r="F471">
            <v>2274</v>
          </cell>
          <cell r="G471">
            <v>1267</v>
          </cell>
          <cell r="H471">
            <v>695</v>
          </cell>
        </row>
        <row r="472">
          <cell r="A472">
            <v>44060</v>
          </cell>
          <cell r="B472" t="str">
            <v>北部战区-天津-天津一组</v>
          </cell>
          <cell r="C472">
            <v>2068</v>
          </cell>
          <cell r="D472">
            <v>2045</v>
          </cell>
          <cell r="E472">
            <v>1984</v>
          </cell>
          <cell r="F472">
            <v>1111</v>
          </cell>
          <cell r="G472">
            <v>736</v>
          </cell>
          <cell r="H472">
            <v>685</v>
          </cell>
        </row>
        <row r="473">
          <cell r="A473">
            <v>44060</v>
          </cell>
          <cell r="B473" t="str">
            <v>北部战区-北京-北京四组</v>
          </cell>
          <cell r="C473">
            <v>1721</v>
          </cell>
          <cell r="D473">
            <v>1698</v>
          </cell>
          <cell r="E473">
            <v>1663</v>
          </cell>
          <cell r="F473">
            <v>1003</v>
          </cell>
          <cell r="G473">
            <v>582</v>
          </cell>
          <cell r="H473">
            <v>688</v>
          </cell>
        </row>
        <row r="474">
          <cell r="A474">
            <v>44060</v>
          </cell>
          <cell r="B474" t="str">
            <v>北部战区-北京-北京三组</v>
          </cell>
          <cell r="C474">
            <v>1931</v>
          </cell>
          <cell r="D474">
            <v>1887</v>
          </cell>
          <cell r="E474">
            <v>1804</v>
          </cell>
          <cell r="F474">
            <v>1146</v>
          </cell>
          <cell r="G474">
            <v>585</v>
          </cell>
          <cell r="H474">
            <v>689</v>
          </cell>
        </row>
        <row r="475">
          <cell r="A475">
            <v>44061</v>
          </cell>
          <cell r="B475" t="str">
            <v>西部战区-重庆-重庆一组</v>
          </cell>
          <cell r="C475">
            <v>1837</v>
          </cell>
          <cell r="D475">
            <v>1813</v>
          </cell>
          <cell r="E475">
            <v>1754</v>
          </cell>
          <cell r="F475">
            <v>1068</v>
          </cell>
          <cell r="G475">
            <v>575</v>
          </cell>
          <cell r="H475">
            <v>688</v>
          </cell>
        </row>
        <row r="476">
          <cell r="A476">
            <v>44061</v>
          </cell>
          <cell r="B476" t="str">
            <v>西部战区-西安-西安一组</v>
          </cell>
          <cell r="C476">
            <v>1332</v>
          </cell>
          <cell r="D476">
            <v>1308</v>
          </cell>
          <cell r="E476">
            <v>1270</v>
          </cell>
          <cell r="F476">
            <v>751</v>
          </cell>
          <cell r="G476">
            <v>458</v>
          </cell>
          <cell r="H476">
            <v>690</v>
          </cell>
        </row>
        <row r="477">
          <cell r="A477">
            <v>44061</v>
          </cell>
          <cell r="B477" t="str">
            <v>西部战区-武汉-武汉一组</v>
          </cell>
          <cell r="C477">
            <v>1380</v>
          </cell>
          <cell r="D477">
            <v>1359</v>
          </cell>
          <cell r="E477">
            <v>1319</v>
          </cell>
          <cell r="F477">
            <v>868</v>
          </cell>
          <cell r="G477">
            <v>507</v>
          </cell>
          <cell r="H477">
            <v>702</v>
          </cell>
        </row>
        <row r="478">
          <cell r="A478">
            <v>44061</v>
          </cell>
          <cell r="B478" t="str">
            <v>西部战区-成都-成都一组</v>
          </cell>
          <cell r="C478">
            <v>1946</v>
          </cell>
          <cell r="D478">
            <v>1900</v>
          </cell>
          <cell r="E478">
            <v>1835</v>
          </cell>
          <cell r="F478">
            <v>1189</v>
          </cell>
          <cell r="G478">
            <v>695</v>
          </cell>
          <cell r="H478">
            <v>693</v>
          </cell>
        </row>
        <row r="479">
          <cell r="A479">
            <v>44061</v>
          </cell>
          <cell r="B479" t="str">
            <v>南部战区-深圳-深圳一组</v>
          </cell>
          <cell r="C479">
            <v>3177</v>
          </cell>
          <cell r="D479">
            <v>3083</v>
          </cell>
          <cell r="E479">
            <v>2932</v>
          </cell>
          <cell r="F479">
            <v>1742</v>
          </cell>
          <cell r="G479">
            <v>890</v>
          </cell>
          <cell r="H479">
            <v>689</v>
          </cell>
        </row>
        <row r="480">
          <cell r="A480">
            <v>44061</v>
          </cell>
          <cell r="B480" t="str">
            <v>南部战区-广州-广州一组</v>
          </cell>
          <cell r="C480">
            <v>4465</v>
          </cell>
          <cell r="D480">
            <v>4350</v>
          </cell>
          <cell r="E480">
            <v>4165</v>
          </cell>
          <cell r="F480">
            <v>2570</v>
          </cell>
          <cell r="G480">
            <v>1475</v>
          </cell>
          <cell r="H480">
            <v>687</v>
          </cell>
        </row>
        <row r="481">
          <cell r="A481">
            <v>44061</v>
          </cell>
          <cell r="B481" t="str">
            <v>南部战区-广州-广州三组</v>
          </cell>
          <cell r="C481">
            <v>3919</v>
          </cell>
          <cell r="D481">
            <v>3809</v>
          </cell>
          <cell r="E481">
            <v>3607</v>
          </cell>
          <cell r="F481">
            <v>2143</v>
          </cell>
          <cell r="G481">
            <v>1211</v>
          </cell>
          <cell r="H481">
            <v>689</v>
          </cell>
        </row>
        <row r="482">
          <cell r="A482">
            <v>44061</v>
          </cell>
          <cell r="B482" t="str">
            <v>南部战区-广州-广州二组</v>
          </cell>
          <cell r="C482">
            <v>3573</v>
          </cell>
          <cell r="D482">
            <v>3501</v>
          </cell>
          <cell r="E482">
            <v>3352</v>
          </cell>
          <cell r="F482">
            <v>2040</v>
          </cell>
          <cell r="G482">
            <v>1238</v>
          </cell>
          <cell r="H482">
            <v>691</v>
          </cell>
        </row>
        <row r="483">
          <cell r="A483">
            <v>44061</v>
          </cell>
          <cell r="B483" t="str">
            <v>东部战区-苏州-苏州一组</v>
          </cell>
          <cell r="C483">
            <v>6538</v>
          </cell>
          <cell r="D483">
            <v>6297</v>
          </cell>
          <cell r="E483">
            <v>5999</v>
          </cell>
          <cell r="F483">
            <v>3653</v>
          </cell>
          <cell r="G483">
            <v>1893</v>
          </cell>
          <cell r="H483">
            <v>695</v>
          </cell>
        </row>
        <row r="484">
          <cell r="A484">
            <v>44061</v>
          </cell>
          <cell r="B484" t="str">
            <v>东部战区-苏州-苏州三组</v>
          </cell>
          <cell r="C484">
            <v>378</v>
          </cell>
          <cell r="D484">
            <v>369</v>
          </cell>
          <cell r="E484">
            <v>352</v>
          </cell>
          <cell r="F484">
            <v>205</v>
          </cell>
          <cell r="G484">
            <v>128</v>
          </cell>
          <cell r="H484">
            <v>690</v>
          </cell>
        </row>
        <row r="485">
          <cell r="A485">
            <v>44061</v>
          </cell>
          <cell r="B485" t="str">
            <v>东部战区-苏州-苏州二组</v>
          </cell>
          <cell r="C485">
            <v>4873</v>
          </cell>
          <cell r="D485">
            <v>4713</v>
          </cell>
          <cell r="E485">
            <v>4488</v>
          </cell>
          <cell r="F485">
            <v>2591</v>
          </cell>
          <cell r="G485">
            <v>1469</v>
          </cell>
          <cell r="H485">
            <v>695</v>
          </cell>
        </row>
        <row r="486">
          <cell r="A486">
            <v>44061</v>
          </cell>
          <cell r="B486" t="str">
            <v>东部战区-上海-上海一组</v>
          </cell>
          <cell r="C486">
            <v>3789</v>
          </cell>
          <cell r="D486">
            <v>3668</v>
          </cell>
          <cell r="E486">
            <v>3542</v>
          </cell>
          <cell r="F486">
            <v>2152</v>
          </cell>
          <cell r="G486">
            <v>1227</v>
          </cell>
          <cell r="H486">
            <v>696</v>
          </cell>
        </row>
        <row r="487">
          <cell r="A487">
            <v>44061</v>
          </cell>
          <cell r="B487" t="str">
            <v>东部战区-上海-上海三组</v>
          </cell>
          <cell r="C487">
            <v>2925</v>
          </cell>
          <cell r="D487">
            <v>2858</v>
          </cell>
          <cell r="E487">
            <v>2747</v>
          </cell>
          <cell r="F487">
            <v>1612</v>
          </cell>
          <cell r="G487">
            <v>968</v>
          </cell>
          <cell r="H487">
            <v>696</v>
          </cell>
        </row>
        <row r="488">
          <cell r="A488">
            <v>44061</v>
          </cell>
          <cell r="B488" t="str">
            <v>东部战区-上海-上海二组</v>
          </cell>
          <cell r="C488">
            <v>1838</v>
          </cell>
          <cell r="D488">
            <v>1812</v>
          </cell>
          <cell r="E488">
            <v>1743</v>
          </cell>
          <cell r="F488">
            <v>1022</v>
          </cell>
          <cell r="G488">
            <v>561</v>
          </cell>
          <cell r="H488">
            <v>693</v>
          </cell>
        </row>
        <row r="489">
          <cell r="A489">
            <v>44061</v>
          </cell>
          <cell r="B489" t="str">
            <v>东部战区-南京-南京一组</v>
          </cell>
          <cell r="C489">
            <v>2639</v>
          </cell>
          <cell r="D489">
            <v>2583</v>
          </cell>
          <cell r="E489">
            <v>2488</v>
          </cell>
          <cell r="F489">
            <v>1436</v>
          </cell>
          <cell r="G489">
            <v>781</v>
          </cell>
          <cell r="H489">
            <v>697</v>
          </cell>
        </row>
        <row r="490">
          <cell r="A490">
            <v>44061</v>
          </cell>
          <cell r="B490" t="str">
            <v>东部战区-南京-南京四组</v>
          </cell>
          <cell r="C490">
            <v>2610</v>
          </cell>
          <cell r="D490">
            <v>2528</v>
          </cell>
          <cell r="E490">
            <v>2411</v>
          </cell>
          <cell r="F490">
            <v>1402</v>
          </cell>
          <cell r="G490">
            <v>776</v>
          </cell>
          <cell r="H490">
            <v>696</v>
          </cell>
        </row>
        <row r="491">
          <cell r="A491">
            <v>44061</v>
          </cell>
          <cell r="B491" t="str">
            <v>东部战区-南京-南京三组</v>
          </cell>
          <cell r="C491">
            <v>2373</v>
          </cell>
          <cell r="D491">
            <v>2334</v>
          </cell>
          <cell r="E491">
            <v>2249</v>
          </cell>
          <cell r="F491">
            <v>1350</v>
          </cell>
          <cell r="G491">
            <v>694</v>
          </cell>
          <cell r="H491">
            <v>697</v>
          </cell>
        </row>
        <row r="492">
          <cell r="A492">
            <v>44061</v>
          </cell>
          <cell r="B492" t="str">
            <v>东部战区-南京-南京二组</v>
          </cell>
          <cell r="C492">
            <v>787</v>
          </cell>
          <cell r="D492">
            <v>768</v>
          </cell>
          <cell r="E492">
            <v>737</v>
          </cell>
          <cell r="F492">
            <v>476</v>
          </cell>
          <cell r="G492">
            <v>270</v>
          </cell>
          <cell r="H492">
            <v>697</v>
          </cell>
        </row>
        <row r="493">
          <cell r="A493">
            <v>44061</v>
          </cell>
          <cell r="B493" t="str">
            <v>东部战区-合肥-合肥一组</v>
          </cell>
          <cell r="C493">
            <v>3619</v>
          </cell>
          <cell r="D493">
            <v>3525</v>
          </cell>
          <cell r="E493">
            <v>3354</v>
          </cell>
          <cell r="F493">
            <v>2055</v>
          </cell>
          <cell r="G493">
            <v>1103</v>
          </cell>
          <cell r="H493">
            <v>695</v>
          </cell>
        </row>
        <row r="494">
          <cell r="A494">
            <v>44061</v>
          </cell>
          <cell r="B494" t="str">
            <v>东部战区-合肥-合肥二组</v>
          </cell>
          <cell r="C494">
            <v>1678</v>
          </cell>
          <cell r="D494">
            <v>1644</v>
          </cell>
          <cell r="E494">
            <v>1557</v>
          </cell>
          <cell r="F494">
            <v>991</v>
          </cell>
          <cell r="G494">
            <v>492</v>
          </cell>
          <cell r="H494">
            <v>697</v>
          </cell>
        </row>
        <row r="495">
          <cell r="A495">
            <v>44061</v>
          </cell>
          <cell r="B495" t="str">
            <v>东部战区-杭州-杭州一组</v>
          </cell>
          <cell r="C495">
            <v>6388</v>
          </cell>
          <cell r="D495">
            <v>6131</v>
          </cell>
          <cell r="E495">
            <v>5807</v>
          </cell>
          <cell r="F495">
            <v>3622</v>
          </cell>
          <cell r="G495">
            <v>1706</v>
          </cell>
          <cell r="H495">
            <v>702</v>
          </cell>
        </row>
        <row r="496">
          <cell r="A496">
            <v>44061</v>
          </cell>
          <cell r="B496" t="str">
            <v>东部战区-杭州-杭州三组</v>
          </cell>
          <cell r="C496">
            <v>761</v>
          </cell>
          <cell r="D496">
            <v>747</v>
          </cell>
          <cell r="E496">
            <v>716</v>
          </cell>
          <cell r="F496">
            <v>378</v>
          </cell>
          <cell r="G496">
            <v>234</v>
          </cell>
          <cell r="H496">
            <v>696</v>
          </cell>
        </row>
        <row r="497">
          <cell r="A497">
            <v>44061</v>
          </cell>
          <cell r="B497" t="str">
            <v>东部战区-杭州-杭州二组</v>
          </cell>
          <cell r="C497">
            <v>4457</v>
          </cell>
          <cell r="D497">
            <v>4346</v>
          </cell>
          <cell r="E497">
            <v>4205</v>
          </cell>
          <cell r="F497">
            <v>2347</v>
          </cell>
          <cell r="G497">
            <v>1331</v>
          </cell>
          <cell r="H497">
            <v>693</v>
          </cell>
        </row>
        <row r="498">
          <cell r="A498">
            <v>44061</v>
          </cell>
          <cell r="B498" t="str">
            <v>北部战区-天津-天津一组</v>
          </cell>
          <cell r="C498">
            <v>2085</v>
          </cell>
          <cell r="D498">
            <v>2062</v>
          </cell>
          <cell r="E498">
            <v>2000</v>
          </cell>
          <cell r="F498">
            <v>1110</v>
          </cell>
          <cell r="G498">
            <v>712</v>
          </cell>
          <cell r="H498">
            <v>686</v>
          </cell>
        </row>
        <row r="499">
          <cell r="A499">
            <v>44061</v>
          </cell>
          <cell r="B499" t="str">
            <v>北部战区-北京-北京四组</v>
          </cell>
          <cell r="C499">
            <v>1721</v>
          </cell>
          <cell r="D499">
            <v>1698</v>
          </cell>
          <cell r="E499">
            <v>1663</v>
          </cell>
          <cell r="F499">
            <v>1003</v>
          </cell>
          <cell r="G499">
            <v>582</v>
          </cell>
          <cell r="H499">
            <v>688</v>
          </cell>
        </row>
        <row r="500">
          <cell r="A500">
            <v>44061</v>
          </cell>
          <cell r="B500" t="str">
            <v>北部战区-北京-北京三组</v>
          </cell>
          <cell r="C500">
            <v>2082</v>
          </cell>
          <cell r="D500">
            <v>2033</v>
          </cell>
          <cell r="E500">
            <v>1942</v>
          </cell>
          <cell r="F500">
            <v>1232</v>
          </cell>
          <cell r="G500">
            <v>623</v>
          </cell>
          <cell r="H500">
            <v>689</v>
          </cell>
        </row>
        <row r="501">
          <cell r="A501">
            <v>44062</v>
          </cell>
          <cell r="B501" t="str">
            <v>西部战区-重庆-重庆一组</v>
          </cell>
          <cell r="C501">
            <v>1763</v>
          </cell>
          <cell r="D501">
            <v>1727</v>
          </cell>
          <cell r="E501">
            <v>1695</v>
          </cell>
          <cell r="F501">
            <v>1051</v>
          </cell>
          <cell r="G501">
            <v>602</v>
          </cell>
          <cell r="H501">
            <v>691</v>
          </cell>
        </row>
        <row r="502">
          <cell r="A502">
            <v>44062</v>
          </cell>
          <cell r="B502" t="str">
            <v>西部战区-西安-西安一组</v>
          </cell>
          <cell r="C502">
            <v>3717</v>
          </cell>
          <cell r="D502">
            <v>3652</v>
          </cell>
          <cell r="E502">
            <v>3534</v>
          </cell>
          <cell r="F502">
            <v>2135</v>
          </cell>
          <cell r="G502">
            <v>1196</v>
          </cell>
          <cell r="H502">
            <v>691</v>
          </cell>
        </row>
        <row r="503">
          <cell r="A503">
            <v>44062</v>
          </cell>
          <cell r="B503" t="str">
            <v>西部战区-武汉-武汉一组</v>
          </cell>
          <cell r="C503">
            <v>2337</v>
          </cell>
          <cell r="D503">
            <v>2294</v>
          </cell>
          <cell r="E503">
            <v>2212</v>
          </cell>
          <cell r="F503">
            <v>1392</v>
          </cell>
          <cell r="G503">
            <v>708</v>
          </cell>
          <cell r="H503">
            <v>700</v>
          </cell>
        </row>
        <row r="504">
          <cell r="A504">
            <v>44062</v>
          </cell>
          <cell r="B504" t="str">
            <v>西部战区-成都-成都一组</v>
          </cell>
          <cell r="C504">
            <v>2990</v>
          </cell>
          <cell r="D504">
            <v>2919</v>
          </cell>
          <cell r="E504">
            <v>2820</v>
          </cell>
          <cell r="F504">
            <v>1821</v>
          </cell>
          <cell r="G504">
            <v>1015</v>
          </cell>
          <cell r="H504">
            <v>691</v>
          </cell>
        </row>
        <row r="505">
          <cell r="A505">
            <v>44062</v>
          </cell>
          <cell r="B505" t="str">
            <v>西部战区-成都-成都二组</v>
          </cell>
          <cell r="C505">
            <v>672</v>
          </cell>
          <cell r="D505">
            <v>662</v>
          </cell>
          <cell r="E505">
            <v>643</v>
          </cell>
          <cell r="F505">
            <v>443</v>
          </cell>
          <cell r="G505">
            <v>209</v>
          </cell>
          <cell r="H505">
            <v>692</v>
          </cell>
        </row>
        <row r="506">
          <cell r="A506">
            <v>44062</v>
          </cell>
          <cell r="B506" t="str">
            <v>南部战区-深圳-深圳一组</v>
          </cell>
          <cell r="C506">
            <v>3823</v>
          </cell>
          <cell r="D506">
            <v>3708</v>
          </cell>
          <cell r="E506">
            <v>3535</v>
          </cell>
          <cell r="F506">
            <v>2103</v>
          </cell>
          <cell r="G506">
            <v>1122</v>
          </cell>
          <cell r="H506">
            <v>689</v>
          </cell>
        </row>
        <row r="507">
          <cell r="A507">
            <v>44062</v>
          </cell>
          <cell r="B507" t="str">
            <v>南部战区-广州-广州一组</v>
          </cell>
          <cell r="C507">
            <v>6978</v>
          </cell>
          <cell r="D507">
            <v>6811</v>
          </cell>
          <cell r="E507">
            <v>6527</v>
          </cell>
          <cell r="F507">
            <v>4059</v>
          </cell>
          <cell r="G507">
            <v>2253</v>
          </cell>
          <cell r="H507">
            <v>688</v>
          </cell>
        </row>
        <row r="508">
          <cell r="A508">
            <v>44062</v>
          </cell>
          <cell r="B508" t="str">
            <v>南部战区-广州-广州三组</v>
          </cell>
          <cell r="C508">
            <v>3919</v>
          </cell>
          <cell r="D508">
            <v>3809</v>
          </cell>
          <cell r="E508">
            <v>3607</v>
          </cell>
          <cell r="F508">
            <v>2143</v>
          </cell>
          <cell r="G508">
            <v>1211</v>
          </cell>
          <cell r="H508">
            <v>689</v>
          </cell>
        </row>
        <row r="509">
          <cell r="A509">
            <v>44062</v>
          </cell>
          <cell r="B509" t="str">
            <v>南部战区-广州-广州二组</v>
          </cell>
          <cell r="C509">
            <v>3815</v>
          </cell>
          <cell r="D509">
            <v>3753</v>
          </cell>
          <cell r="E509">
            <v>3594</v>
          </cell>
          <cell r="F509">
            <v>2217</v>
          </cell>
          <cell r="G509">
            <v>1296</v>
          </cell>
          <cell r="H509">
            <v>690</v>
          </cell>
        </row>
        <row r="510">
          <cell r="A510">
            <v>44062</v>
          </cell>
          <cell r="B510" t="str">
            <v>东部战区-苏州-苏州一组</v>
          </cell>
          <cell r="C510">
            <v>5654</v>
          </cell>
          <cell r="D510">
            <v>5465</v>
          </cell>
          <cell r="E510">
            <v>5231</v>
          </cell>
          <cell r="F510">
            <v>3165</v>
          </cell>
          <cell r="G510">
            <v>1603</v>
          </cell>
          <cell r="H510">
            <v>694</v>
          </cell>
        </row>
        <row r="511">
          <cell r="A511">
            <v>44062</v>
          </cell>
          <cell r="B511" t="str">
            <v>东部战区-苏州-苏州三组</v>
          </cell>
          <cell r="C511">
            <v>351</v>
          </cell>
          <cell r="D511">
            <v>341</v>
          </cell>
          <cell r="E511">
            <v>322</v>
          </cell>
          <cell r="F511">
            <v>174</v>
          </cell>
          <cell r="G511">
            <v>114</v>
          </cell>
          <cell r="H511">
            <v>692</v>
          </cell>
        </row>
        <row r="512">
          <cell r="A512">
            <v>44062</v>
          </cell>
          <cell r="B512" t="str">
            <v>东部战区-苏州-苏州二组</v>
          </cell>
          <cell r="C512">
            <v>6511</v>
          </cell>
          <cell r="D512">
            <v>6254</v>
          </cell>
          <cell r="E512">
            <v>5947</v>
          </cell>
          <cell r="F512">
            <v>3481</v>
          </cell>
          <cell r="G512">
            <v>1894</v>
          </cell>
          <cell r="H512">
            <v>696</v>
          </cell>
        </row>
        <row r="513">
          <cell r="A513">
            <v>44062</v>
          </cell>
          <cell r="B513" t="str">
            <v>东部战区-上海-上海一组</v>
          </cell>
          <cell r="C513">
            <v>4603</v>
          </cell>
          <cell r="D513">
            <v>4438</v>
          </cell>
          <cell r="E513">
            <v>4253</v>
          </cell>
          <cell r="F513">
            <v>2492</v>
          </cell>
          <cell r="G513">
            <v>1397</v>
          </cell>
          <cell r="H513">
            <v>694</v>
          </cell>
        </row>
        <row r="514">
          <cell r="A514">
            <v>44062</v>
          </cell>
          <cell r="B514" t="str">
            <v>东部战区-上海-上海三组</v>
          </cell>
          <cell r="C514">
            <v>2925</v>
          </cell>
          <cell r="D514">
            <v>2858</v>
          </cell>
          <cell r="E514">
            <v>2747</v>
          </cell>
          <cell r="F514">
            <v>1612</v>
          </cell>
          <cell r="G514">
            <v>968</v>
          </cell>
          <cell r="H514">
            <v>696</v>
          </cell>
        </row>
        <row r="515">
          <cell r="A515">
            <v>44062</v>
          </cell>
          <cell r="B515" t="str">
            <v>东部战区-上海-上海二组</v>
          </cell>
          <cell r="C515">
            <v>2150</v>
          </cell>
          <cell r="D515">
            <v>2123</v>
          </cell>
          <cell r="E515">
            <v>2034</v>
          </cell>
          <cell r="F515">
            <v>1192</v>
          </cell>
          <cell r="G515">
            <v>648</v>
          </cell>
          <cell r="H515">
            <v>691</v>
          </cell>
        </row>
        <row r="516">
          <cell r="A516">
            <v>44062</v>
          </cell>
          <cell r="B516" t="str">
            <v>东部战区-南京-南京一组</v>
          </cell>
          <cell r="C516">
            <v>2331</v>
          </cell>
          <cell r="D516">
            <v>2290</v>
          </cell>
          <cell r="E516">
            <v>2228</v>
          </cell>
          <cell r="F516">
            <v>1298</v>
          </cell>
          <cell r="G516">
            <v>756</v>
          </cell>
          <cell r="H516">
            <v>696</v>
          </cell>
        </row>
        <row r="517">
          <cell r="A517">
            <v>44062</v>
          </cell>
          <cell r="B517" t="str">
            <v>东部战区-南京-南京四组</v>
          </cell>
          <cell r="C517">
            <v>1612</v>
          </cell>
          <cell r="D517">
            <v>1554</v>
          </cell>
          <cell r="E517">
            <v>1476</v>
          </cell>
          <cell r="F517">
            <v>889</v>
          </cell>
          <cell r="G517">
            <v>481</v>
          </cell>
          <cell r="H517">
            <v>698</v>
          </cell>
        </row>
        <row r="518">
          <cell r="A518">
            <v>44062</v>
          </cell>
          <cell r="B518" t="str">
            <v>东部战区-南京-南京三组</v>
          </cell>
          <cell r="C518">
            <v>2869</v>
          </cell>
          <cell r="D518">
            <v>2815</v>
          </cell>
          <cell r="E518">
            <v>2713</v>
          </cell>
          <cell r="F518">
            <v>1648</v>
          </cell>
          <cell r="G518">
            <v>829</v>
          </cell>
          <cell r="H518">
            <v>698</v>
          </cell>
        </row>
        <row r="519">
          <cell r="A519">
            <v>44062</v>
          </cell>
          <cell r="B519" t="str">
            <v>东部战区-南京-南京二组</v>
          </cell>
          <cell r="C519">
            <v>2030</v>
          </cell>
          <cell r="D519">
            <v>1968</v>
          </cell>
          <cell r="E519">
            <v>1880</v>
          </cell>
          <cell r="F519">
            <v>1183</v>
          </cell>
          <cell r="G519">
            <v>607</v>
          </cell>
          <cell r="H519">
            <v>698</v>
          </cell>
        </row>
        <row r="520">
          <cell r="A520">
            <v>44062</v>
          </cell>
          <cell r="B520" t="str">
            <v>东部战区-合肥-合肥一组</v>
          </cell>
          <cell r="C520">
            <v>5791</v>
          </cell>
          <cell r="D520">
            <v>5649</v>
          </cell>
          <cell r="E520">
            <v>5377</v>
          </cell>
          <cell r="F520">
            <v>3366</v>
          </cell>
          <cell r="G520">
            <v>1639</v>
          </cell>
          <cell r="H520">
            <v>696</v>
          </cell>
        </row>
        <row r="521">
          <cell r="A521">
            <v>44062</v>
          </cell>
          <cell r="B521" t="str">
            <v>东部战区-合肥-合肥二组</v>
          </cell>
          <cell r="C521">
            <v>1229</v>
          </cell>
          <cell r="D521">
            <v>1205</v>
          </cell>
          <cell r="E521">
            <v>1152</v>
          </cell>
          <cell r="F521">
            <v>725</v>
          </cell>
          <cell r="G521">
            <v>381</v>
          </cell>
          <cell r="H521">
            <v>696</v>
          </cell>
        </row>
        <row r="522">
          <cell r="A522">
            <v>44062</v>
          </cell>
          <cell r="B522" t="str">
            <v>东部战区-杭州-杭州一组</v>
          </cell>
          <cell r="C522">
            <v>6354</v>
          </cell>
          <cell r="D522">
            <v>6093</v>
          </cell>
          <cell r="E522">
            <v>5773</v>
          </cell>
          <cell r="F522">
            <v>3587</v>
          </cell>
          <cell r="G522">
            <v>1713</v>
          </cell>
          <cell r="H522">
            <v>701</v>
          </cell>
        </row>
        <row r="523">
          <cell r="A523">
            <v>44062</v>
          </cell>
          <cell r="B523" t="str">
            <v>东部战区-杭州-杭州三组</v>
          </cell>
          <cell r="C523">
            <v>1773</v>
          </cell>
          <cell r="D523">
            <v>1738</v>
          </cell>
          <cell r="E523">
            <v>1690</v>
          </cell>
          <cell r="F523">
            <v>1017</v>
          </cell>
          <cell r="G523">
            <v>614</v>
          </cell>
          <cell r="H523">
            <v>701</v>
          </cell>
        </row>
        <row r="524">
          <cell r="A524">
            <v>44062</v>
          </cell>
          <cell r="B524" t="str">
            <v>东部战区-杭州-杭州二组</v>
          </cell>
          <cell r="C524">
            <v>5052</v>
          </cell>
          <cell r="D524">
            <v>4918</v>
          </cell>
          <cell r="E524">
            <v>4742</v>
          </cell>
          <cell r="F524">
            <v>2695</v>
          </cell>
          <cell r="G524">
            <v>1471</v>
          </cell>
          <cell r="H524">
            <v>693</v>
          </cell>
        </row>
        <row r="525">
          <cell r="A525">
            <v>44062</v>
          </cell>
          <cell r="B525" t="str">
            <v>北部战区-天津-天津一组</v>
          </cell>
          <cell r="C525">
            <v>2141</v>
          </cell>
          <cell r="D525">
            <v>2118</v>
          </cell>
          <cell r="E525">
            <v>2054</v>
          </cell>
          <cell r="F525">
            <v>1149</v>
          </cell>
          <cell r="G525">
            <v>755</v>
          </cell>
          <cell r="H525">
            <v>686</v>
          </cell>
        </row>
        <row r="526">
          <cell r="A526">
            <v>44062</v>
          </cell>
          <cell r="B526" t="str">
            <v>北部战区-北京-北京一组</v>
          </cell>
          <cell r="C526">
            <v>95</v>
          </cell>
          <cell r="D526">
            <v>91</v>
          </cell>
          <cell r="E526">
            <v>85</v>
          </cell>
          <cell r="F526">
            <v>45</v>
          </cell>
          <cell r="G526">
            <v>25</v>
          </cell>
          <cell r="H526">
            <v>686</v>
          </cell>
        </row>
        <row r="527">
          <cell r="A527">
            <v>44062</v>
          </cell>
          <cell r="B527" t="str">
            <v>北部战区-北京-北京四组</v>
          </cell>
          <cell r="C527">
            <v>1721</v>
          </cell>
          <cell r="D527">
            <v>1698</v>
          </cell>
          <cell r="E527">
            <v>1663</v>
          </cell>
          <cell r="F527">
            <v>1003</v>
          </cell>
          <cell r="G527">
            <v>582</v>
          </cell>
          <cell r="H527">
            <v>688</v>
          </cell>
        </row>
        <row r="528">
          <cell r="A528">
            <v>44062</v>
          </cell>
          <cell r="B528" t="str">
            <v>北部战区-北京-北京三组</v>
          </cell>
          <cell r="C528">
            <v>2082</v>
          </cell>
          <cell r="D528">
            <v>2033</v>
          </cell>
          <cell r="E528">
            <v>1942</v>
          </cell>
          <cell r="F528">
            <v>1232</v>
          </cell>
          <cell r="G528">
            <v>623</v>
          </cell>
          <cell r="H528">
            <v>689</v>
          </cell>
        </row>
        <row r="529">
          <cell r="A529">
            <v>44063</v>
          </cell>
          <cell r="B529" t="str">
            <v>西部战区-重庆-重庆一组</v>
          </cell>
          <cell r="C529">
            <v>1837</v>
          </cell>
          <cell r="D529">
            <v>1813</v>
          </cell>
          <cell r="E529">
            <v>1754</v>
          </cell>
          <cell r="F529">
            <v>1068</v>
          </cell>
          <cell r="G529">
            <v>575</v>
          </cell>
          <cell r="H529">
            <v>688</v>
          </cell>
        </row>
        <row r="530">
          <cell r="A530">
            <v>44063</v>
          </cell>
          <cell r="B530" t="str">
            <v>西部战区-西安-西安一组</v>
          </cell>
          <cell r="C530">
            <v>3016</v>
          </cell>
          <cell r="D530">
            <v>2962</v>
          </cell>
          <cell r="E530">
            <v>2862</v>
          </cell>
          <cell r="F530">
            <v>1722</v>
          </cell>
          <cell r="G530">
            <v>974</v>
          </cell>
          <cell r="H530">
            <v>692</v>
          </cell>
        </row>
        <row r="531">
          <cell r="A531">
            <v>44063</v>
          </cell>
          <cell r="B531" t="str">
            <v>西部战区-武汉-武汉一组</v>
          </cell>
          <cell r="C531">
            <v>3532</v>
          </cell>
          <cell r="D531">
            <v>3457</v>
          </cell>
          <cell r="E531">
            <v>3327</v>
          </cell>
          <cell r="F531">
            <v>2068</v>
          </cell>
          <cell r="G531">
            <v>1108</v>
          </cell>
          <cell r="H531">
            <v>699</v>
          </cell>
        </row>
        <row r="532">
          <cell r="A532">
            <v>44063</v>
          </cell>
          <cell r="B532" t="str">
            <v>西部战区-成都-成都一组</v>
          </cell>
          <cell r="C532">
            <v>1946</v>
          </cell>
          <cell r="D532">
            <v>1900</v>
          </cell>
          <cell r="E532">
            <v>1835</v>
          </cell>
          <cell r="F532">
            <v>1189</v>
          </cell>
          <cell r="G532">
            <v>695</v>
          </cell>
          <cell r="H532">
            <v>693</v>
          </cell>
        </row>
        <row r="533">
          <cell r="A533">
            <v>44063</v>
          </cell>
          <cell r="B533" t="str">
            <v>西部战区-成都-成都二组</v>
          </cell>
          <cell r="C533">
            <v>672</v>
          </cell>
          <cell r="D533">
            <v>662</v>
          </cell>
          <cell r="E533">
            <v>643</v>
          </cell>
          <cell r="F533">
            <v>443</v>
          </cell>
          <cell r="G533">
            <v>209</v>
          </cell>
          <cell r="H533">
            <v>692</v>
          </cell>
        </row>
        <row r="534">
          <cell r="A534">
            <v>44063</v>
          </cell>
          <cell r="B534" t="str">
            <v>南部战区-深圳-深圳一组</v>
          </cell>
          <cell r="C534">
            <v>3823</v>
          </cell>
          <cell r="D534">
            <v>3708</v>
          </cell>
          <cell r="E534">
            <v>3535</v>
          </cell>
          <cell r="F534">
            <v>2103</v>
          </cell>
          <cell r="G534">
            <v>1122</v>
          </cell>
          <cell r="H534">
            <v>689</v>
          </cell>
        </row>
        <row r="535">
          <cell r="A535">
            <v>44063</v>
          </cell>
          <cell r="B535" t="str">
            <v>南部战区-广州-广州一组</v>
          </cell>
          <cell r="C535">
            <v>7695</v>
          </cell>
          <cell r="D535">
            <v>7512</v>
          </cell>
          <cell r="E535">
            <v>7209</v>
          </cell>
          <cell r="F535">
            <v>4452</v>
          </cell>
          <cell r="G535">
            <v>2457</v>
          </cell>
          <cell r="H535">
            <v>688</v>
          </cell>
        </row>
        <row r="536">
          <cell r="A536">
            <v>44063</v>
          </cell>
          <cell r="B536" t="str">
            <v>南部战区-广州-广州三组</v>
          </cell>
          <cell r="C536">
            <v>4052</v>
          </cell>
          <cell r="D536">
            <v>3942</v>
          </cell>
          <cell r="E536">
            <v>3738</v>
          </cell>
          <cell r="F536">
            <v>2219</v>
          </cell>
          <cell r="G536">
            <v>1254</v>
          </cell>
          <cell r="H536">
            <v>689</v>
          </cell>
        </row>
        <row r="537">
          <cell r="A537">
            <v>44063</v>
          </cell>
          <cell r="B537" t="str">
            <v>南部战区-广州-广州二组</v>
          </cell>
          <cell r="C537">
            <v>3815</v>
          </cell>
          <cell r="D537">
            <v>3753</v>
          </cell>
          <cell r="E537">
            <v>3594</v>
          </cell>
          <cell r="F537">
            <v>2217</v>
          </cell>
          <cell r="G537">
            <v>1296</v>
          </cell>
          <cell r="H537">
            <v>690</v>
          </cell>
        </row>
        <row r="538">
          <cell r="A538">
            <v>44063</v>
          </cell>
          <cell r="B538" t="str">
            <v>东部战区-苏州-苏州一组</v>
          </cell>
          <cell r="C538">
            <v>4990</v>
          </cell>
          <cell r="D538">
            <v>4806</v>
          </cell>
          <cell r="E538">
            <v>4567</v>
          </cell>
          <cell r="F538">
            <v>2772</v>
          </cell>
          <cell r="G538">
            <v>1421</v>
          </cell>
          <cell r="H538">
            <v>694</v>
          </cell>
        </row>
        <row r="539">
          <cell r="A539">
            <v>44063</v>
          </cell>
          <cell r="B539" t="str">
            <v>东部战区-苏州-苏州三组</v>
          </cell>
          <cell r="C539">
            <v>295</v>
          </cell>
          <cell r="D539">
            <v>289</v>
          </cell>
          <cell r="E539">
            <v>282</v>
          </cell>
          <cell r="F539">
            <v>164</v>
          </cell>
          <cell r="G539">
            <v>110</v>
          </cell>
          <cell r="H539">
            <v>692</v>
          </cell>
        </row>
        <row r="540">
          <cell r="A540">
            <v>44063</v>
          </cell>
          <cell r="B540" t="str">
            <v>东部战区-苏州-苏州二组</v>
          </cell>
          <cell r="C540">
            <v>5677</v>
          </cell>
          <cell r="D540">
            <v>5465</v>
          </cell>
          <cell r="E540">
            <v>5180</v>
          </cell>
          <cell r="F540">
            <v>3032</v>
          </cell>
          <cell r="G540">
            <v>1642</v>
          </cell>
          <cell r="H540">
            <v>696</v>
          </cell>
        </row>
        <row r="541">
          <cell r="A541">
            <v>44063</v>
          </cell>
          <cell r="B541" t="str">
            <v>东部战区-上海-上海一组</v>
          </cell>
          <cell r="C541">
            <v>5142</v>
          </cell>
          <cell r="D541">
            <v>4962</v>
          </cell>
          <cell r="E541">
            <v>4756</v>
          </cell>
          <cell r="F541">
            <v>2860</v>
          </cell>
          <cell r="G541">
            <v>1612</v>
          </cell>
          <cell r="H541">
            <v>695</v>
          </cell>
        </row>
        <row r="542">
          <cell r="A542">
            <v>44063</v>
          </cell>
          <cell r="B542" t="str">
            <v>东部战区-上海-上海三组</v>
          </cell>
          <cell r="C542">
            <v>2925</v>
          </cell>
          <cell r="D542">
            <v>2858</v>
          </cell>
          <cell r="E542">
            <v>2747</v>
          </cell>
          <cell r="F542">
            <v>1612</v>
          </cell>
          <cell r="G542">
            <v>968</v>
          </cell>
          <cell r="H542">
            <v>696</v>
          </cell>
        </row>
        <row r="543">
          <cell r="A543">
            <v>44063</v>
          </cell>
          <cell r="B543" t="str">
            <v>东部战区-上海-上海二组</v>
          </cell>
          <cell r="C543">
            <v>2867</v>
          </cell>
          <cell r="D543">
            <v>2817</v>
          </cell>
          <cell r="E543">
            <v>2695</v>
          </cell>
          <cell r="F543">
            <v>1635</v>
          </cell>
          <cell r="G543">
            <v>878</v>
          </cell>
          <cell r="H543">
            <v>691</v>
          </cell>
        </row>
        <row r="544">
          <cell r="A544">
            <v>44063</v>
          </cell>
          <cell r="B544" t="str">
            <v>东部战区-南京-南京一组</v>
          </cell>
          <cell r="C544">
            <v>3264</v>
          </cell>
          <cell r="D544">
            <v>3202</v>
          </cell>
          <cell r="E544">
            <v>3091</v>
          </cell>
          <cell r="F544">
            <v>1804</v>
          </cell>
          <cell r="G544">
            <v>1010</v>
          </cell>
          <cell r="H544">
            <v>697</v>
          </cell>
        </row>
        <row r="545">
          <cell r="A545">
            <v>44063</v>
          </cell>
          <cell r="B545" t="str">
            <v>东部战区-南京-南京四组</v>
          </cell>
          <cell r="C545">
            <v>2610</v>
          </cell>
          <cell r="D545">
            <v>2528</v>
          </cell>
          <cell r="E545">
            <v>2411</v>
          </cell>
          <cell r="F545">
            <v>1402</v>
          </cell>
          <cell r="G545">
            <v>776</v>
          </cell>
          <cell r="H545">
            <v>696</v>
          </cell>
        </row>
        <row r="546">
          <cell r="A546">
            <v>44063</v>
          </cell>
          <cell r="B546" t="str">
            <v>东部战区-南京-南京三组</v>
          </cell>
          <cell r="C546">
            <v>2133</v>
          </cell>
          <cell r="D546">
            <v>2087</v>
          </cell>
          <cell r="E546">
            <v>2010</v>
          </cell>
          <cell r="F546">
            <v>1217</v>
          </cell>
          <cell r="G546">
            <v>581</v>
          </cell>
          <cell r="H546">
            <v>697</v>
          </cell>
        </row>
        <row r="547">
          <cell r="A547">
            <v>44063</v>
          </cell>
          <cell r="B547" t="str">
            <v>东部战区-南京-南京二组</v>
          </cell>
          <cell r="C547">
            <v>2550</v>
          </cell>
          <cell r="D547">
            <v>2470</v>
          </cell>
          <cell r="E547">
            <v>2366</v>
          </cell>
          <cell r="F547">
            <v>1476</v>
          </cell>
          <cell r="G547">
            <v>784</v>
          </cell>
          <cell r="H547">
            <v>698</v>
          </cell>
        </row>
        <row r="548">
          <cell r="A548">
            <v>44063</v>
          </cell>
          <cell r="B548" t="str">
            <v>东部战区-合肥-合肥一组</v>
          </cell>
          <cell r="C548">
            <v>4936</v>
          </cell>
          <cell r="D548">
            <v>4817</v>
          </cell>
          <cell r="E548">
            <v>4583</v>
          </cell>
          <cell r="F548">
            <v>2850</v>
          </cell>
          <cell r="G548">
            <v>1419</v>
          </cell>
          <cell r="H548">
            <v>696</v>
          </cell>
        </row>
        <row r="549">
          <cell r="A549">
            <v>44063</v>
          </cell>
          <cell r="B549" t="str">
            <v>东部战区-合肥-合肥二组</v>
          </cell>
          <cell r="C549">
            <v>866</v>
          </cell>
          <cell r="D549">
            <v>853</v>
          </cell>
          <cell r="E549">
            <v>800</v>
          </cell>
          <cell r="F549">
            <v>515</v>
          </cell>
          <cell r="G549">
            <v>245</v>
          </cell>
          <cell r="H549">
            <v>697</v>
          </cell>
        </row>
        <row r="550">
          <cell r="A550">
            <v>44063</v>
          </cell>
          <cell r="B550" t="str">
            <v>东部战区-杭州-杭州一组</v>
          </cell>
          <cell r="C550">
            <v>6858</v>
          </cell>
          <cell r="D550">
            <v>6592</v>
          </cell>
          <cell r="E550">
            <v>6249</v>
          </cell>
          <cell r="F550">
            <v>3853</v>
          </cell>
          <cell r="G550">
            <v>1820</v>
          </cell>
          <cell r="H550">
            <v>702</v>
          </cell>
        </row>
        <row r="551">
          <cell r="A551">
            <v>44063</v>
          </cell>
          <cell r="B551" t="str">
            <v>东部战区-杭州-杭州三组</v>
          </cell>
          <cell r="C551">
            <v>1773</v>
          </cell>
          <cell r="D551">
            <v>1738</v>
          </cell>
          <cell r="E551">
            <v>1690</v>
          </cell>
          <cell r="F551">
            <v>1017</v>
          </cell>
          <cell r="G551">
            <v>614</v>
          </cell>
          <cell r="H551">
            <v>701</v>
          </cell>
        </row>
        <row r="552">
          <cell r="A552">
            <v>44063</v>
          </cell>
          <cell r="B552" t="str">
            <v>东部战区-杭州-杭州二组</v>
          </cell>
          <cell r="C552">
            <v>5620</v>
          </cell>
          <cell r="D552">
            <v>5478</v>
          </cell>
          <cell r="E552">
            <v>5290</v>
          </cell>
          <cell r="F552">
            <v>3010</v>
          </cell>
          <cell r="G552">
            <v>1681</v>
          </cell>
          <cell r="H552">
            <v>694</v>
          </cell>
        </row>
        <row r="553">
          <cell r="A553">
            <v>44063</v>
          </cell>
          <cell r="B553" t="str">
            <v>北部战区-天津-天津一组</v>
          </cell>
          <cell r="C553">
            <v>1951</v>
          </cell>
          <cell r="D553">
            <v>1930</v>
          </cell>
          <cell r="E553">
            <v>1873</v>
          </cell>
          <cell r="F553">
            <v>1053</v>
          </cell>
          <cell r="G553">
            <v>690</v>
          </cell>
          <cell r="H553">
            <v>686</v>
          </cell>
        </row>
        <row r="554">
          <cell r="A554">
            <v>44063</v>
          </cell>
          <cell r="B554" t="str">
            <v>北部战区-北京-北京四组</v>
          </cell>
          <cell r="C554">
            <v>1721</v>
          </cell>
          <cell r="D554">
            <v>1698</v>
          </cell>
          <cell r="E554">
            <v>1663</v>
          </cell>
          <cell r="F554">
            <v>1003</v>
          </cell>
          <cell r="G554">
            <v>582</v>
          </cell>
          <cell r="H554">
            <v>688</v>
          </cell>
        </row>
        <row r="555">
          <cell r="A555">
            <v>44063</v>
          </cell>
          <cell r="B555" t="str">
            <v>北部战区-北京-北京三组</v>
          </cell>
          <cell r="C555">
            <v>1971</v>
          </cell>
          <cell r="D555">
            <v>1924</v>
          </cell>
          <cell r="E555">
            <v>1839</v>
          </cell>
          <cell r="F555">
            <v>1170</v>
          </cell>
          <cell r="G555">
            <v>594</v>
          </cell>
          <cell r="H555">
            <v>689</v>
          </cell>
        </row>
        <row r="556">
          <cell r="A556">
            <v>44064</v>
          </cell>
          <cell r="B556" t="str">
            <v>西部战区-重庆-重庆一组</v>
          </cell>
          <cell r="C556">
            <v>2133</v>
          </cell>
          <cell r="D556">
            <v>2102</v>
          </cell>
          <cell r="E556">
            <v>2043</v>
          </cell>
          <cell r="F556">
            <v>1310</v>
          </cell>
          <cell r="G556">
            <v>719</v>
          </cell>
          <cell r="H556">
            <v>691</v>
          </cell>
        </row>
        <row r="557">
          <cell r="A557">
            <v>44064</v>
          </cell>
          <cell r="B557" t="str">
            <v>西部战区-西安-西安一组</v>
          </cell>
          <cell r="C557">
            <v>3717</v>
          </cell>
          <cell r="D557">
            <v>3652</v>
          </cell>
          <cell r="E557">
            <v>3534</v>
          </cell>
          <cell r="F557">
            <v>2135</v>
          </cell>
          <cell r="G557">
            <v>1196</v>
          </cell>
          <cell r="H557">
            <v>691</v>
          </cell>
        </row>
        <row r="558">
          <cell r="A558">
            <v>44064</v>
          </cell>
          <cell r="B558" t="str">
            <v>西部战区-武汉-武汉一组</v>
          </cell>
          <cell r="C558">
            <v>2680</v>
          </cell>
          <cell r="D558">
            <v>2635</v>
          </cell>
          <cell r="E558">
            <v>2546</v>
          </cell>
          <cell r="F558">
            <v>1572</v>
          </cell>
          <cell r="G558">
            <v>891</v>
          </cell>
          <cell r="H558">
            <v>699</v>
          </cell>
        </row>
        <row r="559">
          <cell r="A559">
            <v>44064</v>
          </cell>
          <cell r="B559" t="str">
            <v>西部战区-成都-成都一组</v>
          </cell>
          <cell r="C559">
            <v>2510</v>
          </cell>
          <cell r="D559">
            <v>2447</v>
          </cell>
          <cell r="E559">
            <v>2363</v>
          </cell>
          <cell r="F559">
            <v>1514</v>
          </cell>
          <cell r="G559">
            <v>841</v>
          </cell>
          <cell r="H559">
            <v>692</v>
          </cell>
        </row>
        <row r="560">
          <cell r="A560">
            <v>44064</v>
          </cell>
          <cell r="B560" t="str">
            <v>西部战区-成都-成都二组</v>
          </cell>
          <cell r="C560">
            <v>672</v>
          </cell>
          <cell r="D560">
            <v>662</v>
          </cell>
          <cell r="E560">
            <v>643</v>
          </cell>
          <cell r="F560">
            <v>443</v>
          </cell>
          <cell r="G560">
            <v>209</v>
          </cell>
          <cell r="H560">
            <v>692</v>
          </cell>
        </row>
        <row r="561">
          <cell r="A561">
            <v>44064</v>
          </cell>
          <cell r="B561" t="str">
            <v>南部战区-深圳-深圳一组</v>
          </cell>
          <cell r="C561">
            <v>3823</v>
          </cell>
          <cell r="D561">
            <v>3708</v>
          </cell>
          <cell r="E561">
            <v>3535</v>
          </cell>
          <cell r="F561">
            <v>2103</v>
          </cell>
          <cell r="G561">
            <v>1122</v>
          </cell>
          <cell r="H561">
            <v>689</v>
          </cell>
        </row>
        <row r="562">
          <cell r="A562">
            <v>44064</v>
          </cell>
          <cell r="B562" t="str">
            <v>南部战区-广州-广州一组</v>
          </cell>
          <cell r="C562">
            <v>7503</v>
          </cell>
          <cell r="D562">
            <v>7322</v>
          </cell>
          <cell r="E562">
            <v>7026</v>
          </cell>
          <cell r="F562">
            <v>4356</v>
          </cell>
          <cell r="G562">
            <v>2396</v>
          </cell>
          <cell r="H562">
            <v>688</v>
          </cell>
        </row>
        <row r="563">
          <cell r="A563">
            <v>44064</v>
          </cell>
          <cell r="B563" t="str">
            <v>南部战区-广州-广州三组</v>
          </cell>
          <cell r="C563">
            <v>3263</v>
          </cell>
          <cell r="D563">
            <v>3171</v>
          </cell>
          <cell r="E563">
            <v>3006</v>
          </cell>
          <cell r="F563">
            <v>1816</v>
          </cell>
          <cell r="G563">
            <v>1028</v>
          </cell>
          <cell r="H563">
            <v>690</v>
          </cell>
        </row>
        <row r="564">
          <cell r="A564">
            <v>44064</v>
          </cell>
          <cell r="B564" t="str">
            <v>南部战区-广州-广州二组</v>
          </cell>
          <cell r="C564">
            <v>4484</v>
          </cell>
          <cell r="D564">
            <v>4394</v>
          </cell>
          <cell r="E564">
            <v>4200</v>
          </cell>
          <cell r="F564">
            <v>2583</v>
          </cell>
          <cell r="G564">
            <v>1493</v>
          </cell>
          <cell r="H564">
            <v>691</v>
          </cell>
        </row>
        <row r="565">
          <cell r="A565">
            <v>44064</v>
          </cell>
          <cell r="B565" t="str">
            <v>东部战区-苏州-苏州一组</v>
          </cell>
          <cell r="C565">
            <v>7187</v>
          </cell>
          <cell r="D565">
            <v>6928</v>
          </cell>
          <cell r="E565">
            <v>6595</v>
          </cell>
          <cell r="F565">
            <v>3995</v>
          </cell>
          <cell r="G565">
            <v>2060</v>
          </cell>
          <cell r="H565">
            <v>695</v>
          </cell>
        </row>
        <row r="566">
          <cell r="A566">
            <v>44064</v>
          </cell>
          <cell r="B566" t="str">
            <v>东部战区-苏州-苏州三组</v>
          </cell>
          <cell r="C566">
            <v>188</v>
          </cell>
          <cell r="D566">
            <v>184</v>
          </cell>
          <cell r="E566">
            <v>163</v>
          </cell>
          <cell r="F566">
            <v>77</v>
          </cell>
          <cell r="G566">
            <v>42</v>
          </cell>
          <cell r="H566">
            <v>692</v>
          </cell>
        </row>
        <row r="567">
          <cell r="A567">
            <v>44064</v>
          </cell>
          <cell r="B567" t="str">
            <v>东部战区-苏州-苏州二组</v>
          </cell>
          <cell r="C567">
            <v>4903</v>
          </cell>
          <cell r="D567">
            <v>4725</v>
          </cell>
          <cell r="E567">
            <v>4504</v>
          </cell>
          <cell r="F567">
            <v>2588</v>
          </cell>
          <cell r="G567">
            <v>1480</v>
          </cell>
          <cell r="H567">
            <v>695</v>
          </cell>
        </row>
        <row r="568">
          <cell r="A568">
            <v>44064</v>
          </cell>
          <cell r="B568" t="str">
            <v>东部战区-上海-上海一组</v>
          </cell>
          <cell r="C568">
            <v>5414</v>
          </cell>
          <cell r="D568">
            <v>5247</v>
          </cell>
          <cell r="E568">
            <v>5042</v>
          </cell>
          <cell r="F568">
            <v>3050</v>
          </cell>
          <cell r="G568">
            <v>1729</v>
          </cell>
          <cell r="H568">
            <v>695</v>
          </cell>
        </row>
        <row r="569">
          <cell r="A569">
            <v>44064</v>
          </cell>
          <cell r="B569" t="str">
            <v>东部战区-上海-上海三组</v>
          </cell>
          <cell r="C569">
            <v>3281</v>
          </cell>
          <cell r="D569">
            <v>3198</v>
          </cell>
          <cell r="E569">
            <v>3076</v>
          </cell>
          <cell r="F569">
            <v>1800</v>
          </cell>
          <cell r="G569">
            <v>1083</v>
          </cell>
          <cell r="H569">
            <v>696</v>
          </cell>
        </row>
        <row r="570">
          <cell r="A570">
            <v>44064</v>
          </cell>
          <cell r="B570" t="str">
            <v>东部战区-上海-上海二组</v>
          </cell>
          <cell r="C570">
            <v>2890</v>
          </cell>
          <cell r="D570">
            <v>2844</v>
          </cell>
          <cell r="E570">
            <v>2721</v>
          </cell>
          <cell r="F570">
            <v>1622</v>
          </cell>
          <cell r="G570">
            <v>873</v>
          </cell>
          <cell r="H570">
            <v>690</v>
          </cell>
        </row>
        <row r="571">
          <cell r="A571">
            <v>44064</v>
          </cell>
          <cell r="B571" t="str">
            <v>东部战区-南京-南京一组</v>
          </cell>
          <cell r="C571">
            <v>3667</v>
          </cell>
          <cell r="D571">
            <v>3586</v>
          </cell>
          <cell r="E571">
            <v>3458</v>
          </cell>
          <cell r="F571">
            <v>2010</v>
          </cell>
          <cell r="G571">
            <v>1112</v>
          </cell>
          <cell r="H571">
            <v>697</v>
          </cell>
        </row>
        <row r="572">
          <cell r="A572">
            <v>44064</v>
          </cell>
          <cell r="B572" t="str">
            <v>东部战区-南京-南京四组</v>
          </cell>
          <cell r="C572">
            <v>1907</v>
          </cell>
          <cell r="D572">
            <v>1854</v>
          </cell>
          <cell r="E572">
            <v>1776</v>
          </cell>
          <cell r="F572">
            <v>1048</v>
          </cell>
          <cell r="G572">
            <v>592</v>
          </cell>
          <cell r="H572">
            <v>696</v>
          </cell>
        </row>
        <row r="573">
          <cell r="A573">
            <v>44064</v>
          </cell>
          <cell r="B573" t="str">
            <v>东部战区-南京-南京三组</v>
          </cell>
          <cell r="C573">
            <v>2869</v>
          </cell>
          <cell r="D573">
            <v>2815</v>
          </cell>
          <cell r="E573">
            <v>2713</v>
          </cell>
          <cell r="F573">
            <v>1648</v>
          </cell>
          <cell r="G573">
            <v>829</v>
          </cell>
          <cell r="H573">
            <v>698</v>
          </cell>
        </row>
        <row r="574">
          <cell r="A574">
            <v>44064</v>
          </cell>
          <cell r="B574" t="str">
            <v>东部战区-南京-南京二组</v>
          </cell>
          <cell r="C574">
            <v>2415</v>
          </cell>
          <cell r="D574">
            <v>2320</v>
          </cell>
          <cell r="E574">
            <v>2220</v>
          </cell>
          <cell r="F574">
            <v>1381</v>
          </cell>
          <cell r="G574">
            <v>711</v>
          </cell>
          <cell r="H574">
            <v>699</v>
          </cell>
        </row>
        <row r="575">
          <cell r="A575">
            <v>44064</v>
          </cell>
          <cell r="B575" t="str">
            <v>东部战区-合肥-合肥一组</v>
          </cell>
          <cell r="C575">
            <v>5792</v>
          </cell>
          <cell r="D575">
            <v>5650</v>
          </cell>
          <cell r="E575">
            <v>5386</v>
          </cell>
          <cell r="F575">
            <v>3392</v>
          </cell>
          <cell r="G575">
            <v>1647</v>
          </cell>
          <cell r="H575">
            <v>697</v>
          </cell>
        </row>
        <row r="576">
          <cell r="A576">
            <v>44064</v>
          </cell>
          <cell r="B576" t="str">
            <v>东部战区-合肥-合肥二组</v>
          </cell>
          <cell r="C576">
            <v>922</v>
          </cell>
          <cell r="D576">
            <v>907</v>
          </cell>
          <cell r="E576">
            <v>847</v>
          </cell>
          <cell r="F576">
            <v>540</v>
          </cell>
          <cell r="G576">
            <v>255</v>
          </cell>
          <cell r="H576">
            <v>697</v>
          </cell>
        </row>
        <row r="577">
          <cell r="A577">
            <v>44064</v>
          </cell>
          <cell r="B577" t="str">
            <v>东部战区-杭州-杭州一组</v>
          </cell>
          <cell r="C577">
            <v>4907</v>
          </cell>
          <cell r="D577">
            <v>4727</v>
          </cell>
          <cell r="E577">
            <v>4491</v>
          </cell>
          <cell r="F577">
            <v>2756</v>
          </cell>
          <cell r="G577">
            <v>1298</v>
          </cell>
          <cell r="H577">
            <v>701</v>
          </cell>
        </row>
        <row r="578">
          <cell r="A578">
            <v>44064</v>
          </cell>
          <cell r="B578" t="str">
            <v>东部战区-杭州-杭州三组</v>
          </cell>
          <cell r="C578">
            <v>1773</v>
          </cell>
          <cell r="D578">
            <v>1738</v>
          </cell>
          <cell r="E578">
            <v>1690</v>
          </cell>
          <cell r="F578">
            <v>1017</v>
          </cell>
          <cell r="G578">
            <v>614</v>
          </cell>
          <cell r="H578">
            <v>701</v>
          </cell>
        </row>
        <row r="579">
          <cell r="A579">
            <v>44064</v>
          </cell>
          <cell r="B579" t="str">
            <v>东部战区-杭州-杭州二组</v>
          </cell>
          <cell r="C579">
            <v>4855</v>
          </cell>
          <cell r="D579">
            <v>4730</v>
          </cell>
          <cell r="E579">
            <v>4572</v>
          </cell>
          <cell r="F579">
            <v>2574</v>
          </cell>
          <cell r="G579">
            <v>1447</v>
          </cell>
          <cell r="H579">
            <v>694</v>
          </cell>
        </row>
        <row r="580">
          <cell r="A580">
            <v>44064</v>
          </cell>
          <cell r="B580" t="str">
            <v>北部战区-天津-天津一组</v>
          </cell>
          <cell r="C580">
            <v>1859</v>
          </cell>
          <cell r="D580">
            <v>1838</v>
          </cell>
          <cell r="E580">
            <v>1777</v>
          </cell>
          <cell r="F580">
            <v>1003</v>
          </cell>
          <cell r="G580">
            <v>632</v>
          </cell>
          <cell r="H580">
            <v>686</v>
          </cell>
        </row>
        <row r="581">
          <cell r="A581">
            <v>44064</v>
          </cell>
          <cell r="B581" t="str">
            <v>北部战区-北京-北京四组</v>
          </cell>
          <cell r="C581">
            <v>1721</v>
          </cell>
          <cell r="D581">
            <v>1698</v>
          </cell>
          <cell r="E581">
            <v>1663</v>
          </cell>
          <cell r="F581">
            <v>1003</v>
          </cell>
          <cell r="G581">
            <v>582</v>
          </cell>
          <cell r="H581">
            <v>688</v>
          </cell>
        </row>
        <row r="582">
          <cell r="A582">
            <v>44064</v>
          </cell>
          <cell r="B582" t="str">
            <v>北部战区-北京-北京三组</v>
          </cell>
          <cell r="C582">
            <v>2664</v>
          </cell>
          <cell r="D582">
            <v>2615</v>
          </cell>
          <cell r="E582">
            <v>2503</v>
          </cell>
          <cell r="F582">
            <v>1543</v>
          </cell>
          <cell r="G582">
            <v>780</v>
          </cell>
          <cell r="H582">
            <v>690</v>
          </cell>
        </row>
        <row r="583">
          <cell r="A583">
            <v>44065</v>
          </cell>
          <cell r="B583" t="str">
            <v>西部战区-重庆-重庆一组</v>
          </cell>
          <cell r="C583">
            <v>2583</v>
          </cell>
          <cell r="D583">
            <v>2540</v>
          </cell>
          <cell r="E583">
            <v>2470</v>
          </cell>
          <cell r="F583">
            <v>1542</v>
          </cell>
          <cell r="G583">
            <v>855</v>
          </cell>
          <cell r="H583">
            <v>690</v>
          </cell>
        </row>
        <row r="584">
          <cell r="A584">
            <v>44065</v>
          </cell>
          <cell r="B584" t="str">
            <v>西部战区-西安-西安一组</v>
          </cell>
          <cell r="C584">
            <v>2311</v>
          </cell>
          <cell r="D584">
            <v>2270</v>
          </cell>
          <cell r="E584">
            <v>2211</v>
          </cell>
          <cell r="F584">
            <v>1329</v>
          </cell>
          <cell r="G584">
            <v>788</v>
          </cell>
          <cell r="H584">
            <v>692</v>
          </cell>
        </row>
        <row r="585">
          <cell r="A585">
            <v>44065</v>
          </cell>
          <cell r="B585" t="str">
            <v>西部战区-武汉-武汉一组</v>
          </cell>
          <cell r="C585">
            <v>3896</v>
          </cell>
          <cell r="D585">
            <v>3798</v>
          </cell>
          <cell r="E585">
            <v>3648</v>
          </cell>
          <cell r="F585">
            <v>2289</v>
          </cell>
          <cell r="G585">
            <v>1183</v>
          </cell>
          <cell r="H585">
            <v>699</v>
          </cell>
        </row>
        <row r="586">
          <cell r="A586">
            <v>44065</v>
          </cell>
          <cell r="B586" t="str">
            <v>西部战区-成都-成都一组</v>
          </cell>
          <cell r="C586">
            <v>2202</v>
          </cell>
          <cell r="D586">
            <v>2144</v>
          </cell>
          <cell r="E586">
            <v>2062</v>
          </cell>
          <cell r="F586">
            <v>1333</v>
          </cell>
          <cell r="G586">
            <v>727</v>
          </cell>
          <cell r="H586">
            <v>691</v>
          </cell>
        </row>
        <row r="587">
          <cell r="A587">
            <v>44065</v>
          </cell>
          <cell r="B587" t="str">
            <v>西部战区-成都-成都二组</v>
          </cell>
          <cell r="C587">
            <v>672</v>
          </cell>
          <cell r="D587">
            <v>662</v>
          </cell>
          <cell r="E587">
            <v>643</v>
          </cell>
          <cell r="F587">
            <v>443</v>
          </cell>
          <cell r="G587">
            <v>209</v>
          </cell>
          <cell r="H587">
            <v>692</v>
          </cell>
        </row>
        <row r="588">
          <cell r="A588">
            <v>44065</v>
          </cell>
          <cell r="B588" t="str">
            <v>南部战区-深圳-深圳一组</v>
          </cell>
          <cell r="C588">
            <v>2598</v>
          </cell>
          <cell r="D588">
            <v>2529</v>
          </cell>
          <cell r="E588">
            <v>2420</v>
          </cell>
          <cell r="F588">
            <v>1406</v>
          </cell>
          <cell r="G588">
            <v>800</v>
          </cell>
          <cell r="H588">
            <v>688</v>
          </cell>
        </row>
        <row r="589">
          <cell r="A589">
            <v>44065</v>
          </cell>
          <cell r="B589" t="str">
            <v>南部战区-广州-广州一组</v>
          </cell>
          <cell r="C589">
            <v>7766</v>
          </cell>
          <cell r="D589">
            <v>7581</v>
          </cell>
          <cell r="E589">
            <v>7277</v>
          </cell>
          <cell r="F589">
            <v>4488</v>
          </cell>
          <cell r="G589">
            <v>2479</v>
          </cell>
          <cell r="H589">
            <v>688</v>
          </cell>
        </row>
        <row r="590">
          <cell r="A590">
            <v>44065</v>
          </cell>
          <cell r="B590" t="str">
            <v>南部战区-广州-广州三组</v>
          </cell>
          <cell r="C590">
            <v>4097</v>
          </cell>
          <cell r="D590">
            <v>3980</v>
          </cell>
          <cell r="E590">
            <v>3782</v>
          </cell>
          <cell r="F590">
            <v>2266</v>
          </cell>
          <cell r="G590">
            <v>1304</v>
          </cell>
          <cell r="H590">
            <v>689</v>
          </cell>
        </row>
        <row r="591">
          <cell r="A591">
            <v>44065</v>
          </cell>
          <cell r="B591" t="str">
            <v>南部战区-广州-广州二组</v>
          </cell>
          <cell r="C591">
            <v>4769</v>
          </cell>
          <cell r="D591">
            <v>4672</v>
          </cell>
          <cell r="E591">
            <v>4468</v>
          </cell>
          <cell r="F591">
            <v>2745</v>
          </cell>
          <cell r="G591">
            <v>1595</v>
          </cell>
          <cell r="H591">
            <v>691</v>
          </cell>
        </row>
        <row r="592">
          <cell r="A592">
            <v>44065</v>
          </cell>
          <cell r="B592" t="str">
            <v>东部战区-苏州-苏州一组</v>
          </cell>
          <cell r="C592">
            <v>6033</v>
          </cell>
          <cell r="D592">
            <v>5812</v>
          </cell>
          <cell r="E592">
            <v>5537</v>
          </cell>
          <cell r="F592">
            <v>3379</v>
          </cell>
          <cell r="G592">
            <v>1748</v>
          </cell>
          <cell r="H592">
            <v>694</v>
          </cell>
        </row>
        <row r="593">
          <cell r="A593">
            <v>44065</v>
          </cell>
          <cell r="B593" t="str">
            <v>东部战区-苏州-苏州三组</v>
          </cell>
          <cell r="C593">
            <v>179</v>
          </cell>
          <cell r="D593">
            <v>176</v>
          </cell>
          <cell r="E593">
            <v>172</v>
          </cell>
          <cell r="F593">
            <v>104</v>
          </cell>
          <cell r="G593">
            <v>76</v>
          </cell>
          <cell r="H593">
            <v>694</v>
          </cell>
        </row>
        <row r="594">
          <cell r="A594">
            <v>44065</v>
          </cell>
          <cell r="B594" t="str">
            <v>东部战区-苏州-苏州二组</v>
          </cell>
          <cell r="C594">
            <v>6079</v>
          </cell>
          <cell r="D594">
            <v>5836</v>
          </cell>
          <cell r="E594">
            <v>5560</v>
          </cell>
          <cell r="F594">
            <v>3247</v>
          </cell>
          <cell r="G594">
            <v>1767</v>
          </cell>
          <cell r="H594">
            <v>696</v>
          </cell>
        </row>
        <row r="595">
          <cell r="A595">
            <v>44065</v>
          </cell>
          <cell r="B595" t="str">
            <v>东部战区-上海-上海一组</v>
          </cell>
          <cell r="C595">
            <v>5142</v>
          </cell>
          <cell r="D595">
            <v>4962</v>
          </cell>
          <cell r="E595">
            <v>4756</v>
          </cell>
          <cell r="F595">
            <v>2860</v>
          </cell>
          <cell r="G595">
            <v>1612</v>
          </cell>
          <cell r="H595">
            <v>695</v>
          </cell>
        </row>
        <row r="596">
          <cell r="A596">
            <v>44065</v>
          </cell>
          <cell r="B596" t="str">
            <v>东部战区-上海-上海三组</v>
          </cell>
          <cell r="C596">
            <v>3281</v>
          </cell>
          <cell r="D596">
            <v>3198</v>
          </cell>
          <cell r="E596">
            <v>3076</v>
          </cell>
          <cell r="F596">
            <v>1800</v>
          </cell>
          <cell r="G596">
            <v>1083</v>
          </cell>
          <cell r="H596">
            <v>696</v>
          </cell>
        </row>
        <row r="597">
          <cell r="A597">
            <v>44065</v>
          </cell>
          <cell r="B597" t="str">
            <v>东部战区-上海-上海二组</v>
          </cell>
          <cell r="C597">
            <v>1983</v>
          </cell>
          <cell r="D597">
            <v>1948</v>
          </cell>
          <cell r="E597">
            <v>1872</v>
          </cell>
          <cell r="F597">
            <v>1134</v>
          </cell>
          <cell r="G597">
            <v>599</v>
          </cell>
          <cell r="H597">
            <v>689</v>
          </cell>
        </row>
        <row r="598">
          <cell r="A598">
            <v>44065</v>
          </cell>
          <cell r="B598" t="str">
            <v>东部战区-南京-南京一组</v>
          </cell>
          <cell r="C598">
            <v>3071</v>
          </cell>
          <cell r="D598">
            <v>3008</v>
          </cell>
          <cell r="E598">
            <v>2915</v>
          </cell>
          <cell r="F598">
            <v>1674</v>
          </cell>
          <cell r="G598">
            <v>966</v>
          </cell>
          <cell r="H598">
            <v>696</v>
          </cell>
        </row>
        <row r="599">
          <cell r="A599">
            <v>44065</v>
          </cell>
          <cell r="B599" t="str">
            <v>东部战区-南京-南京四组</v>
          </cell>
          <cell r="C599">
            <v>2105</v>
          </cell>
          <cell r="D599">
            <v>2042</v>
          </cell>
          <cell r="E599">
            <v>1946</v>
          </cell>
          <cell r="F599">
            <v>1120</v>
          </cell>
          <cell r="G599">
            <v>651</v>
          </cell>
          <cell r="H599">
            <v>696</v>
          </cell>
        </row>
        <row r="600">
          <cell r="A600">
            <v>44065</v>
          </cell>
          <cell r="B600" t="str">
            <v>东部战区-南京-南京三组</v>
          </cell>
          <cell r="C600">
            <v>2869</v>
          </cell>
          <cell r="D600">
            <v>2815</v>
          </cell>
          <cell r="E600">
            <v>2713</v>
          </cell>
          <cell r="F600">
            <v>1648</v>
          </cell>
          <cell r="G600">
            <v>829</v>
          </cell>
          <cell r="H600">
            <v>698</v>
          </cell>
        </row>
        <row r="601">
          <cell r="A601">
            <v>44065</v>
          </cell>
          <cell r="B601" t="str">
            <v>东部战区-南京-南京二组</v>
          </cell>
          <cell r="C601">
            <v>2451</v>
          </cell>
          <cell r="D601">
            <v>2373</v>
          </cell>
          <cell r="E601">
            <v>2267</v>
          </cell>
          <cell r="F601">
            <v>1428</v>
          </cell>
          <cell r="G601">
            <v>706</v>
          </cell>
          <cell r="H601">
            <v>699</v>
          </cell>
        </row>
        <row r="602">
          <cell r="A602">
            <v>44065</v>
          </cell>
          <cell r="B602" t="str">
            <v>东部战区-合肥-合肥一组</v>
          </cell>
          <cell r="C602">
            <v>6233</v>
          </cell>
          <cell r="D602">
            <v>6075</v>
          </cell>
          <cell r="E602">
            <v>5786</v>
          </cell>
          <cell r="F602">
            <v>3616</v>
          </cell>
          <cell r="G602">
            <v>1752</v>
          </cell>
          <cell r="H602">
            <v>696</v>
          </cell>
        </row>
        <row r="603">
          <cell r="A603">
            <v>44065</v>
          </cell>
          <cell r="B603" t="str">
            <v>东部战区-合肥-合肥二组</v>
          </cell>
          <cell r="C603">
            <v>1209</v>
          </cell>
          <cell r="D603">
            <v>1193</v>
          </cell>
          <cell r="E603">
            <v>1135</v>
          </cell>
          <cell r="F603">
            <v>724</v>
          </cell>
          <cell r="G603">
            <v>372</v>
          </cell>
          <cell r="H603">
            <v>697</v>
          </cell>
        </row>
        <row r="604">
          <cell r="A604">
            <v>44065</v>
          </cell>
          <cell r="B604" t="str">
            <v>东部战区-杭州-杭州一组</v>
          </cell>
          <cell r="C604">
            <v>6742</v>
          </cell>
          <cell r="D604">
            <v>6482</v>
          </cell>
          <cell r="E604">
            <v>6142</v>
          </cell>
          <cell r="F604">
            <v>3799</v>
          </cell>
          <cell r="G604">
            <v>1789</v>
          </cell>
          <cell r="H604">
            <v>702</v>
          </cell>
        </row>
        <row r="605">
          <cell r="A605">
            <v>44065</v>
          </cell>
          <cell r="B605" t="str">
            <v>东部战区-杭州-杭州三组</v>
          </cell>
          <cell r="C605">
            <v>1773</v>
          </cell>
          <cell r="D605">
            <v>1738</v>
          </cell>
          <cell r="E605">
            <v>1690</v>
          </cell>
          <cell r="F605">
            <v>1017</v>
          </cell>
          <cell r="G605">
            <v>614</v>
          </cell>
          <cell r="H605">
            <v>701</v>
          </cell>
        </row>
        <row r="606">
          <cell r="A606">
            <v>44065</v>
          </cell>
          <cell r="B606" t="str">
            <v>东部战区-杭州-杭州二组</v>
          </cell>
          <cell r="C606">
            <v>4490</v>
          </cell>
          <cell r="D606">
            <v>4371</v>
          </cell>
          <cell r="E606">
            <v>4218</v>
          </cell>
          <cell r="F606">
            <v>2378</v>
          </cell>
          <cell r="G606">
            <v>1333</v>
          </cell>
          <cell r="H606">
            <v>694</v>
          </cell>
        </row>
        <row r="607">
          <cell r="A607">
            <v>44065</v>
          </cell>
          <cell r="B607" t="str">
            <v>北部战区-天津-天津一组</v>
          </cell>
          <cell r="C607">
            <v>1533</v>
          </cell>
          <cell r="D607">
            <v>1519</v>
          </cell>
          <cell r="E607">
            <v>1471</v>
          </cell>
          <cell r="F607">
            <v>833</v>
          </cell>
          <cell r="G607">
            <v>526</v>
          </cell>
          <cell r="H607">
            <v>686</v>
          </cell>
        </row>
        <row r="608">
          <cell r="A608">
            <v>44065</v>
          </cell>
          <cell r="B608" t="str">
            <v>北部战区-北京-北京一组</v>
          </cell>
          <cell r="C608">
            <v>95</v>
          </cell>
          <cell r="D608">
            <v>91</v>
          </cell>
          <cell r="E608">
            <v>85</v>
          </cell>
          <cell r="F608">
            <v>45</v>
          </cell>
          <cell r="G608">
            <v>25</v>
          </cell>
          <cell r="H608">
            <v>686</v>
          </cell>
        </row>
        <row r="609">
          <cell r="A609">
            <v>44065</v>
          </cell>
          <cell r="B609" t="str">
            <v>北部战区-北京-北京四组</v>
          </cell>
          <cell r="C609">
            <v>2088</v>
          </cell>
          <cell r="D609">
            <v>2054</v>
          </cell>
          <cell r="E609">
            <v>2003</v>
          </cell>
          <cell r="F609">
            <v>1214</v>
          </cell>
          <cell r="G609">
            <v>676</v>
          </cell>
          <cell r="H609">
            <v>688</v>
          </cell>
        </row>
        <row r="610">
          <cell r="A610">
            <v>44065</v>
          </cell>
          <cell r="B610" t="str">
            <v>北部战区-北京-北京三组</v>
          </cell>
          <cell r="C610">
            <v>2349</v>
          </cell>
          <cell r="D610">
            <v>2296</v>
          </cell>
          <cell r="E610">
            <v>2197</v>
          </cell>
          <cell r="F610">
            <v>1391</v>
          </cell>
          <cell r="G610">
            <v>705</v>
          </cell>
          <cell r="H610">
            <v>689</v>
          </cell>
        </row>
        <row r="611">
          <cell r="A611">
            <v>44066</v>
          </cell>
          <cell r="B611" t="str">
            <v>西部战区-重庆-重庆一组</v>
          </cell>
          <cell r="C611">
            <v>2583</v>
          </cell>
          <cell r="D611">
            <v>2540</v>
          </cell>
          <cell r="E611">
            <v>2470</v>
          </cell>
          <cell r="F611">
            <v>1542</v>
          </cell>
          <cell r="G611">
            <v>855</v>
          </cell>
          <cell r="H611">
            <v>690</v>
          </cell>
        </row>
        <row r="612">
          <cell r="A612">
            <v>44066</v>
          </cell>
          <cell r="B612" t="str">
            <v>西部战区-西安-西安一组</v>
          </cell>
          <cell r="C612">
            <v>3717</v>
          </cell>
          <cell r="D612">
            <v>3652</v>
          </cell>
          <cell r="E612">
            <v>3534</v>
          </cell>
          <cell r="F612">
            <v>2135</v>
          </cell>
          <cell r="G612">
            <v>1196</v>
          </cell>
          <cell r="H612">
            <v>691</v>
          </cell>
        </row>
        <row r="613">
          <cell r="A613">
            <v>44066</v>
          </cell>
          <cell r="B613" t="str">
            <v>西部战区-武汉-武汉一组</v>
          </cell>
          <cell r="C613">
            <v>4579</v>
          </cell>
          <cell r="D613">
            <v>4466</v>
          </cell>
          <cell r="E613">
            <v>4280</v>
          </cell>
          <cell r="F613">
            <v>2711</v>
          </cell>
          <cell r="G613">
            <v>1372</v>
          </cell>
          <cell r="H613">
            <v>700</v>
          </cell>
        </row>
        <row r="614">
          <cell r="A614">
            <v>44066</v>
          </cell>
          <cell r="B614" t="str">
            <v>西部战区-成都-成都一组</v>
          </cell>
          <cell r="C614">
            <v>2510</v>
          </cell>
          <cell r="D614">
            <v>2447</v>
          </cell>
          <cell r="E614">
            <v>2363</v>
          </cell>
          <cell r="F614">
            <v>1514</v>
          </cell>
          <cell r="G614">
            <v>841</v>
          </cell>
          <cell r="H614">
            <v>692</v>
          </cell>
        </row>
        <row r="615">
          <cell r="A615">
            <v>44066</v>
          </cell>
          <cell r="B615" t="str">
            <v>西部战区-成都-成都二组</v>
          </cell>
          <cell r="C615">
            <v>672</v>
          </cell>
          <cell r="D615">
            <v>662</v>
          </cell>
          <cell r="E615">
            <v>643</v>
          </cell>
          <cell r="F615">
            <v>443</v>
          </cell>
          <cell r="G615">
            <v>209</v>
          </cell>
          <cell r="H615">
            <v>692</v>
          </cell>
        </row>
        <row r="616">
          <cell r="A616">
            <v>44066</v>
          </cell>
          <cell r="B616" t="str">
            <v>南部战区-深圳-深圳一组</v>
          </cell>
          <cell r="C616">
            <v>3823</v>
          </cell>
          <cell r="D616">
            <v>3708</v>
          </cell>
          <cell r="E616">
            <v>3535</v>
          </cell>
          <cell r="F616">
            <v>2103</v>
          </cell>
          <cell r="G616">
            <v>1122</v>
          </cell>
          <cell r="H616">
            <v>689</v>
          </cell>
        </row>
        <row r="617">
          <cell r="A617">
            <v>44066</v>
          </cell>
          <cell r="B617" t="str">
            <v>南部战区-广州-广州一组</v>
          </cell>
          <cell r="C617">
            <v>7695</v>
          </cell>
          <cell r="D617">
            <v>7512</v>
          </cell>
          <cell r="E617">
            <v>7209</v>
          </cell>
          <cell r="F617">
            <v>4452</v>
          </cell>
          <cell r="G617">
            <v>2457</v>
          </cell>
          <cell r="H617">
            <v>688</v>
          </cell>
        </row>
        <row r="618">
          <cell r="A618">
            <v>44066</v>
          </cell>
          <cell r="B618" t="str">
            <v>南部战区-广州-广州三组</v>
          </cell>
          <cell r="C618">
            <v>3139</v>
          </cell>
          <cell r="D618">
            <v>3051</v>
          </cell>
          <cell r="E618">
            <v>2892</v>
          </cell>
          <cell r="F618">
            <v>1724</v>
          </cell>
          <cell r="G618">
            <v>989</v>
          </cell>
          <cell r="H618">
            <v>688</v>
          </cell>
        </row>
        <row r="619">
          <cell r="A619">
            <v>44066</v>
          </cell>
          <cell r="B619" t="str">
            <v>南部战区-广州-广州二组</v>
          </cell>
          <cell r="C619">
            <v>3815</v>
          </cell>
          <cell r="D619">
            <v>3753</v>
          </cell>
          <cell r="E619">
            <v>3594</v>
          </cell>
          <cell r="F619">
            <v>2217</v>
          </cell>
          <cell r="G619">
            <v>1296</v>
          </cell>
          <cell r="H619">
            <v>690</v>
          </cell>
        </row>
        <row r="620">
          <cell r="A620">
            <v>44066</v>
          </cell>
          <cell r="B620" t="str">
            <v>东部战区-苏州-苏州一组</v>
          </cell>
          <cell r="C620">
            <v>7072</v>
          </cell>
          <cell r="D620">
            <v>6817</v>
          </cell>
          <cell r="E620">
            <v>6487</v>
          </cell>
          <cell r="F620">
            <v>3925</v>
          </cell>
          <cell r="G620">
            <v>2026</v>
          </cell>
          <cell r="H620">
            <v>695</v>
          </cell>
        </row>
        <row r="621">
          <cell r="A621">
            <v>44066</v>
          </cell>
          <cell r="B621" t="str">
            <v>东部战区-苏州-苏州三组</v>
          </cell>
          <cell r="C621">
            <v>477</v>
          </cell>
          <cell r="D621">
            <v>468</v>
          </cell>
          <cell r="E621">
            <v>435</v>
          </cell>
          <cell r="F621">
            <v>253</v>
          </cell>
          <cell r="G621">
            <v>150</v>
          </cell>
          <cell r="H621">
            <v>690</v>
          </cell>
        </row>
        <row r="622">
          <cell r="A622">
            <v>44066</v>
          </cell>
          <cell r="B622" t="str">
            <v>东部战区-苏州-苏州二组</v>
          </cell>
          <cell r="C622">
            <v>7462</v>
          </cell>
          <cell r="D622">
            <v>7163</v>
          </cell>
          <cell r="E622">
            <v>6808</v>
          </cell>
          <cell r="F622">
            <v>3955</v>
          </cell>
          <cell r="G622">
            <v>2157</v>
          </cell>
          <cell r="H622">
            <v>696</v>
          </cell>
        </row>
        <row r="623">
          <cell r="A623">
            <v>44066</v>
          </cell>
          <cell r="B623" t="str">
            <v>东部战区-上海-上海一组</v>
          </cell>
          <cell r="C623">
            <v>5519</v>
          </cell>
          <cell r="D623">
            <v>5338</v>
          </cell>
          <cell r="E623">
            <v>5129</v>
          </cell>
          <cell r="F623">
            <v>3038</v>
          </cell>
          <cell r="G623">
            <v>1751</v>
          </cell>
          <cell r="H623">
            <v>694</v>
          </cell>
        </row>
        <row r="624">
          <cell r="A624">
            <v>44066</v>
          </cell>
          <cell r="B624" t="str">
            <v>东部战区-上海-上海三组</v>
          </cell>
          <cell r="C624">
            <v>3281</v>
          </cell>
          <cell r="D624">
            <v>3198</v>
          </cell>
          <cell r="E624">
            <v>3076</v>
          </cell>
          <cell r="F624">
            <v>1800</v>
          </cell>
          <cell r="G624">
            <v>1083</v>
          </cell>
          <cell r="H624">
            <v>696</v>
          </cell>
        </row>
        <row r="625">
          <cell r="A625">
            <v>44066</v>
          </cell>
          <cell r="B625" t="str">
            <v>东部战区-上海-上海二组</v>
          </cell>
          <cell r="C625">
            <v>2513</v>
          </cell>
          <cell r="D625">
            <v>2475</v>
          </cell>
          <cell r="E625">
            <v>2375</v>
          </cell>
          <cell r="F625">
            <v>1440</v>
          </cell>
          <cell r="G625">
            <v>776</v>
          </cell>
          <cell r="H625">
            <v>691</v>
          </cell>
        </row>
        <row r="626">
          <cell r="A626">
            <v>44066</v>
          </cell>
          <cell r="B626" t="str">
            <v>东部战区-南京-南京一组</v>
          </cell>
          <cell r="C626">
            <v>3609</v>
          </cell>
          <cell r="D626">
            <v>3532</v>
          </cell>
          <cell r="E626">
            <v>3404</v>
          </cell>
          <cell r="F626">
            <v>1968</v>
          </cell>
          <cell r="G626">
            <v>1086</v>
          </cell>
          <cell r="H626">
            <v>697</v>
          </cell>
        </row>
        <row r="627">
          <cell r="A627">
            <v>44066</v>
          </cell>
          <cell r="B627" t="str">
            <v>东部战区-南京-南京四组</v>
          </cell>
          <cell r="C627">
            <v>1503</v>
          </cell>
          <cell r="D627">
            <v>1460</v>
          </cell>
          <cell r="E627">
            <v>1400</v>
          </cell>
          <cell r="F627">
            <v>795</v>
          </cell>
          <cell r="G627">
            <v>420</v>
          </cell>
          <cell r="H627">
            <v>695</v>
          </cell>
        </row>
        <row r="628">
          <cell r="A628">
            <v>44066</v>
          </cell>
          <cell r="B628" t="str">
            <v>东部战区-南京-南京三组</v>
          </cell>
          <cell r="C628">
            <v>2157</v>
          </cell>
          <cell r="D628">
            <v>2115</v>
          </cell>
          <cell r="E628">
            <v>2033</v>
          </cell>
          <cell r="F628">
            <v>1261</v>
          </cell>
          <cell r="G628">
            <v>631</v>
          </cell>
          <cell r="H628">
            <v>698</v>
          </cell>
        </row>
        <row r="629">
          <cell r="A629">
            <v>44066</v>
          </cell>
          <cell r="B629" t="str">
            <v>东部战区-南京-南京二组</v>
          </cell>
          <cell r="C629">
            <v>2482</v>
          </cell>
          <cell r="D629">
            <v>2397</v>
          </cell>
          <cell r="E629">
            <v>2302</v>
          </cell>
          <cell r="F629">
            <v>1443</v>
          </cell>
          <cell r="G629">
            <v>749</v>
          </cell>
          <cell r="H629">
            <v>698</v>
          </cell>
        </row>
        <row r="630">
          <cell r="A630">
            <v>44066</v>
          </cell>
          <cell r="B630" t="str">
            <v>东部战区-合肥-合肥一组</v>
          </cell>
          <cell r="C630">
            <v>5861</v>
          </cell>
          <cell r="D630">
            <v>5714</v>
          </cell>
          <cell r="E630">
            <v>5439</v>
          </cell>
          <cell r="F630">
            <v>3406</v>
          </cell>
          <cell r="G630">
            <v>1638</v>
          </cell>
          <cell r="H630">
            <v>697</v>
          </cell>
        </row>
        <row r="631">
          <cell r="A631">
            <v>44066</v>
          </cell>
          <cell r="B631" t="str">
            <v>东部战区-合肥-合肥二组</v>
          </cell>
          <cell r="C631">
            <v>1538</v>
          </cell>
          <cell r="D631">
            <v>1506</v>
          </cell>
          <cell r="E631">
            <v>1426</v>
          </cell>
          <cell r="F631">
            <v>909</v>
          </cell>
          <cell r="G631">
            <v>443</v>
          </cell>
          <cell r="H631">
            <v>697</v>
          </cell>
        </row>
        <row r="632">
          <cell r="A632">
            <v>44066</v>
          </cell>
          <cell r="B632" t="str">
            <v>东部战区-杭州-杭州一组</v>
          </cell>
          <cell r="C632">
            <v>5948</v>
          </cell>
          <cell r="D632">
            <v>5713</v>
          </cell>
          <cell r="E632">
            <v>5407</v>
          </cell>
          <cell r="F632">
            <v>3299</v>
          </cell>
          <cell r="G632">
            <v>1528</v>
          </cell>
          <cell r="H632">
            <v>701</v>
          </cell>
        </row>
        <row r="633">
          <cell r="A633">
            <v>44066</v>
          </cell>
          <cell r="B633" t="str">
            <v>东部战区-杭州-杭州三组</v>
          </cell>
          <cell r="C633">
            <v>1773</v>
          </cell>
          <cell r="D633">
            <v>1738</v>
          </cell>
          <cell r="E633">
            <v>1690</v>
          </cell>
          <cell r="F633">
            <v>1017</v>
          </cell>
          <cell r="G633">
            <v>614</v>
          </cell>
          <cell r="H633">
            <v>701</v>
          </cell>
        </row>
        <row r="634">
          <cell r="A634">
            <v>44066</v>
          </cell>
          <cell r="B634" t="str">
            <v>东部战区-杭州-杭州二组</v>
          </cell>
          <cell r="C634">
            <v>5462</v>
          </cell>
          <cell r="D634">
            <v>5322</v>
          </cell>
          <cell r="E634">
            <v>5146</v>
          </cell>
          <cell r="F634">
            <v>2927</v>
          </cell>
          <cell r="G634">
            <v>1639</v>
          </cell>
          <cell r="H634">
            <v>694</v>
          </cell>
        </row>
        <row r="635">
          <cell r="A635">
            <v>44066</v>
          </cell>
          <cell r="B635" t="str">
            <v>北部战区-天津-天津一组</v>
          </cell>
          <cell r="C635">
            <v>1922</v>
          </cell>
          <cell r="D635">
            <v>1901</v>
          </cell>
          <cell r="E635">
            <v>1842</v>
          </cell>
          <cell r="F635">
            <v>1051</v>
          </cell>
          <cell r="G635">
            <v>678</v>
          </cell>
          <cell r="H635">
            <v>686</v>
          </cell>
        </row>
        <row r="636">
          <cell r="A636">
            <v>44066</v>
          </cell>
          <cell r="B636" t="str">
            <v>北部战区-北京-北京一组</v>
          </cell>
          <cell r="C636">
            <v>95</v>
          </cell>
          <cell r="D636">
            <v>91</v>
          </cell>
          <cell r="E636">
            <v>85</v>
          </cell>
          <cell r="F636">
            <v>45</v>
          </cell>
          <cell r="G636">
            <v>25</v>
          </cell>
          <cell r="H636">
            <v>686</v>
          </cell>
        </row>
        <row r="637">
          <cell r="A637">
            <v>44066</v>
          </cell>
          <cell r="B637" t="str">
            <v>北部战区-北京-北京四组</v>
          </cell>
          <cell r="C637">
            <v>2088</v>
          </cell>
          <cell r="D637">
            <v>2054</v>
          </cell>
          <cell r="E637">
            <v>2003</v>
          </cell>
          <cell r="F637">
            <v>1214</v>
          </cell>
          <cell r="G637">
            <v>676</v>
          </cell>
          <cell r="H637">
            <v>688</v>
          </cell>
        </row>
        <row r="638">
          <cell r="A638">
            <v>44066</v>
          </cell>
          <cell r="B638" t="str">
            <v>北部战区-北京-北京三组</v>
          </cell>
          <cell r="C638">
            <v>1971</v>
          </cell>
          <cell r="D638">
            <v>1924</v>
          </cell>
          <cell r="E638">
            <v>1839</v>
          </cell>
          <cell r="F638">
            <v>1170</v>
          </cell>
          <cell r="G638">
            <v>594</v>
          </cell>
          <cell r="H638">
            <v>689</v>
          </cell>
        </row>
        <row r="639">
          <cell r="A639">
            <v>44066</v>
          </cell>
          <cell r="B639" t="str">
            <v>北部战区-北京-北京二组</v>
          </cell>
          <cell r="C639">
            <v>207</v>
          </cell>
          <cell r="D639">
            <v>204</v>
          </cell>
          <cell r="E639">
            <v>195</v>
          </cell>
          <cell r="F639">
            <v>121</v>
          </cell>
          <cell r="G639">
            <v>79</v>
          </cell>
          <cell r="H639">
            <v>696</v>
          </cell>
        </row>
        <row r="640">
          <cell r="A640">
            <v>44067</v>
          </cell>
          <cell r="B640" t="str">
            <v>西部战区-重庆-重庆一组</v>
          </cell>
          <cell r="C640">
            <v>2133</v>
          </cell>
          <cell r="D640">
            <v>2102</v>
          </cell>
          <cell r="E640">
            <v>2043</v>
          </cell>
          <cell r="F640">
            <v>1310</v>
          </cell>
          <cell r="G640">
            <v>719</v>
          </cell>
          <cell r="H640">
            <v>691</v>
          </cell>
        </row>
        <row r="641">
          <cell r="A641">
            <v>44067</v>
          </cell>
          <cell r="B641" t="str">
            <v>西部战区-西安-西安一组</v>
          </cell>
          <cell r="C641">
            <v>2969</v>
          </cell>
          <cell r="D641">
            <v>2920</v>
          </cell>
          <cell r="E641">
            <v>2830</v>
          </cell>
          <cell r="F641">
            <v>1732</v>
          </cell>
          <cell r="G641">
            <v>979</v>
          </cell>
          <cell r="H641">
            <v>692</v>
          </cell>
        </row>
        <row r="642">
          <cell r="A642">
            <v>44067</v>
          </cell>
          <cell r="B642" t="str">
            <v>西部战区-武汉-武汉一组</v>
          </cell>
          <cell r="C642">
            <v>4732</v>
          </cell>
          <cell r="D642">
            <v>4618</v>
          </cell>
          <cell r="E642">
            <v>4431</v>
          </cell>
          <cell r="F642">
            <v>2797</v>
          </cell>
          <cell r="G642">
            <v>1434</v>
          </cell>
          <cell r="H642">
            <v>699</v>
          </cell>
        </row>
        <row r="643">
          <cell r="A643">
            <v>44067</v>
          </cell>
          <cell r="B643" t="str">
            <v>西部战区-成都-成都一组</v>
          </cell>
          <cell r="C643">
            <v>2845</v>
          </cell>
          <cell r="D643">
            <v>2773</v>
          </cell>
          <cell r="E643">
            <v>2675</v>
          </cell>
          <cell r="F643">
            <v>1720</v>
          </cell>
          <cell r="G643">
            <v>949</v>
          </cell>
          <cell r="H643">
            <v>691</v>
          </cell>
        </row>
        <row r="644">
          <cell r="A644">
            <v>44067</v>
          </cell>
          <cell r="B644" t="str">
            <v>西部战区-成都-成都二组</v>
          </cell>
          <cell r="C644">
            <v>672</v>
          </cell>
          <cell r="D644">
            <v>662</v>
          </cell>
          <cell r="E644">
            <v>643</v>
          </cell>
          <cell r="F644">
            <v>443</v>
          </cell>
          <cell r="G644">
            <v>209</v>
          </cell>
          <cell r="H644">
            <v>692</v>
          </cell>
        </row>
        <row r="645">
          <cell r="A645">
            <v>44067</v>
          </cell>
          <cell r="B645" t="str">
            <v>南部战区-深圳-深圳一组</v>
          </cell>
          <cell r="C645">
            <v>3823</v>
          </cell>
          <cell r="D645">
            <v>3708</v>
          </cell>
          <cell r="E645">
            <v>3535</v>
          </cell>
          <cell r="F645">
            <v>2103</v>
          </cell>
          <cell r="G645">
            <v>1122</v>
          </cell>
          <cell r="H645">
            <v>689</v>
          </cell>
        </row>
        <row r="646">
          <cell r="A646">
            <v>44067</v>
          </cell>
          <cell r="B646" t="str">
            <v>南部战区-广州-广州一组</v>
          </cell>
          <cell r="C646">
            <v>6715</v>
          </cell>
          <cell r="D646">
            <v>6552</v>
          </cell>
          <cell r="E646">
            <v>6276</v>
          </cell>
          <cell r="F646">
            <v>3927</v>
          </cell>
          <cell r="G646">
            <v>2170</v>
          </cell>
          <cell r="H646">
            <v>688</v>
          </cell>
        </row>
        <row r="647">
          <cell r="A647">
            <v>44067</v>
          </cell>
          <cell r="B647" t="str">
            <v>南部战区-广州-广州三组</v>
          </cell>
          <cell r="C647">
            <v>3843</v>
          </cell>
          <cell r="D647">
            <v>3731</v>
          </cell>
          <cell r="E647">
            <v>3538</v>
          </cell>
          <cell r="F647">
            <v>2120</v>
          </cell>
          <cell r="G647">
            <v>1235</v>
          </cell>
          <cell r="H647">
            <v>689</v>
          </cell>
        </row>
        <row r="648">
          <cell r="A648">
            <v>44067</v>
          </cell>
          <cell r="B648" t="str">
            <v>南部战区-广州-广州二组</v>
          </cell>
          <cell r="C648">
            <v>3783</v>
          </cell>
          <cell r="D648">
            <v>3704</v>
          </cell>
          <cell r="E648">
            <v>3545</v>
          </cell>
          <cell r="F648">
            <v>2217</v>
          </cell>
          <cell r="G648">
            <v>1266</v>
          </cell>
          <cell r="H648">
            <v>691</v>
          </cell>
        </row>
        <row r="649">
          <cell r="A649">
            <v>44067</v>
          </cell>
          <cell r="B649" t="str">
            <v>东部战区-苏州-苏州一组</v>
          </cell>
          <cell r="C649">
            <v>6097</v>
          </cell>
          <cell r="D649">
            <v>5870</v>
          </cell>
          <cell r="E649">
            <v>5578</v>
          </cell>
          <cell r="F649">
            <v>3389</v>
          </cell>
          <cell r="G649">
            <v>1757</v>
          </cell>
          <cell r="H649">
            <v>695</v>
          </cell>
        </row>
        <row r="650">
          <cell r="A650">
            <v>44067</v>
          </cell>
          <cell r="B650" t="str">
            <v>东部战区-苏州-苏州三组</v>
          </cell>
          <cell r="C650">
            <v>182</v>
          </cell>
          <cell r="D650">
            <v>179</v>
          </cell>
          <cell r="E650">
            <v>153</v>
          </cell>
          <cell r="F650">
            <v>89</v>
          </cell>
          <cell r="G650">
            <v>40</v>
          </cell>
          <cell r="H650">
            <v>687</v>
          </cell>
        </row>
        <row r="651">
          <cell r="A651">
            <v>44067</v>
          </cell>
          <cell r="B651" t="str">
            <v>东部战区-苏州-苏州二组</v>
          </cell>
          <cell r="C651">
            <v>7264</v>
          </cell>
          <cell r="D651">
            <v>6973</v>
          </cell>
          <cell r="E651">
            <v>6633</v>
          </cell>
          <cell r="F651">
            <v>3841</v>
          </cell>
          <cell r="G651">
            <v>2100</v>
          </cell>
          <cell r="H651">
            <v>696</v>
          </cell>
        </row>
        <row r="652">
          <cell r="A652">
            <v>44067</v>
          </cell>
          <cell r="B652" t="str">
            <v>东部战区-上海-上海一组</v>
          </cell>
          <cell r="C652">
            <v>5915</v>
          </cell>
          <cell r="D652">
            <v>5749</v>
          </cell>
          <cell r="E652">
            <v>5541</v>
          </cell>
          <cell r="F652">
            <v>3359</v>
          </cell>
          <cell r="G652">
            <v>1888</v>
          </cell>
          <cell r="H652">
            <v>695</v>
          </cell>
        </row>
        <row r="653">
          <cell r="A653">
            <v>44067</v>
          </cell>
          <cell r="B653" t="str">
            <v>东部战区-上海-上海三组</v>
          </cell>
          <cell r="C653">
            <v>3281</v>
          </cell>
          <cell r="D653">
            <v>3198</v>
          </cell>
          <cell r="E653">
            <v>3076</v>
          </cell>
          <cell r="F653">
            <v>1800</v>
          </cell>
          <cell r="G653">
            <v>1083</v>
          </cell>
          <cell r="H653">
            <v>696</v>
          </cell>
        </row>
        <row r="654">
          <cell r="A654">
            <v>44067</v>
          </cell>
          <cell r="B654" t="str">
            <v>东部战区-上海-上海二组</v>
          </cell>
          <cell r="C654">
            <v>2578</v>
          </cell>
          <cell r="D654">
            <v>2537</v>
          </cell>
          <cell r="E654">
            <v>2430</v>
          </cell>
          <cell r="F654">
            <v>1471</v>
          </cell>
          <cell r="G654">
            <v>795</v>
          </cell>
          <cell r="H654">
            <v>691</v>
          </cell>
        </row>
        <row r="655">
          <cell r="A655">
            <v>44067</v>
          </cell>
          <cell r="B655" t="str">
            <v>东部战区-南京-南京一组</v>
          </cell>
          <cell r="C655">
            <v>3264</v>
          </cell>
          <cell r="D655">
            <v>3202</v>
          </cell>
          <cell r="E655">
            <v>3091</v>
          </cell>
          <cell r="F655">
            <v>1804</v>
          </cell>
          <cell r="G655">
            <v>1010</v>
          </cell>
          <cell r="H655">
            <v>697</v>
          </cell>
        </row>
        <row r="656">
          <cell r="A656">
            <v>44067</v>
          </cell>
          <cell r="B656" t="str">
            <v>东部战区-南京-南京四组</v>
          </cell>
          <cell r="C656">
            <v>1907</v>
          </cell>
          <cell r="D656">
            <v>1854</v>
          </cell>
          <cell r="E656">
            <v>1776</v>
          </cell>
          <cell r="F656">
            <v>1048</v>
          </cell>
          <cell r="G656">
            <v>592</v>
          </cell>
          <cell r="H656">
            <v>696</v>
          </cell>
        </row>
        <row r="657">
          <cell r="A657">
            <v>44067</v>
          </cell>
          <cell r="B657" t="str">
            <v>东部战区-南京-南京三组</v>
          </cell>
          <cell r="C657">
            <v>1661</v>
          </cell>
          <cell r="D657">
            <v>1634</v>
          </cell>
          <cell r="E657">
            <v>1569</v>
          </cell>
          <cell r="F657">
            <v>963</v>
          </cell>
          <cell r="G657">
            <v>496</v>
          </cell>
          <cell r="H657">
            <v>698</v>
          </cell>
        </row>
        <row r="658">
          <cell r="A658">
            <v>44067</v>
          </cell>
          <cell r="B658" t="str">
            <v>东部战区-南京-南京二组</v>
          </cell>
          <cell r="C658">
            <v>1516</v>
          </cell>
          <cell r="D658">
            <v>1473</v>
          </cell>
          <cell r="E658">
            <v>1403</v>
          </cell>
          <cell r="F658">
            <v>907</v>
          </cell>
          <cell r="G658">
            <v>440</v>
          </cell>
          <cell r="H658">
            <v>700</v>
          </cell>
        </row>
        <row r="659">
          <cell r="A659">
            <v>44067</v>
          </cell>
          <cell r="B659" t="str">
            <v>东部战区-合肥-合肥一组</v>
          </cell>
          <cell r="C659">
            <v>4604</v>
          </cell>
          <cell r="D659">
            <v>4493</v>
          </cell>
          <cell r="E659">
            <v>4285</v>
          </cell>
          <cell r="F659">
            <v>2653</v>
          </cell>
          <cell r="G659">
            <v>1283</v>
          </cell>
          <cell r="H659">
            <v>695</v>
          </cell>
        </row>
        <row r="660">
          <cell r="A660">
            <v>44067</v>
          </cell>
          <cell r="B660" t="str">
            <v>东部战区-合肥-合肥二组</v>
          </cell>
          <cell r="C660">
            <v>1142</v>
          </cell>
          <cell r="D660">
            <v>1123</v>
          </cell>
          <cell r="E660">
            <v>1085</v>
          </cell>
          <cell r="F660">
            <v>663</v>
          </cell>
          <cell r="G660">
            <v>355</v>
          </cell>
          <cell r="H660">
            <v>695</v>
          </cell>
        </row>
        <row r="661">
          <cell r="A661">
            <v>44067</v>
          </cell>
          <cell r="B661" t="str">
            <v>东部战区-杭州-杭州一组</v>
          </cell>
          <cell r="C661">
            <v>5699</v>
          </cell>
          <cell r="D661">
            <v>5493</v>
          </cell>
          <cell r="E661">
            <v>5200</v>
          </cell>
          <cell r="F661">
            <v>3231</v>
          </cell>
          <cell r="G661">
            <v>1513</v>
          </cell>
          <cell r="H661">
            <v>702</v>
          </cell>
        </row>
        <row r="662">
          <cell r="A662">
            <v>44067</v>
          </cell>
          <cell r="B662" t="str">
            <v>东部战区-杭州-杭州三组</v>
          </cell>
          <cell r="C662">
            <v>1773</v>
          </cell>
          <cell r="D662">
            <v>1738</v>
          </cell>
          <cell r="E662">
            <v>1690</v>
          </cell>
          <cell r="F662">
            <v>1017</v>
          </cell>
          <cell r="G662">
            <v>614</v>
          </cell>
          <cell r="H662">
            <v>701</v>
          </cell>
        </row>
        <row r="663">
          <cell r="A663">
            <v>44067</v>
          </cell>
          <cell r="B663" t="str">
            <v>东部战区-杭州-杭州二组</v>
          </cell>
          <cell r="C663">
            <v>4833</v>
          </cell>
          <cell r="D663">
            <v>4709</v>
          </cell>
          <cell r="E663">
            <v>4545</v>
          </cell>
          <cell r="F663">
            <v>2629</v>
          </cell>
          <cell r="G663">
            <v>1447</v>
          </cell>
          <cell r="H663">
            <v>694</v>
          </cell>
        </row>
        <row r="664">
          <cell r="A664">
            <v>44067</v>
          </cell>
          <cell r="B664" t="str">
            <v>北部战区-天津-天津一组</v>
          </cell>
          <cell r="C664">
            <v>1970</v>
          </cell>
          <cell r="D664">
            <v>1948</v>
          </cell>
          <cell r="E664">
            <v>1888</v>
          </cell>
          <cell r="F664">
            <v>1072</v>
          </cell>
          <cell r="G664">
            <v>693</v>
          </cell>
          <cell r="H664">
            <v>686</v>
          </cell>
        </row>
        <row r="665">
          <cell r="A665">
            <v>44067</v>
          </cell>
          <cell r="B665" t="str">
            <v>北部战区-北京-北京一组</v>
          </cell>
          <cell r="C665">
            <v>95</v>
          </cell>
          <cell r="D665">
            <v>91</v>
          </cell>
          <cell r="E665">
            <v>85</v>
          </cell>
          <cell r="F665">
            <v>45</v>
          </cell>
          <cell r="G665">
            <v>25</v>
          </cell>
          <cell r="H665">
            <v>686</v>
          </cell>
        </row>
        <row r="666">
          <cell r="A666">
            <v>44067</v>
          </cell>
          <cell r="B666" t="str">
            <v>北部战区-北京-北京四组</v>
          </cell>
          <cell r="C666">
            <v>2088</v>
          </cell>
          <cell r="D666">
            <v>2054</v>
          </cell>
          <cell r="E666">
            <v>2003</v>
          </cell>
          <cell r="F666">
            <v>1214</v>
          </cell>
          <cell r="G666">
            <v>676</v>
          </cell>
          <cell r="H666">
            <v>688</v>
          </cell>
        </row>
        <row r="667">
          <cell r="A667">
            <v>44067</v>
          </cell>
          <cell r="B667" t="str">
            <v>北部战区-北京-北京三组</v>
          </cell>
          <cell r="C667">
            <v>2815</v>
          </cell>
          <cell r="D667">
            <v>2761</v>
          </cell>
          <cell r="E667">
            <v>2641</v>
          </cell>
          <cell r="F667">
            <v>1629</v>
          </cell>
          <cell r="G667">
            <v>818</v>
          </cell>
          <cell r="H667">
            <v>690</v>
          </cell>
        </row>
        <row r="668">
          <cell r="A668">
            <v>44067</v>
          </cell>
          <cell r="B668" t="str">
            <v>北部战区-北京-北京二组</v>
          </cell>
          <cell r="C668">
            <v>207</v>
          </cell>
          <cell r="D668">
            <v>204</v>
          </cell>
          <cell r="E668">
            <v>195</v>
          </cell>
          <cell r="F668">
            <v>121</v>
          </cell>
          <cell r="G668">
            <v>79</v>
          </cell>
          <cell r="H668">
            <v>696</v>
          </cell>
        </row>
        <row r="669">
          <cell r="A669">
            <v>44068</v>
          </cell>
          <cell r="B669" t="str">
            <v>西部战区-重庆-重庆一组</v>
          </cell>
          <cell r="C669">
            <v>2133</v>
          </cell>
          <cell r="D669">
            <v>2102</v>
          </cell>
          <cell r="E669">
            <v>2043</v>
          </cell>
          <cell r="F669">
            <v>1310</v>
          </cell>
          <cell r="G669">
            <v>719</v>
          </cell>
          <cell r="H669">
            <v>691</v>
          </cell>
        </row>
        <row r="670">
          <cell r="A670">
            <v>44068</v>
          </cell>
          <cell r="B670" t="str">
            <v>西部战区-西安-西安一组</v>
          </cell>
          <cell r="C670">
            <v>3059</v>
          </cell>
          <cell r="D670">
            <v>3002</v>
          </cell>
          <cell r="E670">
            <v>2915</v>
          </cell>
          <cell r="F670">
            <v>1732</v>
          </cell>
          <cell r="G670">
            <v>1005</v>
          </cell>
          <cell r="H670">
            <v>691</v>
          </cell>
        </row>
        <row r="671">
          <cell r="A671">
            <v>44068</v>
          </cell>
          <cell r="B671" t="str">
            <v>西部战区-武汉-武汉一组</v>
          </cell>
          <cell r="C671">
            <v>2492</v>
          </cell>
          <cell r="D671">
            <v>2447</v>
          </cell>
          <cell r="E671">
            <v>2351</v>
          </cell>
          <cell r="F671">
            <v>1454</v>
          </cell>
          <cell r="G671">
            <v>749</v>
          </cell>
          <cell r="H671">
            <v>700</v>
          </cell>
        </row>
        <row r="672">
          <cell r="A672">
            <v>44068</v>
          </cell>
          <cell r="B672" t="str">
            <v>西部战区-成都-成都一组</v>
          </cell>
          <cell r="C672">
            <v>1867</v>
          </cell>
          <cell r="D672">
            <v>1818</v>
          </cell>
          <cell r="E672">
            <v>1750</v>
          </cell>
          <cell r="F672">
            <v>1127</v>
          </cell>
          <cell r="G672">
            <v>619</v>
          </cell>
          <cell r="H672">
            <v>692</v>
          </cell>
        </row>
        <row r="673">
          <cell r="A673">
            <v>44068</v>
          </cell>
          <cell r="B673" t="str">
            <v>南部战区-深圳-深圳一组</v>
          </cell>
          <cell r="C673">
            <v>3120</v>
          </cell>
          <cell r="D673">
            <v>3018</v>
          </cell>
          <cell r="E673">
            <v>2877</v>
          </cell>
          <cell r="F673">
            <v>1701</v>
          </cell>
          <cell r="G673">
            <v>900</v>
          </cell>
          <cell r="H673">
            <v>689</v>
          </cell>
        </row>
        <row r="674">
          <cell r="A674">
            <v>44068</v>
          </cell>
          <cell r="B674" t="str">
            <v>南部战区-广州-广州一组</v>
          </cell>
          <cell r="C674">
            <v>6614</v>
          </cell>
          <cell r="D674">
            <v>6441</v>
          </cell>
          <cell r="E674">
            <v>6189</v>
          </cell>
          <cell r="F674">
            <v>3856</v>
          </cell>
          <cell r="G674">
            <v>2131</v>
          </cell>
          <cell r="H674">
            <v>688</v>
          </cell>
        </row>
        <row r="675">
          <cell r="A675">
            <v>44068</v>
          </cell>
          <cell r="B675" t="str">
            <v>南部战区-广州-广州三组</v>
          </cell>
          <cell r="C675">
            <v>3652</v>
          </cell>
          <cell r="D675">
            <v>3548</v>
          </cell>
          <cell r="E675">
            <v>3370</v>
          </cell>
          <cell r="F675">
            <v>2021</v>
          </cell>
          <cell r="G675">
            <v>1181</v>
          </cell>
          <cell r="H675">
            <v>689</v>
          </cell>
        </row>
        <row r="676">
          <cell r="A676">
            <v>44068</v>
          </cell>
          <cell r="B676" t="str">
            <v>南部战区-广州-广州二组</v>
          </cell>
          <cell r="C676">
            <v>3783</v>
          </cell>
          <cell r="D676">
            <v>3704</v>
          </cell>
          <cell r="E676">
            <v>3545</v>
          </cell>
          <cell r="F676">
            <v>2217</v>
          </cell>
          <cell r="G676">
            <v>1266</v>
          </cell>
          <cell r="H676">
            <v>691</v>
          </cell>
        </row>
        <row r="677">
          <cell r="A677">
            <v>44068</v>
          </cell>
          <cell r="B677" t="str">
            <v>东部战区-苏州-苏州一组</v>
          </cell>
          <cell r="C677">
            <v>5654</v>
          </cell>
          <cell r="D677">
            <v>5465</v>
          </cell>
          <cell r="E677">
            <v>5231</v>
          </cell>
          <cell r="F677">
            <v>3165</v>
          </cell>
          <cell r="G677">
            <v>1603</v>
          </cell>
          <cell r="H677">
            <v>694</v>
          </cell>
        </row>
        <row r="678">
          <cell r="A678">
            <v>44068</v>
          </cell>
          <cell r="B678" t="str">
            <v>东部战区-苏州-苏州三组</v>
          </cell>
          <cell r="C678">
            <v>295</v>
          </cell>
          <cell r="D678">
            <v>289</v>
          </cell>
          <cell r="E678">
            <v>282</v>
          </cell>
          <cell r="F678">
            <v>164</v>
          </cell>
          <cell r="G678">
            <v>110</v>
          </cell>
          <cell r="H678">
            <v>692</v>
          </cell>
        </row>
        <row r="679">
          <cell r="A679">
            <v>44068</v>
          </cell>
          <cell r="B679" t="str">
            <v>东部战区-苏州-苏州二组</v>
          </cell>
          <cell r="C679">
            <v>6463</v>
          </cell>
          <cell r="D679">
            <v>6218</v>
          </cell>
          <cell r="E679">
            <v>5913</v>
          </cell>
          <cell r="F679">
            <v>3405</v>
          </cell>
          <cell r="G679">
            <v>1897</v>
          </cell>
          <cell r="H679">
            <v>695</v>
          </cell>
        </row>
        <row r="680">
          <cell r="A680">
            <v>44068</v>
          </cell>
          <cell r="B680" t="str">
            <v>东部战区-上海-上海一组</v>
          </cell>
          <cell r="C680">
            <v>4836</v>
          </cell>
          <cell r="D680">
            <v>4670</v>
          </cell>
          <cell r="E680">
            <v>4476</v>
          </cell>
          <cell r="F680">
            <v>2629</v>
          </cell>
          <cell r="G680">
            <v>1487</v>
          </cell>
          <cell r="H680">
            <v>693</v>
          </cell>
        </row>
        <row r="681">
          <cell r="A681">
            <v>44068</v>
          </cell>
          <cell r="B681" t="str">
            <v>东部战区-上海-上海三组</v>
          </cell>
          <cell r="C681">
            <v>2925</v>
          </cell>
          <cell r="D681">
            <v>2858</v>
          </cell>
          <cell r="E681">
            <v>2747</v>
          </cell>
          <cell r="F681">
            <v>1612</v>
          </cell>
          <cell r="G681">
            <v>968</v>
          </cell>
          <cell r="H681">
            <v>696</v>
          </cell>
        </row>
        <row r="682">
          <cell r="A682">
            <v>44068</v>
          </cell>
          <cell r="B682" t="str">
            <v>东部战区-上海-上海二组</v>
          </cell>
          <cell r="C682">
            <v>2128</v>
          </cell>
          <cell r="D682">
            <v>2098</v>
          </cell>
          <cell r="E682">
            <v>2011</v>
          </cell>
          <cell r="F682">
            <v>1172</v>
          </cell>
          <cell r="G682">
            <v>645</v>
          </cell>
          <cell r="H682">
            <v>692</v>
          </cell>
        </row>
        <row r="683">
          <cell r="A683">
            <v>44068</v>
          </cell>
          <cell r="B683" t="str">
            <v>东部战区-南京-南京一组</v>
          </cell>
          <cell r="C683">
            <v>1834</v>
          </cell>
          <cell r="D683">
            <v>1807</v>
          </cell>
          <cell r="E683">
            <v>1756</v>
          </cell>
          <cell r="F683">
            <v>1011</v>
          </cell>
          <cell r="G683">
            <v>586</v>
          </cell>
          <cell r="H683">
            <v>695</v>
          </cell>
        </row>
        <row r="684">
          <cell r="A684">
            <v>44068</v>
          </cell>
          <cell r="B684" t="str">
            <v>东部战区-南京-南京四组</v>
          </cell>
          <cell r="C684">
            <v>998</v>
          </cell>
          <cell r="D684">
            <v>974</v>
          </cell>
          <cell r="E684">
            <v>935</v>
          </cell>
          <cell r="F684">
            <v>513</v>
          </cell>
          <cell r="G684">
            <v>295</v>
          </cell>
          <cell r="H684">
            <v>694</v>
          </cell>
        </row>
        <row r="685">
          <cell r="A685">
            <v>44068</v>
          </cell>
          <cell r="B685" t="str">
            <v>东部战区-南京-南京三组</v>
          </cell>
          <cell r="C685">
            <v>1637</v>
          </cell>
          <cell r="D685">
            <v>1606</v>
          </cell>
          <cell r="E685">
            <v>1546</v>
          </cell>
          <cell r="F685">
            <v>919</v>
          </cell>
          <cell r="G685">
            <v>446</v>
          </cell>
          <cell r="H685">
            <v>697</v>
          </cell>
        </row>
        <row r="686">
          <cell r="A686">
            <v>44068</v>
          </cell>
          <cell r="B686" t="str">
            <v>东部战区-南京-南京二组</v>
          </cell>
          <cell r="C686">
            <v>2267</v>
          </cell>
          <cell r="D686">
            <v>2188</v>
          </cell>
          <cell r="E686">
            <v>2100</v>
          </cell>
          <cell r="F686">
            <v>1328</v>
          </cell>
          <cell r="G686">
            <v>701</v>
          </cell>
          <cell r="H686">
            <v>699</v>
          </cell>
        </row>
        <row r="687">
          <cell r="A687">
            <v>44068</v>
          </cell>
          <cell r="B687" t="str">
            <v>东部战区-合肥-合肥一组</v>
          </cell>
          <cell r="C687">
            <v>4445</v>
          </cell>
          <cell r="D687">
            <v>4325</v>
          </cell>
          <cell r="E687">
            <v>4115</v>
          </cell>
          <cell r="F687">
            <v>2547</v>
          </cell>
          <cell r="G687">
            <v>1278</v>
          </cell>
          <cell r="H687">
            <v>696</v>
          </cell>
        </row>
        <row r="688">
          <cell r="A688">
            <v>44068</v>
          </cell>
          <cell r="B688" t="str">
            <v>东部战区-合肥-合肥二组</v>
          </cell>
          <cell r="C688">
            <v>1034</v>
          </cell>
          <cell r="D688">
            <v>1014</v>
          </cell>
          <cell r="E688">
            <v>951</v>
          </cell>
          <cell r="F688">
            <v>589</v>
          </cell>
          <cell r="G688">
            <v>291</v>
          </cell>
          <cell r="H688">
            <v>697</v>
          </cell>
        </row>
        <row r="689">
          <cell r="A689">
            <v>44068</v>
          </cell>
          <cell r="B689" t="str">
            <v>东部战区-杭州-杭州一组</v>
          </cell>
          <cell r="C689">
            <v>6742</v>
          </cell>
          <cell r="D689">
            <v>6482</v>
          </cell>
          <cell r="E689">
            <v>6142</v>
          </cell>
          <cell r="F689">
            <v>3799</v>
          </cell>
          <cell r="G689">
            <v>1789</v>
          </cell>
          <cell r="H689">
            <v>702</v>
          </cell>
        </row>
        <row r="690">
          <cell r="A690">
            <v>44068</v>
          </cell>
          <cell r="B690" t="str">
            <v>东部战区-杭州-杭州三组</v>
          </cell>
          <cell r="C690">
            <v>1773</v>
          </cell>
          <cell r="D690">
            <v>1738</v>
          </cell>
          <cell r="E690">
            <v>1690</v>
          </cell>
          <cell r="F690">
            <v>1017</v>
          </cell>
          <cell r="G690">
            <v>614</v>
          </cell>
          <cell r="H690">
            <v>701</v>
          </cell>
        </row>
        <row r="691">
          <cell r="A691">
            <v>44068</v>
          </cell>
          <cell r="B691" t="str">
            <v>东部战区-杭州-杭州二组</v>
          </cell>
          <cell r="C691">
            <v>5405</v>
          </cell>
          <cell r="D691">
            <v>5268</v>
          </cell>
          <cell r="E691">
            <v>5095</v>
          </cell>
          <cell r="F691">
            <v>2899</v>
          </cell>
          <cell r="G691">
            <v>1629</v>
          </cell>
          <cell r="H691">
            <v>694</v>
          </cell>
        </row>
        <row r="692">
          <cell r="A692">
            <v>44068</v>
          </cell>
          <cell r="B692" t="str">
            <v>北部战区-天津-天津一组</v>
          </cell>
          <cell r="C692">
            <v>1223</v>
          </cell>
          <cell r="D692">
            <v>1212</v>
          </cell>
          <cell r="E692">
            <v>1177</v>
          </cell>
          <cell r="F692">
            <v>648</v>
          </cell>
          <cell r="G692">
            <v>413</v>
          </cell>
          <cell r="H692">
            <v>685</v>
          </cell>
        </row>
        <row r="693">
          <cell r="A693">
            <v>44068</v>
          </cell>
          <cell r="B693" t="str">
            <v>北部战区-北京-北京四组</v>
          </cell>
          <cell r="C693">
            <v>2088</v>
          </cell>
          <cell r="D693">
            <v>2054</v>
          </cell>
          <cell r="E693">
            <v>2003</v>
          </cell>
          <cell r="F693">
            <v>1214</v>
          </cell>
          <cell r="G693">
            <v>676</v>
          </cell>
          <cell r="H693">
            <v>688</v>
          </cell>
        </row>
        <row r="694">
          <cell r="A694">
            <v>44068</v>
          </cell>
          <cell r="B694" t="str">
            <v>北部战区-北京-北京三组</v>
          </cell>
          <cell r="C694">
            <v>2085</v>
          </cell>
          <cell r="D694">
            <v>2041</v>
          </cell>
          <cell r="E694">
            <v>1955</v>
          </cell>
          <cell r="F694">
            <v>1240</v>
          </cell>
          <cell r="G694">
            <v>631</v>
          </cell>
          <cell r="H694">
            <v>689</v>
          </cell>
        </row>
        <row r="695">
          <cell r="A695">
            <v>44069</v>
          </cell>
          <cell r="B695" t="str">
            <v>西部战区-重庆-重庆一组</v>
          </cell>
          <cell r="C695">
            <v>2583</v>
          </cell>
          <cell r="D695">
            <v>2540</v>
          </cell>
          <cell r="E695">
            <v>2470</v>
          </cell>
          <cell r="F695">
            <v>1542</v>
          </cell>
          <cell r="G695">
            <v>855</v>
          </cell>
          <cell r="H695">
            <v>690</v>
          </cell>
        </row>
        <row r="696">
          <cell r="A696">
            <v>44069</v>
          </cell>
          <cell r="B696" t="str">
            <v>西部战区-西安-西安一组</v>
          </cell>
          <cell r="C696">
            <v>3059</v>
          </cell>
          <cell r="D696">
            <v>3002</v>
          </cell>
          <cell r="E696">
            <v>2915</v>
          </cell>
          <cell r="F696">
            <v>1732</v>
          </cell>
          <cell r="G696">
            <v>1005</v>
          </cell>
          <cell r="H696">
            <v>691</v>
          </cell>
        </row>
        <row r="697">
          <cell r="A697">
            <v>44069</v>
          </cell>
          <cell r="B697" t="str">
            <v>西部战区-武汉-武汉一组</v>
          </cell>
          <cell r="C697">
            <v>3167</v>
          </cell>
          <cell r="D697">
            <v>3087</v>
          </cell>
          <cell r="E697">
            <v>2962</v>
          </cell>
          <cell r="F697">
            <v>1932</v>
          </cell>
          <cell r="G697">
            <v>953</v>
          </cell>
          <cell r="H697">
            <v>701</v>
          </cell>
        </row>
        <row r="698">
          <cell r="A698">
            <v>44069</v>
          </cell>
          <cell r="B698" t="str">
            <v>西部战区-成都-成都一组</v>
          </cell>
          <cell r="C698">
            <v>2845</v>
          </cell>
          <cell r="D698">
            <v>2773</v>
          </cell>
          <cell r="E698">
            <v>2675</v>
          </cell>
          <cell r="F698">
            <v>1720</v>
          </cell>
          <cell r="G698">
            <v>949</v>
          </cell>
          <cell r="H698">
            <v>691</v>
          </cell>
        </row>
        <row r="699">
          <cell r="A699">
            <v>44069</v>
          </cell>
          <cell r="B699" t="str">
            <v>西部战区-成都-成都二组</v>
          </cell>
          <cell r="C699">
            <v>672</v>
          </cell>
          <cell r="D699">
            <v>662</v>
          </cell>
          <cell r="E699">
            <v>643</v>
          </cell>
          <cell r="F699">
            <v>443</v>
          </cell>
          <cell r="G699">
            <v>209</v>
          </cell>
          <cell r="H699">
            <v>692</v>
          </cell>
        </row>
        <row r="700">
          <cell r="A700">
            <v>44069</v>
          </cell>
          <cell r="B700" t="str">
            <v>南部战区-深圳-深圳一组</v>
          </cell>
          <cell r="C700">
            <v>3823</v>
          </cell>
          <cell r="D700">
            <v>3708</v>
          </cell>
          <cell r="E700">
            <v>3535</v>
          </cell>
          <cell r="F700">
            <v>2103</v>
          </cell>
          <cell r="G700">
            <v>1122</v>
          </cell>
          <cell r="H700">
            <v>689</v>
          </cell>
        </row>
        <row r="701">
          <cell r="A701">
            <v>44069</v>
          </cell>
          <cell r="B701" t="str">
            <v>南部战区-广州-广州一组</v>
          </cell>
          <cell r="C701">
            <v>7503</v>
          </cell>
          <cell r="D701">
            <v>7322</v>
          </cell>
          <cell r="E701">
            <v>7026</v>
          </cell>
          <cell r="F701">
            <v>4356</v>
          </cell>
          <cell r="G701">
            <v>2396</v>
          </cell>
          <cell r="H701">
            <v>688</v>
          </cell>
        </row>
        <row r="702">
          <cell r="A702">
            <v>44069</v>
          </cell>
          <cell r="B702" t="str">
            <v>南部战区-广州-广州三组</v>
          </cell>
          <cell r="C702">
            <v>3843</v>
          </cell>
          <cell r="D702">
            <v>3731</v>
          </cell>
          <cell r="E702">
            <v>3538</v>
          </cell>
          <cell r="F702">
            <v>2120</v>
          </cell>
          <cell r="G702">
            <v>1235</v>
          </cell>
          <cell r="H702">
            <v>689</v>
          </cell>
        </row>
        <row r="703">
          <cell r="A703">
            <v>44069</v>
          </cell>
          <cell r="B703" t="str">
            <v>南部战区-广州-广州二组</v>
          </cell>
          <cell r="C703">
            <v>4484</v>
          </cell>
          <cell r="D703">
            <v>4394</v>
          </cell>
          <cell r="E703">
            <v>4200</v>
          </cell>
          <cell r="F703">
            <v>2583</v>
          </cell>
          <cell r="G703">
            <v>1493</v>
          </cell>
          <cell r="H703">
            <v>691</v>
          </cell>
        </row>
        <row r="704">
          <cell r="A704">
            <v>44069</v>
          </cell>
          <cell r="B704" t="str">
            <v>东部战区-苏州-苏州一组</v>
          </cell>
          <cell r="C704">
            <v>6708</v>
          </cell>
          <cell r="D704">
            <v>6464</v>
          </cell>
          <cell r="E704">
            <v>6152</v>
          </cell>
          <cell r="F704">
            <v>3722</v>
          </cell>
          <cell r="G704">
            <v>1915</v>
          </cell>
          <cell r="H704">
            <v>695</v>
          </cell>
        </row>
        <row r="705">
          <cell r="A705">
            <v>44069</v>
          </cell>
          <cell r="B705" t="str">
            <v>东部战区-苏州-苏州三组</v>
          </cell>
          <cell r="C705">
            <v>89</v>
          </cell>
          <cell r="D705">
            <v>85</v>
          </cell>
          <cell r="E705">
            <v>80</v>
          </cell>
          <cell r="F705">
            <v>29</v>
          </cell>
          <cell r="G705">
            <v>20</v>
          </cell>
          <cell r="H705">
            <v>696</v>
          </cell>
        </row>
        <row r="706">
          <cell r="A706">
            <v>44069</v>
          </cell>
          <cell r="B706" t="str">
            <v>东部战区-苏州-苏州二组</v>
          </cell>
          <cell r="C706">
            <v>6991</v>
          </cell>
          <cell r="D706">
            <v>6712</v>
          </cell>
          <cell r="E706">
            <v>6377</v>
          </cell>
          <cell r="F706">
            <v>3687</v>
          </cell>
          <cell r="G706">
            <v>2001</v>
          </cell>
          <cell r="H706">
            <v>695</v>
          </cell>
        </row>
        <row r="707">
          <cell r="A707">
            <v>44069</v>
          </cell>
          <cell r="B707" t="str">
            <v>东部战区-上海-上海一组</v>
          </cell>
          <cell r="C707">
            <v>4626</v>
          </cell>
          <cell r="D707">
            <v>4473</v>
          </cell>
          <cell r="E707">
            <v>4294</v>
          </cell>
          <cell r="F707">
            <v>2606</v>
          </cell>
          <cell r="G707">
            <v>1506</v>
          </cell>
          <cell r="H707">
            <v>696</v>
          </cell>
        </row>
        <row r="708">
          <cell r="A708">
            <v>44069</v>
          </cell>
          <cell r="B708" t="str">
            <v>东部战区-上海-上海三组</v>
          </cell>
          <cell r="C708">
            <v>3281</v>
          </cell>
          <cell r="D708">
            <v>3198</v>
          </cell>
          <cell r="E708">
            <v>3076</v>
          </cell>
          <cell r="F708">
            <v>1800</v>
          </cell>
          <cell r="G708">
            <v>1083</v>
          </cell>
          <cell r="H708">
            <v>696</v>
          </cell>
        </row>
        <row r="709">
          <cell r="A709">
            <v>44069</v>
          </cell>
          <cell r="B709" t="str">
            <v>东部战区-上海-上海二组</v>
          </cell>
          <cell r="C709">
            <v>2970</v>
          </cell>
          <cell r="D709">
            <v>2916</v>
          </cell>
          <cell r="E709">
            <v>2790</v>
          </cell>
          <cell r="F709">
            <v>1674</v>
          </cell>
          <cell r="G709">
            <v>905</v>
          </cell>
          <cell r="H709">
            <v>691</v>
          </cell>
        </row>
        <row r="710">
          <cell r="A710">
            <v>44069</v>
          </cell>
          <cell r="B710" t="str">
            <v>东部战区-南京-南京一组</v>
          </cell>
          <cell r="C710">
            <v>3157</v>
          </cell>
          <cell r="D710">
            <v>3087</v>
          </cell>
          <cell r="E710">
            <v>2975</v>
          </cell>
          <cell r="F710">
            <v>1739</v>
          </cell>
          <cell r="G710">
            <v>971</v>
          </cell>
          <cell r="H710">
            <v>698</v>
          </cell>
        </row>
        <row r="711">
          <cell r="A711">
            <v>44069</v>
          </cell>
          <cell r="B711" t="str">
            <v>东部战区-南京-南京四组</v>
          </cell>
          <cell r="C711">
            <v>2610</v>
          </cell>
          <cell r="D711">
            <v>2528</v>
          </cell>
          <cell r="E711">
            <v>2411</v>
          </cell>
          <cell r="F711">
            <v>1402</v>
          </cell>
          <cell r="G711">
            <v>776</v>
          </cell>
          <cell r="H711">
            <v>696</v>
          </cell>
        </row>
        <row r="712">
          <cell r="A712">
            <v>44069</v>
          </cell>
          <cell r="B712" t="str">
            <v>东部战区-南京-南京三组</v>
          </cell>
          <cell r="C712">
            <v>2869</v>
          </cell>
          <cell r="D712">
            <v>2815</v>
          </cell>
          <cell r="E712">
            <v>2713</v>
          </cell>
          <cell r="F712">
            <v>1648</v>
          </cell>
          <cell r="G712">
            <v>829</v>
          </cell>
          <cell r="H712">
            <v>698</v>
          </cell>
        </row>
        <row r="713">
          <cell r="A713">
            <v>44069</v>
          </cell>
          <cell r="B713" t="str">
            <v>东部战区-南京-南京二组</v>
          </cell>
          <cell r="C713">
            <v>2897</v>
          </cell>
          <cell r="D713">
            <v>2795</v>
          </cell>
          <cell r="E713">
            <v>2680</v>
          </cell>
          <cell r="F713">
            <v>1671</v>
          </cell>
          <cell r="G713">
            <v>838</v>
          </cell>
          <cell r="H713">
            <v>698</v>
          </cell>
        </row>
        <row r="714">
          <cell r="A714">
            <v>44069</v>
          </cell>
          <cell r="B714" t="str">
            <v>东部战区-合肥-合肥一组</v>
          </cell>
          <cell r="C714">
            <v>4273</v>
          </cell>
          <cell r="D714">
            <v>4165</v>
          </cell>
          <cell r="E714">
            <v>3968</v>
          </cell>
          <cell r="F714">
            <v>2460</v>
          </cell>
          <cell r="G714">
            <v>1225</v>
          </cell>
          <cell r="H714">
            <v>696</v>
          </cell>
        </row>
        <row r="715">
          <cell r="A715">
            <v>44069</v>
          </cell>
          <cell r="B715" t="str">
            <v>东部战区-合肥-合肥二组</v>
          </cell>
          <cell r="C715">
            <v>998</v>
          </cell>
          <cell r="D715">
            <v>981</v>
          </cell>
          <cell r="E715">
            <v>949</v>
          </cell>
          <cell r="F715">
            <v>595</v>
          </cell>
          <cell r="G715">
            <v>323</v>
          </cell>
          <cell r="H715">
            <v>695</v>
          </cell>
        </row>
        <row r="716">
          <cell r="A716">
            <v>44069</v>
          </cell>
          <cell r="B716" t="str">
            <v>东部战区-杭州-杭州一组</v>
          </cell>
          <cell r="C716">
            <v>5706</v>
          </cell>
          <cell r="D716">
            <v>5483</v>
          </cell>
          <cell r="E716">
            <v>5202</v>
          </cell>
          <cell r="F716">
            <v>3210</v>
          </cell>
          <cell r="G716">
            <v>1527</v>
          </cell>
          <cell r="H716">
            <v>702</v>
          </cell>
        </row>
        <row r="717">
          <cell r="A717">
            <v>44069</v>
          </cell>
          <cell r="B717" t="str">
            <v>东部战区-杭州-杭州三组</v>
          </cell>
          <cell r="C717">
            <v>1773</v>
          </cell>
          <cell r="D717">
            <v>1738</v>
          </cell>
          <cell r="E717">
            <v>1690</v>
          </cell>
          <cell r="F717">
            <v>1017</v>
          </cell>
          <cell r="G717">
            <v>614</v>
          </cell>
          <cell r="H717">
            <v>701</v>
          </cell>
        </row>
        <row r="718">
          <cell r="A718">
            <v>44069</v>
          </cell>
          <cell r="B718" t="str">
            <v>东部战区-杭州-杭州二组</v>
          </cell>
          <cell r="C718">
            <v>4798</v>
          </cell>
          <cell r="D718">
            <v>4684</v>
          </cell>
          <cell r="E718">
            <v>4543</v>
          </cell>
          <cell r="F718">
            <v>2545</v>
          </cell>
          <cell r="G718">
            <v>1483</v>
          </cell>
          <cell r="H718">
            <v>694</v>
          </cell>
        </row>
        <row r="719">
          <cell r="A719">
            <v>44069</v>
          </cell>
          <cell r="B719" t="str">
            <v>北部战区-天津-天津一组</v>
          </cell>
          <cell r="C719">
            <v>1686</v>
          </cell>
          <cell r="D719">
            <v>1667</v>
          </cell>
          <cell r="E719">
            <v>1612</v>
          </cell>
          <cell r="F719">
            <v>903</v>
          </cell>
          <cell r="G719">
            <v>570</v>
          </cell>
          <cell r="H719">
            <v>686</v>
          </cell>
        </row>
        <row r="720">
          <cell r="A720">
            <v>44069</v>
          </cell>
          <cell r="B720" t="str">
            <v>北部战区-北京-北京一组</v>
          </cell>
          <cell r="C720">
            <v>14</v>
          </cell>
          <cell r="D720">
            <v>14</v>
          </cell>
          <cell r="E720">
            <v>14</v>
          </cell>
          <cell r="F720">
            <v>7</v>
          </cell>
          <cell r="G720">
            <v>4</v>
          </cell>
          <cell r="H720">
            <v>667</v>
          </cell>
        </row>
        <row r="721">
          <cell r="A721">
            <v>44069</v>
          </cell>
          <cell r="B721" t="str">
            <v>北部战区-北京-北京四组</v>
          </cell>
          <cell r="C721">
            <v>2088</v>
          </cell>
          <cell r="D721">
            <v>2054</v>
          </cell>
          <cell r="E721">
            <v>2003</v>
          </cell>
          <cell r="F721">
            <v>1214</v>
          </cell>
          <cell r="G721">
            <v>676</v>
          </cell>
          <cell r="H721">
            <v>688</v>
          </cell>
        </row>
        <row r="722">
          <cell r="A722">
            <v>44069</v>
          </cell>
          <cell r="B722" t="str">
            <v>北部战区-北京-北京三组</v>
          </cell>
          <cell r="C722">
            <v>2923</v>
          </cell>
          <cell r="D722">
            <v>2867</v>
          </cell>
          <cell r="E722">
            <v>2749</v>
          </cell>
          <cell r="F722">
            <v>1701</v>
          </cell>
          <cell r="G722">
            <v>847</v>
          </cell>
          <cell r="H722">
            <v>690</v>
          </cell>
        </row>
        <row r="723">
          <cell r="A723">
            <v>44069</v>
          </cell>
          <cell r="B723" t="str">
            <v>北部战区-北京-北京二组</v>
          </cell>
          <cell r="C723">
            <v>207</v>
          </cell>
          <cell r="D723">
            <v>204</v>
          </cell>
          <cell r="E723">
            <v>195</v>
          </cell>
          <cell r="F723">
            <v>121</v>
          </cell>
          <cell r="G723">
            <v>79</v>
          </cell>
          <cell r="H723">
            <v>696</v>
          </cell>
        </row>
        <row r="724">
          <cell r="A724">
            <v>44070</v>
          </cell>
          <cell r="B724" t="str">
            <v>西部战区-重庆-重庆一组</v>
          </cell>
          <cell r="C724">
            <v>1763</v>
          </cell>
          <cell r="D724">
            <v>1727</v>
          </cell>
          <cell r="E724">
            <v>1695</v>
          </cell>
          <cell r="F724">
            <v>1051</v>
          </cell>
          <cell r="G724">
            <v>602</v>
          </cell>
          <cell r="H724">
            <v>691</v>
          </cell>
        </row>
        <row r="725">
          <cell r="A725">
            <v>44070</v>
          </cell>
          <cell r="B725" t="str">
            <v>西部战区-西安-西安一组</v>
          </cell>
          <cell r="C725">
            <v>2969</v>
          </cell>
          <cell r="D725">
            <v>2920</v>
          </cell>
          <cell r="E725">
            <v>2830</v>
          </cell>
          <cell r="F725">
            <v>1732</v>
          </cell>
          <cell r="G725">
            <v>979</v>
          </cell>
          <cell r="H725">
            <v>692</v>
          </cell>
        </row>
        <row r="726">
          <cell r="A726">
            <v>44070</v>
          </cell>
          <cell r="B726" t="str">
            <v>西部战区-武汉-武汉一组</v>
          </cell>
          <cell r="C726">
            <v>5244</v>
          </cell>
          <cell r="D726">
            <v>5129</v>
          </cell>
          <cell r="E726">
            <v>4935</v>
          </cell>
          <cell r="F726">
            <v>3160</v>
          </cell>
          <cell r="G726">
            <v>1607</v>
          </cell>
          <cell r="H726">
            <v>701</v>
          </cell>
        </row>
        <row r="727">
          <cell r="A727">
            <v>44070</v>
          </cell>
          <cell r="B727" t="str">
            <v>西部战区-成都-成都一组</v>
          </cell>
          <cell r="C727">
            <v>3078</v>
          </cell>
          <cell r="D727">
            <v>3002</v>
          </cell>
          <cell r="E727">
            <v>2893</v>
          </cell>
          <cell r="F727">
            <v>1861</v>
          </cell>
          <cell r="G727">
            <v>1036</v>
          </cell>
          <cell r="H727">
            <v>690</v>
          </cell>
        </row>
        <row r="728">
          <cell r="A728">
            <v>44070</v>
          </cell>
          <cell r="B728" t="str">
            <v>西部战区-成都-成都二组</v>
          </cell>
          <cell r="C728">
            <v>672</v>
          </cell>
          <cell r="D728">
            <v>662</v>
          </cell>
          <cell r="E728">
            <v>643</v>
          </cell>
          <cell r="F728">
            <v>443</v>
          </cell>
          <cell r="G728">
            <v>209</v>
          </cell>
          <cell r="H728">
            <v>692</v>
          </cell>
        </row>
        <row r="729">
          <cell r="A729">
            <v>44070</v>
          </cell>
          <cell r="B729" t="str">
            <v>南部战区-深圳-深圳一组</v>
          </cell>
          <cell r="C729">
            <v>3823</v>
          </cell>
          <cell r="D729">
            <v>3708</v>
          </cell>
          <cell r="E729">
            <v>3535</v>
          </cell>
          <cell r="F729">
            <v>2103</v>
          </cell>
          <cell r="G729">
            <v>1122</v>
          </cell>
          <cell r="H729">
            <v>689</v>
          </cell>
        </row>
        <row r="730">
          <cell r="A730">
            <v>44070</v>
          </cell>
          <cell r="B730" t="str">
            <v>南部战区-广州-广州一组</v>
          </cell>
          <cell r="C730">
            <v>7503</v>
          </cell>
          <cell r="D730">
            <v>7322</v>
          </cell>
          <cell r="E730">
            <v>7026</v>
          </cell>
          <cell r="F730">
            <v>4356</v>
          </cell>
          <cell r="G730">
            <v>2396</v>
          </cell>
          <cell r="H730">
            <v>688</v>
          </cell>
        </row>
        <row r="731">
          <cell r="A731">
            <v>44070</v>
          </cell>
          <cell r="B731" t="str">
            <v>南部战区-广州-广州三组</v>
          </cell>
          <cell r="C731">
            <v>3843</v>
          </cell>
          <cell r="D731">
            <v>3731</v>
          </cell>
          <cell r="E731">
            <v>3538</v>
          </cell>
          <cell r="F731">
            <v>2120</v>
          </cell>
          <cell r="G731">
            <v>1235</v>
          </cell>
          <cell r="H731">
            <v>689</v>
          </cell>
        </row>
        <row r="732">
          <cell r="A732">
            <v>44070</v>
          </cell>
          <cell r="B732" t="str">
            <v>南部战区-广州-广州二组</v>
          </cell>
          <cell r="C732">
            <v>4769</v>
          </cell>
          <cell r="D732">
            <v>4672</v>
          </cell>
          <cell r="E732">
            <v>4468</v>
          </cell>
          <cell r="F732">
            <v>2745</v>
          </cell>
          <cell r="G732">
            <v>1595</v>
          </cell>
          <cell r="H732">
            <v>691</v>
          </cell>
        </row>
        <row r="733">
          <cell r="A733">
            <v>44070</v>
          </cell>
          <cell r="B733" t="str">
            <v>东部战区-苏州-苏州一组</v>
          </cell>
          <cell r="C733">
            <v>5872</v>
          </cell>
          <cell r="D733">
            <v>5647</v>
          </cell>
          <cell r="E733">
            <v>5382</v>
          </cell>
          <cell r="F733">
            <v>3301</v>
          </cell>
          <cell r="G733">
            <v>1710</v>
          </cell>
          <cell r="H733">
            <v>694</v>
          </cell>
        </row>
        <row r="734">
          <cell r="A734">
            <v>44070</v>
          </cell>
          <cell r="B734" t="str">
            <v>东部战区-苏州-苏州三组</v>
          </cell>
          <cell r="C734">
            <v>483</v>
          </cell>
          <cell r="D734">
            <v>473</v>
          </cell>
          <cell r="E734">
            <v>445</v>
          </cell>
          <cell r="F734">
            <v>241</v>
          </cell>
          <cell r="G734">
            <v>152</v>
          </cell>
          <cell r="H734">
            <v>692</v>
          </cell>
        </row>
        <row r="735">
          <cell r="A735">
            <v>44070</v>
          </cell>
          <cell r="B735" t="str">
            <v>东部战区-苏州-苏州二组</v>
          </cell>
          <cell r="C735">
            <v>6344</v>
          </cell>
          <cell r="D735">
            <v>6085</v>
          </cell>
          <cell r="E735">
            <v>5799</v>
          </cell>
          <cell r="F735">
            <v>3345</v>
          </cell>
          <cell r="G735">
            <v>1833</v>
          </cell>
          <cell r="H735">
            <v>695</v>
          </cell>
        </row>
        <row r="736">
          <cell r="A736">
            <v>44070</v>
          </cell>
          <cell r="B736" t="str">
            <v>东部战区-上海-上海一组</v>
          </cell>
          <cell r="C736">
            <v>6583</v>
          </cell>
          <cell r="D736">
            <v>6381</v>
          </cell>
          <cell r="E736">
            <v>6141</v>
          </cell>
          <cell r="F736">
            <v>3707</v>
          </cell>
          <cell r="G736">
            <v>2105</v>
          </cell>
          <cell r="H736">
            <v>695</v>
          </cell>
        </row>
        <row r="737">
          <cell r="A737">
            <v>44070</v>
          </cell>
          <cell r="B737" t="str">
            <v>东部战区-上海-上海三组</v>
          </cell>
          <cell r="C737">
            <v>2925</v>
          </cell>
          <cell r="D737">
            <v>2858</v>
          </cell>
          <cell r="E737">
            <v>2747</v>
          </cell>
          <cell r="F737">
            <v>1612</v>
          </cell>
          <cell r="G737">
            <v>968</v>
          </cell>
          <cell r="H737">
            <v>696</v>
          </cell>
        </row>
        <row r="738">
          <cell r="A738">
            <v>44070</v>
          </cell>
          <cell r="B738" t="str">
            <v>东部战区-上海-上海二组</v>
          </cell>
          <cell r="C738">
            <v>2679</v>
          </cell>
          <cell r="D738">
            <v>2638</v>
          </cell>
          <cell r="E738">
            <v>2529</v>
          </cell>
          <cell r="F738">
            <v>1522</v>
          </cell>
          <cell r="G738">
            <v>813</v>
          </cell>
          <cell r="H738">
            <v>690</v>
          </cell>
        </row>
        <row r="739">
          <cell r="A739">
            <v>44070</v>
          </cell>
          <cell r="B739" t="str">
            <v>东部战区-南京-南京一组</v>
          </cell>
          <cell r="C739">
            <v>3970</v>
          </cell>
          <cell r="D739">
            <v>3887</v>
          </cell>
          <cell r="E739">
            <v>3751</v>
          </cell>
          <cell r="F739">
            <v>2153</v>
          </cell>
          <cell r="G739">
            <v>1206</v>
          </cell>
          <cell r="H739">
            <v>697</v>
          </cell>
        </row>
        <row r="740">
          <cell r="A740">
            <v>44070</v>
          </cell>
          <cell r="B740" t="str">
            <v>东部战区-南京-南京四组</v>
          </cell>
          <cell r="C740">
            <v>2610</v>
          </cell>
          <cell r="D740">
            <v>2528</v>
          </cell>
          <cell r="E740">
            <v>2411</v>
          </cell>
          <cell r="F740">
            <v>1402</v>
          </cell>
          <cell r="G740">
            <v>776</v>
          </cell>
          <cell r="H740">
            <v>696</v>
          </cell>
        </row>
        <row r="741">
          <cell r="A741">
            <v>44070</v>
          </cell>
          <cell r="B741" t="str">
            <v>东部战区-南京-南京三组</v>
          </cell>
          <cell r="C741">
            <v>2869</v>
          </cell>
          <cell r="D741">
            <v>2815</v>
          </cell>
          <cell r="E741">
            <v>2713</v>
          </cell>
          <cell r="F741">
            <v>1648</v>
          </cell>
          <cell r="G741">
            <v>829</v>
          </cell>
          <cell r="H741">
            <v>698</v>
          </cell>
        </row>
        <row r="742">
          <cell r="A742">
            <v>44070</v>
          </cell>
          <cell r="B742" t="str">
            <v>东部战区-南京-南京二组</v>
          </cell>
          <cell r="C742">
            <v>2335</v>
          </cell>
          <cell r="D742">
            <v>2261</v>
          </cell>
          <cell r="E742">
            <v>2171</v>
          </cell>
          <cell r="F742">
            <v>1353</v>
          </cell>
          <cell r="G742">
            <v>722</v>
          </cell>
          <cell r="H742">
            <v>698</v>
          </cell>
        </row>
        <row r="743">
          <cell r="A743">
            <v>44070</v>
          </cell>
          <cell r="B743" t="str">
            <v>东部战区-合肥-合肥一组</v>
          </cell>
          <cell r="C743">
            <v>5329</v>
          </cell>
          <cell r="D743">
            <v>5195</v>
          </cell>
          <cell r="E743">
            <v>4953</v>
          </cell>
          <cell r="F743">
            <v>3105</v>
          </cell>
          <cell r="G743">
            <v>1523</v>
          </cell>
          <cell r="H743">
            <v>696</v>
          </cell>
        </row>
        <row r="744">
          <cell r="A744">
            <v>44070</v>
          </cell>
          <cell r="B744" t="str">
            <v>东部战区-合肥-合肥二组</v>
          </cell>
          <cell r="C744">
            <v>1078</v>
          </cell>
          <cell r="D744">
            <v>1058</v>
          </cell>
          <cell r="E744">
            <v>1019</v>
          </cell>
          <cell r="F744">
            <v>634</v>
          </cell>
          <cell r="G744">
            <v>345</v>
          </cell>
          <cell r="H744">
            <v>695</v>
          </cell>
        </row>
        <row r="745">
          <cell r="A745">
            <v>44070</v>
          </cell>
          <cell r="B745" t="str">
            <v>东部战区-杭州-杭州一组</v>
          </cell>
          <cell r="C745">
            <v>5529</v>
          </cell>
          <cell r="D745">
            <v>5318</v>
          </cell>
          <cell r="E745">
            <v>5039</v>
          </cell>
          <cell r="F745">
            <v>3103</v>
          </cell>
          <cell r="G745">
            <v>1495</v>
          </cell>
          <cell r="H745">
            <v>701</v>
          </cell>
        </row>
        <row r="746">
          <cell r="A746">
            <v>44070</v>
          </cell>
          <cell r="B746" t="str">
            <v>东部战区-杭州-杭州三组</v>
          </cell>
          <cell r="C746">
            <v>1773</v>
          </cell>
          <cell r="D746">
            <v>1738</v>
          </cell>
          <cell r="E746">
            <v>1690</v>
          </cell>
          <cell r="F746">
            <v>1017</v>
          </cell>
          <cell r="G746">
            <v>614</v>
          </cell>
          <cell r="H746">
            <v>701</v>
          </cell>
        </row>
        <row r="747">
          <cell r="A747">
            <v>44070</v>
          </cell>
          <cell r="B747" t="str">
            <v>东部战区-杭州-杭州二组</v>
          </cell>
          <cell r="C747">
            <v>5340</v>
          </cell>
          <cell r="D747">
            <v>5200</v>
          </cell>
          <cell r="E747">
            <v>5027</v>
          </cell>
          <cell r="F747">
            <v>2867</v>
          </cell>
          <cell r="G747">
            <v>1607</v>
          </cell>
          <cell r="H747">
            <v>694</v>
          </cell>
        </row>
        <row r="748">
          <cell r="A748">
            <v>44070</v>
          </cell>
          <cell r="B748" t="str">
            <v>北部战区-天津-天津一组</v>
          </cell>
          <cell r="C748">
            <v>1921</v>
          </cell>
          <cell r="D748">
            <v>1900</v>
          </cell>
          <cell r="E748">
            <v>1840</v>
          </cell>
          <cell r="F748">
            <v>1061</v>
          </cell>
          <cell r="G748">
            <v>693</v>
          </cell>
          <cell r="H748">
            <v>686</v>
          </cell>
        </row>
        <row r="749">
          <cell r="A749">
            <v>44070</v>
          </cell>
          <cell r="B749" t="str">
            <v>北部战区-北京-北京一组</v>
          </cell>
          <cell r="C749">
            <v>95</v>
          </cell>
          <cell r="D749">
            <v>91</v>
          </cell>
          <cell r="E749">
            <v>85</v>
          </cell>
          <cell r="F749">
            <v>45</v>
          </cell>
          <cell r="G749">
            <v>25</v>
          </cell>
          <cell r="H749">
            <v>686</v>
          </cell>
        </row>
        <row r="750">
          <cell r="A750">
            <v>44070</v>
          </cell>
          <cell r="B750" t="str">
            <v>北部战区-北京-北京四组</v>
          </cell>
          <cell r="C750">
            <v>2555</v>
          </cell>
          <cell r="D750">
            <v>2517</v>
          </cell>
          <cell r="E750">
            <v>2444</v>
          </cell>
          <cell r="F750">
            <v>1485</v>
          </cell>
          <cell r="G750">
            <v>830</v>
          </cell>
          <cell r="H750">
            <v>689</v>
          </cell>
        </row>
        <row r="751">
          <cell r="A751">
            <v>44070</v>
          </cell>
          <cell r="B751" t="str">
            <v>北部战区-北京-北京三组</v>
          </cell>
          <cell r="C751">
            <v>2821</v>
          </cell>
          <cell r="D751">
            <v>2765</v>
          </cell>
          <cell r="E751">
            <v>2652</v>
          </cell>
          <cell r="F751">
            <v>1645</v>
          </cell>
          <cell r="G751">
            <v>826</v>
          </cell>
          <cell r="H751">
            <v>690</v>
          </cell>
        </row>
        <row r="752">
          <cell r="A752">
            <v>44070</v>
          </cell>
          <cell r="B752" t="str">
            <v>北部战区-北京-北京二组</v>
          </cell>
          <cell r="C752">
            <v>207</v>
          </cell>
          <cell r="D752">
            <v>204</v>
          </cell>
          <cell r="E752">
            <v>195</v>
          </cell>
          <cell r="F752">
            <v>121</v>
          </cell>
          <cell r="G752">
            <v>79</v>
          </cell>
          <cell r="H752">
            <v>696</v>
          </cell>
        </row>
        <row r="753">
          <cell r="A753">
            <v>44071</v>
          </cell>
          <cell r="B753" t="str">
            <v>西部战区-重庆-重庆一组</v>
          </cell>
          <cell r="C753">
            <v>2583</v>
          </cell>
          <cell r="D753">
            <v>2540</v>
          </cell>
          <cell r="E753">
            <v>2470</v>
          </cell>
          <cell r="F753">
            <v>1542</v>
          </cell>
          <cell r="G753">
            <v>855</v>
          </cell>
          <cell r="H753">
            <v>690</v>
          </cell>
        </row>
        <row r="754">
          <cell r="A754">
            <v>44071</v>
          </cell>
          <cell r="B754" t="str">
            <v>西部战区-西安-西安一组</v>
          </cell>
          <cell r="C754">
            <v>3717</v>
          </cell>
          <cell r="D754">
            <v>3652</v>
          </cell>
          <cell r="E754">
            <v>3534</v>
          </cell>
          <cell r="F754">
            <v>2135</v>
          </cell>
          <cell r="G754">
            <v>1196</v>
          </cell>
          <cell r="H754">
            <v>691</v>
          </cell>
        </row>
        <row r="755">
          <cell r="A755">
            <v>44071</v>
          </cell>
          <cell r="B755" t="str">
            <v>西部战区-武汉-武汉一组</v>
          </cell>
          <cell r="C755">
            <v>3363</v>
          </cell>
          <cell r="D755">
            <v>3303</v>
          </cell>
          <cell r="E755">
            <v>3178</v>
          </cell>
          <cell r="F755">
            <v>1994</v>
          </cell>
          <cell r="G755">
            <v>1080</v>
          </cell>
          <cell r="H755">
            <v>700</v>
          </cell>
        </row>
        <row r="756">
          <cell r="A756">
            <v>44071</v>
          </cell>
          <cell r="B756" t="str">
            <v>西部战区-成都-成都一组</v>
          </cell>
          <cell r="C756">
            <v>2281</v>
          </cell>
          <cell r="D756">
            <v>2226</v>
          </cell>
          <cell r="E756">
            <v>2147</v>
          </cell>
          <cell r="F756">
            <v>1395</v>
          </cell>
          <cell r="G756">
            <v>803</v>
          </cell>
          <cell r="H756">
            <v>692</v>
          </cell>
        </row>
        <row r="757">
          <cell r="A757">
            <v>44071</v>
          </cell>
          <cell r="B757" t="str">
            <v>西部战区-成都-成都二组</v>
          </cell>
          <cell r="C757">
            <v>672</v>
          </cell>
          <cell r="D757">
            <v>662</v>
          </cell>
          <cell r="E757">
            <v>643</v>
          </cell>
          <cell r="F757">
            <v>443</v>
          </cell>
          <cell r="G757">
            <v>209</v>
          </cell>
          <cell r="H757">
            <v>692</v>
          </cell>
        </row>
        <row r="758">
          <cell r="A758">
            <v>44071</v>
          </cell>
          <cell r="B758" t="str">
            <v>南部战区-深圳-深圳一组</v>
          </cell>
          <cell r="C758">
            <v>3823</v>
          </cell>
          <cell r="D758">
            <v>3708</v>
          </cell>
          <cell r="E758">
            <v>3535</v>
          </cell>
          <cell r="F758">
            <v>2103</v>
          </cell>
          <cell r="G758">
            <v>1122</v>
          </cell>
          <cell r="H758">
            <v>689</v>
          </cell>
        </row>
        <row r="759">
          <cell r="A759">
            <v>44071</v>
          </cell>
          <cell r="B759" t="str">
            <v>南部战区-广州-广州一组</v>
          </cell>
          <cell r="C759">
            <v>7186</v>
          </cell>
          <cell r="D759">
            <v>7024</v>
          </cell>
          <cell r="E759">
            <v>6744</v>
          </cell>
          <cell r="F759">
            <v>4132</v>
          </cell>
          <cell r="G759">
            <v>2324</v>
          </cell>
          <cell r="H759">
            <v>688</v>
          </cell>
        </row>
        <row r="760">
          <cell r="A760">
            <v>44071</v>
          </cell>
          <cell r="B760" t="str">
            <v>南部战区-广州-广州三组</v>
          </cell>
          <cell r="C760">
            <v>3843</v>
          </cell>
          <cell r="D760">
            <v>3731</v>
          </cell>
          <cell r="E760">
            <v>3538</v>
          </cell>
          <cell r="F760">
            <v>2120</v>
          </cell>
          <cell r="G760">
            <v>1235</v>
          </cell>
          <cell r="H760">
            <v>689</v>
          </cell>
        </row>
        <row r="761">
          <cell r="A761">
            <v>44071</v>
          </cell>
          <cell r="B761" t="str">
            <v>南部战区-广州-广州二组</v>
          </cell>
          <cell r="C761">
            <v>4769</v>
          </cell>
          <cell r="D761">
            <v>4672</v>
          </cell>
          <cell r="E761">
            <v>4468</v>
          </cell>
          <cell r="F761">
            <v>2745</v>
          </cell>
          <cell r="G761">
            <v>1595</v>
          </cell>
          <cell r="H761">
            <v>691</v>
          </cell>
        </row>
        <row r="762">
          <cell r="A762">
            <v>44071</v>
          </cell>
          <cell r="B762" t="str">
            <v>东部战区-苏州-苏州一组</v>
          </cell>
          <cell r="C762">
            <v>6604</v>
          </cell>
          <cell r="D762">
            <v>6366</v>
          </cell>
          <cell r="E762">
            <v>6050</v>
          </cell>
          <cell r="F762">
            <v>3658</v>
          </cell>
          <cell r="G762">
            <v>1884</v>
          </cell>
          <cell r="H762">
            <v>695</v>
          </cell>
        </row>
        <row r="763">
          <cell r="A763">
            <v>44071</v>
          </cell>
          <cell r="B763" t="str">
            <v>东部战区-苏州-苏州二组</v>
          </cell>
          <cell r="C763">
            <v>5741</v>
          </cell>
          <cell r="D763">
            <v>5533</v>
          </cell>
          <cell r="E763">
            <v>5272</v>
          </cell>
          <cell r="F763">
            <v>3044</v>
          </cell>
          <cell r="G763">
            <v>1722</v>
          </cell>
          <cell r="H763">
            <v>695</v>
          </cell>
        </row>
        <row r="764">
          <cell r="A764">
            <v>44071</v>
          </cell>
          <cell r="B764" t="str">
            <v>东部战区-上海-上海一组</v>
          </cell>
          <cell r="C764">
            <v>5142</v>
          </cell>
          <cell r="D764">
            <v>4962</v>
          </cell>
          <cell r="E764">
            <v>4756</v>
          </cell>
          <cell r="F764">
            <v>2860</v>
          </cell>
          <cell r="G764">
            <v>1612</v>
          </cell>
          <cell r="H764">
            <v>695</v>
          </cell>
        </row>
        <row r="765">
          <cell r="A765">
            <v>44071</v>
          </cell>
          <cell r="B765" t="str">
            <v>东部战区-上海-上海三组</v>
          </cell>
          <cell r="C765">
            <v>2504</v>
          </cell>
          <cell r="D765">
            <v>2425</v>
          </cell>
          <cell r="E765">
            <v>2335</v>
          </cell>
          <cell r="F765">
            <v>1432</v>
          </cell>
          <cell r="G765">
            <v>900</v>
          </cell>
          <cell r="H765">
            <v>699</v>
          </cell>
        </row>
        <row r="766">
          <cell r="A766">
            <v>44071</v>
          </cell>
          <cell r="B766" t="str">
            <v>东部战区-上海-上海二组</v>
          </cell>
          <cell r="C766">
            <v>2748</v>
          </cell>
          <cell r="D766">
            <v>2703</v>
          </cell>
          <cell r="E766">
            <v>2586</v>
          </cell>
          <cell r="F766">
            <v>1549</v>
          </cell>
          <cell r="G766">
            <v>838</v>
          </cell>
          <cell r="H766">
            <v>691</v>
          </cell>
        </row>
        <row r="767">
          <cell r="A767">
            <v>44071</v>
          </cell>
          <cell r="B767" t="str">
            <v>东部战区-南京-南京一组</v>
          </cell>
          <cell r="C767">
            <v>2956</v>
          </cell>
          <cell r="D767">
            <v>2895</v>
          </cell>
          <cell r="E767">
            <v>2809</v>
          </cell>
          <cell r="F767">
            <v>1610</v>
          </cell>
          <cell r="G767">
            <v>931</v>
          </cell>
          <cell r="H767">
            <v>696</v>
          </cell>
        </row>
        <row r="768">
          <cell r="A768">
            <v>44071</v>
          </cell>
          <cell r="B768" t="str">
            <v>东部战区-南京-南京四组</v>
          </cell>
          <cell r="C768">
            <v>2610</v>
          </cell>
          <cell r="D768">
            <v>2528</v>
          </cell>
          <cell r="E768">
            <v>2411</v>
          </cell>
          <cell r="F768">
            <v>1402</v>
          </cell>
          <cell r="G768">
            <v>776</v>
          </cell>
          <cell r="H768">
            <v>696</v>
          </cell>
        </row>
        <row r="769">
          <cell r="A769">
            <v>44071</v>
          </cell>
          <cell r="B769" t="str">
            <v>东部战区-南京-南京三组</v>
          </cell>
          <cell r="C769">
            <v>2844</v>
          </cell>
          <cell r="D769">
            <v>2795</v>
          </cell>
          <cell r="E769">
            <v>2686</v>
          </cell>
          <cell r="F769">
            <v>1622</v>
          </cell>
          <cell r="G769">
            <v>805</v>
          </cell>
          <cell r="H769">
            <v>697</v>
          </cell>
        </row>
        <row r="770">
          <cell r="A770">
            <v>44071</v>
          </cell>
          <cell r="B770" t="str">
            <v>东部战区-南京-南京二组</v>
          </cell>
          <cell r="C770">
            <v>2230</v>
          </cell>
          <cell r="D770">
            <v>2157</v>
          </cell>
          <cell r="E770">
            <v>2063</v>
          </cell>
          <cell r="F770">
            <v>1288</v>
          </cell>
          <cell r="G770">
            <v>634</v>
          </cell>
          <cell r="H770">
            <v>698</v>
          </cell>
        </row>
        <row r="771">
          <cell r="A771">
            <v>44071</v>
          </cell>
          <cell r="B771" t="str">
            <v>东部战区-合肥-合肥一组</v>
          </cell>
          <cell r="C771">
            <v>5863</v>
          </cell>
          <cell r="D771">
            <v>5718</v>
          </cell>
          <cell r="E771">
            <v>5444</v>
          </cell>
          <cell r="F771">
            <v>3374</v>
          </cell>
          <cell r="G771">
            <v>1614</v>
          </cell>
          <cell r="H771">
            <v>695</v>
          </cell>
        </row>
        <row r="772">
          <cell r="A772">
            <v>44071</v>
          </cell>
          <cell r="B772" t="str">
            <v>东部战区-合肥-合肥二组</v>
          </cell>
          <cell r="C772">
            <v>1475</v>
          </cell>
          <cell r="D772">
            <v>1446</v>
          </cell>
          <cell r="E772">
            <v>1374</v>
          </cell>
          <cell r="F772">
            <v>875</v>
          </cell>
          <cell r="G772">
            <v>445</v>
          </cell>
          <cell r="H772">
            <v>696</v>
          </cell>
        </row>
        <row r="773">
          <cell r="A773">
            <v>44071</v>
          </cell>
          <cell r="B773" t="str">
            <v>东部战区-杭州-杭州一组</v>
          </cell>
          <cell r="C773">
            <v>6772</v>
          </cell>
          <cell r="D773">
            <v>6512</v>
          </cell>
          <cell r="E773">
            <v>6162</v>
          </cell>
          <cell r="F773">
            <v>3815</v>
          </cell>
          <cell r="G773">
            <v>1800</v>
          </cell>
          <cell r="H773">
            <v>702</v>
          </cell>
        </row>
        <row r="774">
          <cell r="A774">
            <v>44071</v>
          </cell>
          <cell r="B774" t="str">
            <v>东部战区-杭州-杭州三组</v>
          </cell>
          <cell r="C774">
            <v>1773</v>
          </cell>
          <cell r="D774">
            <v>1738</v>
          </cell>
          <cell r="E774">
            <v>1690</v>
          </cell>
          <cell r="F774">
            <v>1017</v>
          </cell>
          <cell r="G774">
            <v>614</v>
          </cell>
          <cell r="H774">
            <v>701</v>
          </cell>
        </row>
        <row r="775">
          <cell r="A775">
            <v>44071</v>
          </cell>
          <cell r="B775" t="str">
            <v>东部战区-杭州-杭州二组</v>
          </cell>
          <cell r="C775">
            <v>4385</v>
          </cell>
          <cell r="D775">
            <v>4267</v>
          </cell>
          <cell r="E775">
            <v>4125</v>
          </cell>
          <cell r="F775">
            <v>2334</v>
          </cell>
          <cell r="G775">
            <v>1312</v>
          </cell>
          <cell r="H775">
            <v>695</v>
          </cell>
        </row>
        <row r="776">
          <cell r="A776">
            <v>44071</v>
          </cell>
          <cell r="B776" t="str">
            <v>北部战区-天津-天津一组</v>
          </cell>
          <cell r="C776">
            <v>1662</v>
          </cell>
          <cell r="D776">
            <v>1645</v>
          </cell>
          <cell r="E776">
            <v>1596</v>
          </cell>
          <cell r="F776">
            <v>896</v>
          </cell>
          <cell r="G776">
            <v>587</v>
          </cell>
          <cell r="H776">
            <v>685</v>
          </cell>
        </row>
        <row r="777">
          <cell r="A777">
            <v>44071</v>
          </cell>
          <cell r="B777" t="str">
            <v>北部战区-北京-北京一组</v>
          </cell>
          <cell r="C777">
            <v>132</v>
          </cell>
          <cell r="D777">
            <v>126</v>
          </cell>
          <cell r="E777">
            <v>117</v>
          </cell>
          <cell r="F777">
            <v>64</v>
          </cell>
          <cell r="G777">
            <v>33</v>
          </cell>
          <cell r="H777">
            <v>689</v>
          </cell>
        </row>
        <row r="778">
          <cell r="A778">
            <v>44071</v>
          </cell>
          <cell r="B778" t="str">
            <v>北部战区-北京-北京四组</v>
          </cell>
          <cell r="C778">
            <v>2555</v>
          </cell>
          <cell r="D778">
            <v>2517</v>
          </cell>
          <cell r="E778">
            <v>2444</v>
          </cell>
          <cell r="F778">
            <v>1485</v>
          </cell>
          <cell r="G778">
            <v>830</v>
          </cell>
          <cell r="H778">
            <v>689</v>
          </cell>
        </row>
        <row r="779">
          <cell r="A779">
            <v>44071</v>
          </cell>
          <cell r="B779" t="str">
            <v>北部战区-北京-北京三组</v>
          </cell>
          <cell r="C779">
            <v>2349</v>
          </cell>
          <cell r="D779">
            <v>2296</v>
          </cell>
          <cell r="E779">
            <v>2197</v>
          </cell>
          <cell r="F779">
            <v>1391</v>
          </cell>
          <cell r="G779">
            <v>705</v>
          </cell>
          <cell r="H779">
            <v>689</v>
          </cell>
        </row>
        <row r="780">
          <cell r="A780">
            <v>44071</v>
          </cell>
          <cell r="B780" t="str">
            <v>北部战区-北京-北京二组</v>
          </cell>
          <cell r="C780">
            <v>207</v>
          </cell>
          <cell r="D780">
            <v>204</v>
          </cell>
          <cell r="E780">
            <v>195</v>
          </cell>
          <cell r="F780">
            <v>121</v>
          </cell>
          <cell r="G780">
            <v>79</v>
          </cell>
          <cell r="H780">
            <v>696</v>
          </cell>
        </row>
        <row r="781">
          <cell r="A781">
            <v>44072</v>
          </cell>
          <cell r="B781" t="str">
            <v>西部战区-重庆-重庆一组</v>
          </cell>
          <cell r="C781">
            <v>2583</v>
          </cell>
          <cell r="D781">
            <v>2540</v>
          </cell>
          <cell r="E781">
            <v>2470</v>
          </cell>
          <cell r="F781">
            <v>1542</v>
          </cell>
          <cell r="G781">
            <v>855</v>
          </cell>
          <cell r="H781">
            <v>690</v>
          </cell>
        </row>
        <row r="782">
          <cell r="A782">
            <v>44072</v>
          </cell>
          <cell r="B782" t="str">
            <v>西部战区-西安-西安一组</v>
          </cell>
          <cell r="C782">
            <v>3717</v>
          </cell>
          <cell r="D782">
            <v>3652</v>
          </cell>
          <cell r="E782">
            <v>3534</v>
          </cell>
          <cell r="F782">
            <v>2135</v>
          </cell>
          <cell r="G782">
            <v>1196</v>
          </cell>
          <cell r="H782">
            <v>691</v>
          </cell>
        </row>
        <row r="783">
          <cell r="A783">
            <v>44072</v>
          </cell>
          <cell r="B783" t="str">
            <v>西部战区-武汉-武汉一组</v>
          </cell>
          <cell r="C783">
            <v>5244</v>
          </cell>
          <cell r="D783">
            <v>5129</v>
          </cell>
          <cell r="E783">
            <v>4935</v>
          </cell>
          <cell r="F783">
            <v>3160</v>
          </cell>
          <cell r="G783">
            <v>1607</v>
          </cell>
          <cell r="H783">
            <v>701</v>
          </cell>
        </row>
        <row r="784">
          <cell r="A784">
            <v>44072</v>
          </cell>
          <cell r="B784" t="str">
            <v>西部战区-成都-成都一组</v>
          </cell>
          <cell r="C784">
            <v>2845</v>
          </cell>
          <cell r="D784">
            <v>2773</v>
          </cell>
          <cell r="E784">
            <v>2675</v>
          </cell>
          <cell r="F784">
            <v>1720</v>
          </cell>
          <cell r="G784">
            <v>949</v>
          </cell>
          <cell r="H784">
            <v>691</v>
          </cell>
        </row>
        <row r="785">
          <cell r="A785">
            <v>44072</v>
          </cell>
          <cell r="B785" t="str">
            <v>西部战区-成都-成都二组</v>
          </cell>
          <cell r="C785">
            <v>672</v>
          </cell>
          <cell r="D785">
            <v>662</v>
          </cell>
          <cell r="E785">
            <v>643</v>
          </cell>
          <cell r="F785">
            <v>443</v>
          </cell>
          <cell r="G785">
            <v>209</v>
          </cell>
          <cell r="H785">
            <v>692</v>
          </cell>
        </row>
        <row r="786">
          <cell r="A786">
            <v>44072</v>
          </cell>
          <cell r="B786" t="str">
            <v>南部战区-深圳-深圳一组</v>
          </cell>
          <cell r="C786">
            <v>3823</v>
          </cell>
          <cell r="D786">
            <v>3708</v>
          </cell>
          <cell r="E786">
            <v>3535</v>
          </cell>
          <cell r="F786">
            <v>2103</v>
          </cell>
          <cell r="G786">
            <v>1122</v>
          </cell>
          <cell r="H786">
            <v>689</v>
          </cell>
        </row>
        <row r="787">
          <cell r="A787">
            <v>44072</v>
          </cell>
          <cell r="B787" t="str">
            <v>南部战区-广州-广州一组</v>
          </cell>
          <cell r="C787">
            <v>7251</v>
          </cell>
          <cell r="D787">
            <v>7075</v>
          </cell>
          <cell r="E787">
            <v>6790</v>
          </cell>
          <cell r="F787">
            <v>4184</v>
          </cell>
          <cell r="G787">
            <v>2311</v>
          </cell>
          <cell r="H787">
            <v>688</v>
          </cell>
        </row>
        <row r="788">
          <cell r="A788">
            <v>44072</v>
          </cell>
          <cell r="B788" t="str">
            <v>南部战区-广州-广州三组</v>
          </cell>
          <cell r="C788">
            <v>3843</v>
          </cell>
          <cell r="D788">
            <v>3731</v>
          </cell>
          <cell r="E788">
            <v>3538</v>
          </cell>
          <cell r="F788">
            <v>2120</v>
          </cell>
          <cell r="G788">
            <v>1235</v>
          </cell>
          <cell r="H788">
            <v>689</v>
          </cell>
        </row>
        <row r="789">
          <cell r="A789">
            <v>44072</v>
          </cell>
          <cell r="B789" t="str">
            <v>南部战区-广州-广州二组</v>
          </cell>
          <cell r="C789">
            <v>4769</v>
          </cell>
          <cell r="D789">
            <v>4672</v>
          </cell>
          <cell r="E789">
            <v>4468</v>
          </cell>
          <cell r="F789">
            <v>2745</v>
          </cell>
          <cell r="G789">
            <v>1595</v>
          </cell>
          <cell r="H789">
            <v>691</v>
          </cell>
        </row>
        <row r="790">
          <cell r="A790">
            <v>44072</v>
          </cell>
          <cell r="B790" t="str">
            <v>东部战区-苏州-苏州一组</v>
          </cell>
          <cell r="C790">
            <v>6567</v>
          </cell>
          <cell r="D790">
            <v>6332</v>
          </cell>
          <cell r="E790">
            <v>6025</v>
          </cell>
          <cell r="F790">
            <v>3651</v>
          </cell>
          <cell r="G790">
            <v>1881</v>
          </cell>
          <cell r="H790">
            <v>694</v>
          </cell>
        </row>
        <row r="791">
          <cell r="A791">
            <v>44072</v>
          </cell>
          <cell r="B791" t="str">
            <v>东部战区-苏州-苏州三组</v>
          </cell>
          <cell r="C791">
            <v>179</v>
          </cell>
          <cell r="D791">
            <v>176</v>
          </cell>
          <cell r="E791">
            <v>172</v>
          </cell>
          <cell r="F791">
            <v>104</v>
          </cell>
          <cell r="G791">
            <v>76</v>
          </cell>
          <cell r="H791">
            <v>694</v>
          </cell>
        </row>
        <row r="792">
          <cell r="A792">
            <v>44072</v>
          </cell>
          <cell r="B792" t="str">
            <v>东部战区-苏州-苏州二组</v>
          </cell>
          <cell r="C792">
            <v>7361</v>
          </cell>
          <cell r="D792">
            <v>7068</v>
          </cell>
          <cell r="E792">
            <v>6722</v>
          </cell>
          <cell r="F792">
            <v>3898</v>
          </cell>
          <cell r="G792">
            <v>2126</v>
          </cell>
          <cell r="H792">
            <v>696</v>
          </cell>
        </row>
        <row r="793">
          <cell r="A793">
            <v>44072</v>
          </cell>
          <cell r="B793" t="str">
            <v>东部战区-上海-上海一组</v>
          </cell>
          <cell r="C793">
            <v>5142</v>
          </cell>
          <cell r="D793">
            <v>4962</v>
          </cell>
          <cell r="E793">
            <v>4756</v>
          </cell>
          <cell r="F793">
            <v>2860</v>
          </cell>
          <cell r="G793">
            <v>1612</v>
          </cell>
          <cell r="H793">
            <v>695</v>
          </cell>
        </row>
        <row r="794">
          <cell r="A794">
            <v>44072</v>
          </cell>
          <cell r="B794" t="str">
            <v>东部战区-上海-上海三组</v>
          </cell>
          <cell r="C794">
            <v>3134</v>
          </cell>
          <cell r="D794">
            <v>3055</v>
          </cell>
          <cell r="E794">
            <v>2936</v>
          </cell>
          <cell r="F794">
            <v>1729</v>
          </cell>
          <cell r="G794">
            <v>1031</v>
          </cell>
          <cell r="H794">
            <v>696</v>
          </cell>
        </row>
        <row r="795">
          <cell r="A795">
            <v>44072</v>
          </cell>
          <cell r="B795" t="str">
            <v>东部战区-上海-上海二组</v>
          </cell>
          <cell r="C795">
            <v>2720</v>
          </cell>
          <cell r="D795">
            <v>2678</v>
          </cell>
          <cell r="E795">
            <v>2565</v>
          </cell>
          <cell r="F795">
            <v>1544</v>
          </cell>
          <cell r="G795">
            <v>830</v>
          </cell>
          <cell r="H795">
            <v>690</v>
          </cell>
        </row>
        <row r="796">
          <cell r="A796">
            <v>44072</v>
          </cell>
          <cell r="B796" t="str">
            <v>东部战区-南京-南京一组</v>
          </cell>
          <cell r="C796">
            <v>3923</v>
          </cell>
          <cell r="D796">
            <v>3839</v>
          </cell>
          <cell r="E796">
            <v>3702</v>
          </cell>
          <cell r="F796">
            <v>2130</v>
          </cell>
          <cell r="G796">
            <v>1191</v>
          </cell>
          <cell r="H796">
            <v>697</v>
          </cell>
        </row>
        <row r="797">
          <cell r="A797">
            <v>44072</v>
          </cell>
          <cell r="B797" t="str">
            <v>东部战区-南京-南京四组</v>
          </cell>
          <cell r="C797">
            <v>2105</v>
          </cell>
          <cell r="D797">
            <v>2042</v>
          </cell>
          <cell r="E797">
            <v>1946</v>
          </cell>
          <cell r="F797">
            <v>1120</v>
          </cell>
          <cell r="G797">
            <v>651</v>
          </cell>
          <cell r="H797">
            <v>696</v>
          </cell>
        </row>
        <row r="798">
          <cell r="A798">
            <v>44072</v>
          </cell>
          <cell r="B798" t="str">
            <v>东部战区-南京-南京三组</v>
          </cell>
          <cell r="C798">
            <v>1232</v>
          </cell>
          <cell r="D798">
            <v>1209</v>
          </cell>
          <cell r="E798">
            <v>1167</v>
          </cell>
          <cell r="F798">
            <v>729</v>
          </cell>
          <cell r="G798">
            <v>383</v>
          </cell>
          <cell r="H798">
            <v>699</v>
          </cell>
        </row>
        <row r="799">
          <cell r="A799">
            <v>44072</v>
          </cell>
          <cell r="B799" t="str">
            <v>东部战区-南京-南京二组</v>
          </cell>
          <cell r="C799">
            <v>2267</v>
          </cell>
          <cell r="D799">
            <v>2188</v>
          </cell>
          <cell r="E799">
            <v>2100</v>
          </cell>
          <cell r="F799">
            <v>1328</v>
          </cell>
          <cell r="G799">
            <v>701</v>
          </cell>
          <cell r="H799">
            <v>699</v>
          </cell>
        </row>
        <row r="800">
          <cell r="A800">
            <v>44072</v>
          </cell>
          <cell r="B800" t="str">
            <v>东部战区-合肥-合肥一组</v>
          </cell>
          <cell r="C800">
            <v>5695</v>
          </cell>
          <cell r="D800">
            <v>5560</v>
          </cell>
          <cell r="E800">
            <v>5295</v>
          </cell>
          <cell r="F800">
            <v>3314</v>
          </cell>
          <cell r="G800">
            <v>1623</v>
          </cell>
          <cell r="H800">
            <v>697</v>
          </cell>
        </row>
        <row r="801">
          <cell r="A801">
            <v>44072</v>
          </cell>
          <cell r="B801" t="str">
            <v>东部战区-合肥-合肥二组</v>
          </cell>
          <cell r="C801">
            <v>1370</v>
          </cell>
          <cell r="D801">
            <v>1349</v>
          </cell>
          <cell r="E801">
            <v>1280</v>
          </cell>
          <cell r="F801">
            <v>799</v>
          </cell>
          <cell r="G801">
            <v>416</v>
          </cell>
          <cell r="H801">
            <v>696</v>
          </cell>
        </row>
        <row r="802">
          <cell r="A802">
            <v>44072</v>
          </cell>
          <cell r="B802" t="str">
            <v>东部战区-杭州-杭州一组</v>
          </cell>
          <cell r="C802">
            <v>7142</v>
          </cell>
          <cell r="D802">
            <v>6878</v>
          </cell>
          <cell r="E802">
            <v>6510</v>
          </cell>
          <cell r="F802">
            <v>4029</v>
          </cell>
          <cell r="G802">
            <v>1872</v>
          </cell>
          <cell r="H802">
            <v>702</v>
          </cell>
        </row>
        <row r="803">
          <cell r="A803">
            <v>44072</v>
          </cell>
          <cell r="B803" t="str">
            <v>东部战区-杭州-杭州三组</v>
          </cell>
          <cell r="C803">
            <v>1773</v>
          </cell>
          <cell r="D803">
            <v>1738</v>
          </cell>
          <cell r="E803">
            <v>1690</v>
          </cell>
          <cell r="F803">
            <v>1017</v>
          </cell>
          <cell r="G803">
            <v>614</v>
          </cell>
          <cell r="H803">
            <v>701</v>
          </cell>
        </row>
        <row r="804">
          <cell r="A804">
            <v>44072</v>
          </cell>
          <cell r="B804" t="str">
            <v>东部战区-杭州-杭州二组</v>
          </cell>
          <cell r="C804">
            <v>4603</v>
          </cell>
          <cell r="D804">
            <v>4494</v>
          </cell>
          <cell r="E804">
            <v>4359</v>
          </cell>
          <cell r="F804">
            <v>2502</v>
          </cell>
          <cell r="G804">
            <v>1403</v>
          </cell>
          <cell r="H804">
            <v>694</v>
          </cell>
        </row>
        <row r="805">
          <cell r="A805">
            <v>44072</v>
          </cell>
          <cell r="B805" t="str">
            <v>北部战区-天津-天津一组</v>
          </cell>
          <cell r="C805">
            <v>1281</v>
          </cell>
          <cell r="D805">
            <v>1269</v>
          </cell>
          <cell r="E805">
            <v>1233</v>
          </cell>
          <cell r="F805">
            <v>679</v>
          </cell>
          <cell r="G805">
            <v>449</v>
          </cell>
          <cell r="H805">
            <v>685</v>
          </cell>
        </row>
        <row r="806">
          <cell r="A806">
            <v>44072</v>
          </cell>
          <cell r="B806" t="str">
            <v>北部战区-北京-北京一组</v>
          </cell>
          <cell r="C806">
            <v>37</v>
          </cell>
          <cell r="D806">
            <v>35</v>
          </cell>
          <cell r="E806">
            <v>32</v>
          </cell>
          <cell r="F806">
            <v>19</v>
          </cell>
          <cell r="G806">
            <v>8</v>
          </cell>
          <cell r="H806">
            <v>697</v>
          </cell>
        </row>
        <row r="807">
          <cell r="A807">
            <v>44072</v>
          </cell>
          <cell r="B807" t="str">
            <v>北部战区-北京-北京四组</v>
          </cell>
          <cell r="C807">
            <v>2188</v>
          </cell>
          <cell r="D807">
            <v>2161</v>
          </cell>
          <cell r="E807">
            <v>2104</v>
          </cell>
          <cell r="F807">
            <v>1274</v>
          </cell>
          <cell r="G807">
            <v>736</v>
          </cell>
          <cell r="H807">
            <v>689</v>
          </cell>
        </row>
        <row r="808">
          <cell r="A808">
            <v>44072</v>
          </cell>
          <cell r="B808" t="str">
            <v>北部战区-北京-北京三组</v>
          </cell>
          <cell r="C808">
            <v>2225</v>
          </cell>
          <cell r="D808">
            <v>2174</v>
          </cell>
          <cell r="E808">
            <v>2081</v>
          </cell>
          <cell r="F808">
            <v>1321</v>
          </cell>
          <cell r="G808">
            <v>668</v>
          </cell>
          <cell r="H808">
            <v>689</v>
          </cell>
        </row>
        <row r="809">
          <cell r="A809">
            <v>44072</v>
          </cell>
          <cell r="B809" t="str">
            <v>北部战区-北京-北京二组</v>
          </cell>
          <cell r="C809">
            <v>207</v>
          </cell>
          <cell r="D809">
            <v>204</v>
          </cell>
          <cell r="E809">
            <v>195</v>
          </cell>
          <cell r="F809">
            <v>121</v>
          </cell>
          <cell r="G809">
            <v>79</v>
          </cell>
          <cell r="H809">
            <v>696</v>
          </cell>
        </row>
        <row r="810">
          <cell r="A810">
            <v>44073</v>
          </cell>
          <cell r="B810" t="str">
            <v>西部战区-重庆-重庆一组</v>
          </cell>
          <cell r="C810">
            <v>2133</v>
          </cell>
          <cell r="D810">
            <v>2102</v>
          </cell>
          <cell r="E810">
            <v>2043</v>
          </cell>
          <cell r="F810">
            <v>1310</v>
          </cell>
          <cell r="G810">
            <v>719</v>
          </cell>
          <cell r="H810">
            <v>691</v>
          </cell>
        </row>
        <row r="811">
          <cell r="A811">
            <v>44073</v>
          </cell>
          <cell r="B811" t="str">
            <v>西部战区-西安-西安一组</v>
          </cell>
          <cell r="C811">
            <v>2969</v>
          </cell>
          <cell r="D811">
            <v>2920</v>
          </cell>
          <cell r="E811">
            <v>2830</v>
          </cell>
          <cell r="F811">
            <v>1732</v>
          </cell>
          <cell r="G811">
            <v>979</v>
          </cell>
          <cell r="H811">
            <v>692</v>
          </cell>
        </row>
        <row r="812">
          <cell r="A812">
            <v>44073</v>
          </cell>
          <cell r="B812" t="str">
            <v>西部战区-武汉-武汉一组</v>
          </cell>
          <cell r="C812">
            <v>4883</v>
          </cell>
          <cell r="D812">
            <v>4768</v>
          </cell>
          <cell r="E812">
            <v>4579</v>
          </cell>
          <cell r="F812">
            <v>2878</v>
          </cell>
          <cell r="G812">
            <v>1484</v>
          </cell>
          <cell r="H812">
            <v>699</v>
          </cell>
        </row>
        <row r="813">
          <cell r="A813">
            <v>44073</v>
          </cell>
          <cell r="B813" t="str">
            <v>西部战区-成都-成都一组</v>
          </cell>
          <cell r="C813">
            <v>2845</v>
          </cell>
          <cell r="D813">
            <v>2773</v>
          </cell>
          <cell r="E813">
            <v>2675</v>
          </cell>
          <cell r="F813">
            <v>1720</v>
          </cell>
          <cell r="G813">
            <v>949</v>
          </cell>
          <cell r="H813">
            <v>691</v>
          </cell>
        </row>
        <row r="814">
          <cell r="A814">
            <v>44073</v>
          </cell>
          <cell r="B814" t="str">
            <v>西部战区-成都-成都二组</v>
          </cell>
          <cell r="C814">
            <v>672</v>
          </cell>
          <cell r="D814">
            <v>662</v>
          </cell>
          <cell r="E814">
            <v>643</v>
          </cell>
          <cell r="F814">
            <v>443</v>
          </cell>
          <cell r="G814">
            <v>209</v>
          </cell>
          <cell r="H814">
            <v>692</v>
          </cell>
        </row>
        <row r="815">
          <cell r="A815">
            <v>44073</v>
          </cell>
          <cell r="B815" t="str">
            <v>南部战区-深圳-深圳一组</v>
          </cell>
          <cell r="C815">
            <v>3823</v>
          </cell>
          <cell r="D815">
            <v>3708</v>
          </cell>
          <cell r="E815">
            <v>3535</v>
          </cell>
          <cell r="F815">
            <v>2103</v>
          </cell>
          <cell r="G815">
            <v>1122</v>
          </cell>
          <cell r="H815">
            <v>689</v>
          </cell>
        </row>
        <row r="816">
          <cell r="A816">
            <v>44073</v>
          </cell>
          <cell r="B816" t="str">
            <v>南部战区-广州-广州一组</v>
          </cell>
          <cell r="C816">
            <v>7766</v>
          </cell>
          <cell r="D816">
            <v>7581</v>
          </cell>
          <cell r="E816">
            <v>7277</v>
          </cell>
          <cell r="F816">
            <v>4488</v>
          </cell>
          <cell r="G816">
            <v>2479</v>
          </cell>
          <cell r="H816">
            <v>688</v>
          </cell>
        </row>
        <row r="817">
          <cell r="A817">
            <v>44073</v>
          </cell>
          <cell r="B817" t="str">
            <v>南部战区-广州-广州三组</v>
          </cell>
          <cell r="C817">
            <v>3843</v>
          </cell>
          <cell r="D817">
            <v>3731</v>
          </cell>
          <cell r="E817">
            <v>3538</v>
          </cell>
          <cell r="F817">
            <v>2120</v>
          </cell>
          <cell r="G817">
            <v>1235</v>
          </cell>
          <cell r="H817">
            <v>689</v>
          </cell>
        </row>
        <row r="818">
          <cell r="A818">
            <v>44073</v>
          </cell>
          <cell r="B818" t="str">
            <v>南部战区-广州-广州二组</v>
          </cell>
          <cell r="C818">
            <v>3815</v>
          </cell>
          <cell r="D818">
            <v>3753</v>
          </cell>
          <cell r="E818">
            <v>3594</v>
          </cell>
          <cell r="F818">
            <v>2217</v>
          </cell>
          <cell r="G818">
            <v>1296</v>
          </cell>
          <cell r="H818">
            <v>690</v>
          </cell>
        </row>
        <row r="819">
          <cell r="A819">
            <v>44073</v>
          </cell>
          <cell r="B819" t="str">
            <v>东部战区-苏州-苏州一组</v>
          </cell>
          <cell r="C819">
            <v>6274</v>
          </cell>
          <cell r="D819">
            <v>6061</v>
          </cell>
          <cell r="E819">
            <v>5801</v>
          </cell>
          <cell r="F819">
            <v>3509</v>
          </cell>
          <cell r="G819">
            <v>1782</v>
          </cell>
          <cell r="H819">
            <v>694</v>
          </cell>
        </row>
        <row r="820">
          <cell r="A820">
            <v>44073</v>
          </cell>
          <cell r="B820" t="str">
            <v>东部战区-苏州-苏州三组</v>
          </cell>
          <cell r="C820">
            <v>450</v>
          </cell>
          <cell r="D820">
            <v>439</v>
          </cell>
          <cell r="E820">
            <v>412</v>
          </cell>
          <cell r="F820">
            <v>241</v>
          </cell>
          <cell r="G820">
            <v>149</v>
          </cell>
          <cell r="H820">
            <v>691</v>
          </cell>
        </row>
        <row r="821">
          <cell r="A821">
            <v>44073</v>
          </cell>
          <cell r="B821" t="str">
            <v>东部战区-苏州-苏州二组</v>
          </cell>
          <cell r="C821">
            <v>7361</v>
          </cell>
          <cell r="D821">
            <v>7068</v>
          </cell>
          <cell r="E821">
            <v>6722</v>
          </cell>
          <cell r="F821">
            <v>3898</v>
          </cell>
          <cell r="G821">
            <v>2126</v>
          </cell>
          <cell r="H821">
            <v>696</v>
          </cell>
        </row>
        <row r="822">
          <cell r="A822">
            <v>44073</v>
          </cell>
          <cell r="B822" t="str">
            <v>东部战区-上海-上海一组</v>
          </cell>
          <cell r="C822">
            <v>5465</v>
          </cell>
          <cell r="D822">
            <v>5313</v>
          </cell>
          <cell r="E822">
            <v>5111</v>
          </cell>
          <cell r="F822">
            <v>3087</v>
          </cell>
          <cell r="G822">
            <v>1714</v>
          </cell>
          <cell r="H822">
            <v>694</v>
          </cell>
        </row>
        <row r="823">
          <cell r="A823">
            <v>44073</v>
          </cell>
          <cell r="B823" t="str">
            <v>东部战区-上海-上海三组</v>
          </cell>
          <cell r="C823">
            <v>2925</v>
          </cell>
          <cell r="D823">
            <v>2858</v>
          </cell>
          <cell r="E823">
            <v>2747</v>
          </cell>
          <cell r="F823">
            <v>1612</v>
          </cell>
          <cell r="G823">
            <v>968</v>
          </cell>
          <cell r="H823">
            <v>696</v>
          </cell>
        </row>
        <row r="824">
          <cell r="A824">
            <v>44073</v>
          </cell>
          <cell r="B824" t="str">
            <v>东部战区-上海-上海二组</v>
          </cell>
          <cell r="C824">
            <v>2633</v>
          </cell>
          <cell r="D824">
            <v>2591</v>
          </cell>
          <cell r="E824">
            <v>2487</v>
          </cell>
          <cell r="F824">
            <v>1493</v>
          </cell>
          <cell r="G824">
            <v>808</v>
          </cell>
          <cell r="H824">
            <v>691</v>
          </cell>
        </row>
        <row r="825">
          <cell r="A825">
            <v>44073</v>
          </cell>
          <cell r="B825" t="str">
            <v>东部战区-南京-南京一组</v>
          </cell>
          <cell r="C825">
            <v>3131</v>
          </cell>
          <cell r="D825">
            <v>3068</v>
          </cell>
          <cell r="E825">
            <v>2975</v>
          </cell>
          <cell r="F825">
            <v>1697</v>
          </cell>
          <cell r="G825">
            <v>986</v>
          </cell>
          <cell r="H825">
            <v>696</v>
          </cell>
        </row>
        <row r="826">
          <cell r="A826">
            <v>44073</v>
          </cell>
          <cell r="B826" t="str">
            <v>东部战区-南京-南京四组</v>
          </cell>
          <cell r="C826">
            <v>2105</v>
          </cell>
          <cell r="D826">
            <v>2042</v>
          </cell>
          <cell r="E826">
            <v>1946</v>
          </cell>
          <cell r="F826">
            <v>1120</v>
          </cell>
          <cell r="G826">
            <v>651</v>
          </cell>
          <cell r="H826">
            <v>696</v>
          </cell>
        </row>
        <row r="827">
          <cell r="A827">
            <v>44073</v>
          </cell>
          <cell r="B827" t="str">
            <v>东部战区-南京-南京三组</v>
          </cell>
          <cell r="C827">
            <v>2844</v>
          </cell>
          <cell r="D827">
            <v>2795</v>
          </cell>
          <cell r="E827">
            <v>2686</v>
          </cell>
          <cell r="F827">
            <v>1622</v>
          </cell>
          <cell r="G827">
            <v>805</v>
          </cell>
          <cell r="H827">
            <v>697</v>
          </cell>
        </row>
        <row r="828">
          <cell r="A828">
            <v>44073</v>
          </cell>
          <cell r="B828" t="str">
            <v>东部战区-南京-南京二组</v>
          </cell>
          <cell r="C828">
            <v>2660</v>
          </cell>
          <cell r="D828">
            <v>2575</v>
          </cell>
          <cell r="E828">
            <v>2460</v>
          </cell>
          <cell r="F828">
            <v>1526</v>
          </cell>
          <cell r="G828">
            <v>744</v>
          </cell>
          <cell r="H828">
            <v>697</v>
          </cell>
        </row>
        <row r="829">
          <cell r="A829">
            <v>44073</v>
          </cell>
          <cell r="B829" t="str">
            <v>东部战区-合肥-合肥一组</v>
          </cell>
          <cell r="C829">
            <v>5963</v>
          </cell>
          <cell r="D829">
            <v>5822</v>
          </cell>
          <cell r="E829">
            <v>5552</v>
          </cell>
          <cell r="F829">
            <v>3482</v>
          </cell>
          <cell r="G829">
            <v>1715</v>
          </cell>
          <cell r="H829">
            <v>697</v>
          </cell>
        </row>
        <row r="830">
          <cell r="A830">
            <v>44073</v>
          </cell>
          <cell r="B830" t="str">
            <v>东部战区-合肥-合肥二组</v>
          </cell>
          <cell r="C830">
            <v>1475</v>
          </cell>
          <cell r="D830">
            <v>1446</v>
          </cell>
          <cell r="E830">
            <v>1374</v>
          </cell>
          <cell r="F830">
            <v>875</v>
          </cell>
          <cell r="G830">
            <v>445</v>
          </cell>
          <cell r="H830">
            <v>696</v>
          </cell>
        </row>
        <row r="831">
          <cell r="A831">
            <v>44073</v>
          </cell>
          <cell r="B831" t="str">
            <v>东部战区-杭州-杭州一组</v>
          </cell>
          <cell r="C831">
            <v>6059</v>
          </cell>
          <cell r="D831">
            <v>5828</v>
          </cell>
          <cell r="E831">
            <v>5518</v>
          </cell>
          <cell r="F831">
            <v>3422</v>
          </cell>
          <cell r="G831">
            <v>1629</v>
          </cell>
          <cell r="H831">
            <v>703</v>
          </cell>
        </row>
        <row r="832">
          <cell r="A832">
            <v>44073</v>
          </cell>
          <cell r="B832" t="str">
            <v>东部战区-杭州-杭州三组</v>
          </cell>
          <cell r="C832">
            <v>1773</v>
          </cell>
          <cell r="D832">
            <v>1738</v>
          </cell>
          <cell r="E832">
            <v>1690</v>
          </cell>
          <cell r="F832">
            <v>1017</v>
          </cell>
          <cell r="G832">
            <v>614</v>
          </cell>
          <cell r="H832">
            <v>701</v>
          </cell>
        </row>
        <row r="833">
          <cell r="A833">
            <v>44073</v>
          </cell>
          <cell r="B833" t="str">
            <v>东部战区-杭州-杭州二组</v>
          </cell>
          <cell r="C833">
            <v>5515</v>
          </cell>
          <cell r="D833">
            <v>5374</v>
          </cell>
          <cell r="E833">
            <v>5197</v>
          </cell>
          <cell r="F833">
            <v>2966</v>
          </cell>
          <cell r="G833">
            <v>1660</v>
          </cell>
          <cell r="H833">
            <v>694</v>
          </cell>
        </row>
        <row r="834">
          <cell r="A834">
            <v>44073</v>
          </cell>
          <cell r="B834" t="str">
            <v>北部战区-天津-天津一组</v>
          </cell>
          <cell r="C834">
            <v>1211</v>
          </cell>
          <cell r="D834">
            <v>1199</v>
          </cell>
          <cell r="E834">
            <v>1162</v>
          </cell>
          <cell r="F834">
            <v>662</v>
          </cell>
          <cell r="G834">
            <v>443</v>
          </cell>
          <cell r="H834">
            <v>685</v>
          </cell>
        </row>
        <row r="835">
          <cell r="A835">
            <v>44073</v>
          </cell>
          <cell r="B835" t="str">
            <v>北部战区-北京-北京一组</v>
          </cell>
          <cell r="C835">
            <v>51</v>
          </cell>
          <cell r="D835">
            <v>49</v>
          </cell>
          <cell r="E835">
            <v>46</v>
          </cell>
          <cell r="F835">
            <v>26</v>
          </cell>
          <cell r="G835">
            <v>12</v>
          </cell>
          <cell r="H835">
            <v>689</v>
          </cell>
        </row>
        <row r="836">
          <cell r="A836">
            <v>44073</v>
          </cell>
          <cell r="B836" t="str">
            <v>北部战区-北京-北京四组</v>
          </cell>
          <cell r="C836">
            <v>2555</v>
          </cell>
          <cell r="D836">
            <v>2517</v>
          </cell>
          <cell r="E836">
            <v>2444</v>
          </cell>
          <cell r="F836">
            <v>1485</v>
          </cell>
          <cell r="G836">
            <v>830</v>
          </cell>
          <cell r="H836">
            <v>689</v>
          </cell>
        </row>
        <row r="837">
          <cell r="A837">
            <v>44073</v>
          </cell>
          <cell r="B837" t="str">
            <v>北部战区-北京-北京三组</v>
          </cell>
          <cell r="C837">
            <v>2211</v>
          </cell>
          <cell r="D837">
            <v>2160</v>
          </cell>
          <cell r="E837">
            <v>2064</v>
          </cell>
          <cell r="F837">
            <v>1307</v>
          </cell>
          <cell r="G837">
            <v>658</v>
          </cell>
          <cell r="H837">
            <v>689</v>
          </cell>
        </row>
        <row r="838">
          <cell r="A838">
            <v>44073</v>
          </cell>
          <cell r="B838" t="str">
            <v>北部战区-北京-北京二组</v>
          </cell>
          <cell r="C838">
            <v>207</v>
          </cell>
          <cell r="D838">
            <v>204</v>
          </cell>
          <cell r="E838">
            <v>195</v>
          </cell>
          <cell r="F838">
            <v>121</v>
          </cell>
          <cell r="G838">
            <v>79</v>
          </cell>
          <cell r="H838">
            <v>696</v>
          </cell>
        </row>
        <row r="839">
          <cell r="A839">
            <v>44074</v>
          </cell>
          <cell r="B839" t="str">
            <v>西部战区-重庆-重庆一组</v>
          </cell>
          <cell r="C839">
            <v>2583</v>
          </cell>
          <cell r="D839">
            <v>2540</v>
          </cell>
          <cell r="E839">
            <v>2470</v>
          </cell>
          <cell r="F839">
            <v>1542</v>
          </cell>
          <cell r="G839">
            <v>855</v>
          </cell>
          <cell r="H839">
            <v>690</v>
          </cell>
        </row>
        <row r="840">
          <cell r="A840">
            <v>44074</v>
          </cell>
          <cell r="B840" t="str">
            <v>西部战区-西安-西安一组</v>
          </cell>
          <cell r="C840">
            <v>3717</v>
          </cell>
          <cell r="D840">
            <v>3652</v>
          </cell>
          <cell r="E840">
            <v>3534</v>
          </cell>
          <cell r="F840">
            <v>2135</v>
          </cell>
          <cell r="G840">
            <v>1196</v>
          </cell>
          <cell r="H840">
            <v>691</v>
          </cell>
        </row>
        <row r="841">
          <cell r="A841">
            <v>44074</v>
          </cell>
          <cell r="B841" t="str">
            <v>西部战区-武汉-武汉一组</v>
          </cell>
          <cell r="C841">
            <v>4940</v>
          </cell>
          <cell r="D841">
            <v>4827</v>
          </cell>
          <cell r="E841">
            <v>4636</v>
          </cell>
          <cell r="F841">
            <v>2993</v>
          </cell>
          <cell r="G841">
            <v>1495</v>
          </cell>
          <cell r="H841">
            <v>701</v>
          </cell>
        </row>
        <row r="842">
          <cell r="A842">
            <v>44074</v>
          </cell>
          <cell r="B842" t="str">
            <v>西部战区-成都-成都一组</v>
          </cell>
          <cell r="C842">
            <v>2281</v>
          </cell>
          <cell r="D842">
            <v>2226</v>
          </cell>
          <cell r="E842">
            <v>2147</v>
          </cell>
          <cell r="F842">
            <v>1395</v>
          </cell>
          <cell r="G842">
            <v>803</v>
          </cell>
          <cell r="H842">
            <v>692</v>
          </cell>
        </row>
        <row r="843">
          <cell r="A843">
            <v>44074</v>
          </cell>
          <cell r="B843" t="str">
            <v>西部战区-成都-成都二组</v>
          </cell>
          <cell r="C843">
            <v>672</v>
          </cell>
          <cell r="D843">
            <v>662</v>
          </cell>
          <cell r="E843">
            <v>643</v>
          </cell>
          <cell r="F843">
            <v>443</v>
          </cell>
          <cell r="G843">
            <v>209</v>
          </cell>
          <cell r="H843">
            <v>692</v>
          </cell>
        </row>
        <row r="844">
          <cell r="A844">
            <v>44074</v>
          </cell>
          <cell r="B844" t="str">
            <v>南部战区-深圳-深圳一组</v>
          </cell>
          <cell r="C844">
            <v>3823</v>
          </cell>
          <cell r="D844">
            <v>3708</v>
          </cell>
          <cell r="E844">
            <v>3535</v>
          </cell>
          <cell r="F844">
            <v>2103</v>
          </cell>
          <cell r="G844">
            <v>1122</v>
          </cell>
          <cell r="H844">
            <v>689</v>
          </cell>
        </row>
        <row r="845">
          <cell r="A845">
            <v>44074</v>
          </cell>
          <cell r="B845" t="str">
            <v>南部战区-广州-广州一组</v>
          </cell>
          <cell r="C845">
            <v>7766</v>
          </cell>
          <cell r="D845">
            <v>7581</v>
          </cell>
          <cell r="E845">
            <v>7277</v>
          </cell>
          <cell r="F845">
            <v>4488</v>
          </cell>
          <cell r="G845">
            <v>2479</v>
          </cell>
          <cell r="H845">
            <v>688</v>
          </cell>
        </row>
        <row r="846">
          <cell r="A846">
            <v>44074</v>
          </cell>
          <cell r="B846" t="str">
            <v>南部战区-广州-广州三组</v>
          </cell>
          <cell r="C846">
            <v>4986</v>
          </cell>
          <cell r="D846">
            <v>4822</v>
          </cell>
          <cell r="E846">
            <v>4570</v>
          </cell>
          <cell r="F846">
            <v>2771</v>
          </cell>
          <cell r="G846">
            <v>1616</v>
          </cell>
          <cell r="H846">
            <v>690</v>
          </cell>
        </row>
        <row r="847">
          <cell r="A847">
            <v>44074</v>
          </cell>
          <cell r="B847" t="str">
            <v>南部战区-广州-广州二组</v>
          </cell>
          <cell r="C847">
            <v>4769</v>
          </cell>
          <cell r="D847">
            <v>4672</v>
          </cell>
          <cell r="E847">
            <v>4468</v>
          </cell>
          <cell r="F847">
            <v>2745</v>
          </cell>
          <cell r="G847">
            <v>1595</v>
          </cell>
          <cell r="H847">
            <v>691</v>
          </cell>
        </row>
        <row r="848">
          <cell r="A848">
            <v>44074</v>
          </cell>
          <cell r="B848" t="str">
            <v>东部战区-苏州-苏州一组</v>
          </cell>
          <cell r="C848">
            <v>5718</v>
          </cell>
          <cell r="D848">
            <v>5485</v>
          </cell>
          <cell r="E848">
            <v>5221</v>
          </cell>
          <cell r="F848">
            <v>3223</v>
          </cell>
          <cell r="G848">
            <v>1676</v>
          </cell>
          <cell r="H848">
            <v>694</v>
          </cell>
        </row>
        <row r="849">
          <cell r="A849">
            <v>44074</v>
          </cell>
          <cell r="B849" t="str">
            <v>东部战区-苏州-苏州三组</v>
          </cell>
          <cell r="C849">
            <v>244</v>
          </cell>
          <cell r="D849">
            <v>235</v>
          </cell>
          <cell r="E849">
            <v>210</v>
          </cell>
          <cell r="F849">
            <v>106</v>
          </cell>
          <cell r="G849">
            <v>59</v>
          </cell>
          <cell r="H849">
            <v>692</v>
          </cell>
        </row>
        <row r="850">
          <cell r="A850">
            <v>44074</v>
          </cell>
          <cell r="B850" t="str">
            <v>东部战区-苏州-苏州二组</v>
          </cell>
          <cell r="C850">
            <v>7899</v>
          </cell>
          <cell r="D850">
            <v>7576</v>
          </cell>
          <cell r="E850">
            <v>7176</v>
          </cell>
          <cell r="F850">
            <v>4159</v>
          </cell>
          <cell r="G850">
            <v>2242</v>
          </cell>
          <cell r="H850">
            <v>696</v>
          </cell>
        </row>
        <row r="851">
          <cell r="A851">
            <v>44074</v>
          </cell>
          <cell r="B851" t="str">
            <v>东部战区-上海-上海一组</v>
          </cell>
          <cell r="C851">
            <v>5112</v>
          </cell>
          <cell r="D851">
            <v>4939</v>
          </cell>
          <cell r="E851">
            <v>4740</v>
          </cell>
          <cell r="F851">
            <v>2854</v>
          </cell>
          <cell r="G851">
            <v>1618</v>
          </cell>
          <cell r="H851">
            <v>695</v>
          </cell>
        </row>
        <row r="852">
          <cell r="A852">
            <v>44074</v>
          </cell>
          <cell r="B852" t="str">
            <v>东部战区-上海-上海三组</v>
          </cell>
          <cell r="C852">
            <v>3281</v>
          </cell>
          <cell r="D852">
            <v>3198</v>
          </cell>
          <cell r="E852">
            <v>3076</v>
          </cell>
          <cell r="F852">
            <v>1800</v>
          </cell>
          <cell r="G852">
            <v>1083</v>
          </cell>
          <cell r="H852">
            <v>696</v>
          </cell>
        </row>
        <row r="853">
          <cell r="A853">
            <v>44074</v>
          </cell>
          <cell r="B853" t="str">
            <v>东部战区-上海-上海二组</v>
          </cell>
          <cell r="C853">
            <v>2962</v>
          </cell>
          <cell r="D853">
            <v>2914</v>
          </cell>
          <cell r="E853">
            <v>2790</v>
          </cell>
          <cell r="F853">
            <v>1680</v>
          </cell>
          <cell r="G853">
            <v>892</v>
          </cell>
          <cell r="H853">
            <v>690</v>
          </cell>
        </row>
        <row r="854">
          <cell r="A854">
            <v>44074</v>
          </cell>
          <cell r="B854" t="str">
            <v>东部战区-南京-南京一组</v>
          </cell>
          <cell r="C854">
            <v>3214</v>
          </cell>
          <cell r="D854">
            <v>3143</v>
          </cell>
          <cell r="E854">
            <v>3032</v>
          </cell>
          <cell r="F854">
            <v>1771</v>
          </cell>
          <cell r="G854">
            <v>993</v>
          </cell>
          <cell r="H854">
            <v>698</v>
          </cell>
        </row>
        <row r="855">
          <cell r="A855">
            <v>44074</v>
          </cell>
          <cell r="B855" t="str">
            <v>东部战区-南京-南京四组</v>
          </cell>
          <cell r="C855">
            <v>2105</v>
          </cell>
          <cell r="D855">
            <v>2042</v>
          </cell>
          <cell r="E855">
            <v>1946</v>
          </cell>
          <cell r="F855">
            <v>1120</v>
          </cell>
          <cell r="G855">
            <v>651</v>
          </cell>
          <cell r="H855">
            <v>696</v>
          </cell>
        </row>
        <row r="856">
          <cell r="A856">
            <v>44074</v>
          </cell>
          <cell r="B856" t="str">
            <v>东部战区-南京-南京三组</v>
          </cell>
          <cell r="C856">
            <v>2743</v>
          </cell>
          <cell r="D856">
            <v>2693</v>
          </cell>
          <cell r="E856">
            <v>2590</v>
          </cell>
          <cell r="F856">
            <v>1580</v>
          </cell>
          <cell r="G856">
            <v>775</v>
          </cell>
          <cell r="H856">
            <v>697</v>
          </cell>
        </row>
        <row r="857">
          <cell r="A857">
            <v>44074</v>
          </cell>
          <cell r="B857" t="str">
            <v>东部战区-南京-南京二组</v>
          </cell>
          <cell r="C857">
            <v>2483</v>
          </cell>
          <cell r="D857">
            <v>2393</v>
          </cell>
          <cell r="E857">
            <v>2291</v>
          </cell>
          <cell r="F857">
            <v>1406</v>
          </cell>
          <cell r="G857">
            <v>732</v>
          </cell>
          <cell r="H857">
            <v>698</v>
          </cell>
        </row>
        <row r="858">
          <cell r="A858">
            <v>44074</v>
          </cell>
          <cell r="B858" t="str">
            <v>东部战区-合肥-合肥一组</v>
          </cell>
          <cell r="C858">
            <v>6216</v>
          </cell>
          <cell r="D858">
            <v>6065</v>
          </cell>
          <cell r="E858">
            <v>5780</v>
          </cell>
          <cell r="F858">
            <v>3615</v>
          </cell>
          <cell r="G858">
            <v>1774</v>
          </cell>
          <cell r="H858">
            <v>696</v>
          </cell>
        </row>
        <row r="859">
          <cell r="A859">
            <v>44074</v>
          </cell>
          <cell r="B859" t="str">
            <v>东部战区-合肥-合肥二组</v>
          </cell>
          <cell r="C859">
            <v>1237</v>
          </cell>
          <cell r="D859">
            <v>1221</v>
          </cell>
          <cell r="E859">
            <v>1162</v>
          </cell>
          <cell r="F859">
            <v>735</v>
          </cell>
          <cell r="G859">
            <v>371</v>
          </cell>
          <cell r="H859">
            <v>697</v>
          </cell>
        </row>
        <row r="860">
          <cell r="A860">
            <v>44074</v>
          </cell>
          <cell r="B860" t="str">
            <v>东部战区-杭州-杭州一组</v>
          </cell>
          <cell r="C860">
            <v>4213</v>
          </cell>
          <cell r="D860">
            <v>4050</v>
          </cell>
          <cell r="E860">
            <v>3834</v>
          </cell>
          <cell r="F860">
            <v>2400</v>
          </cell>
          <cell r="G860">
            <v>1171</v>
          </cell>
          <cell r="H860">
            <v>702</v>
          </cell>
        </row>
        <row r="861">
          <cell r="A861">
            <v>44074</v>
          </cell>
          <cell r="B861" t="str">
            <v>东部战区-杭州-杭州三组</v>
          </cell>
          <cell r="C861">
            <v>1773</v>
          </cell>
          <cell r="D861">
            <v>1738</v>
          </cell>
          <cell r="E861">
            <v>1690</v>
          </cell>
          <cell r="F861">
            <v>1017</v>
          </cell>
          <cell r="G861">
            <v>614</v>
          </cell>
          <cell r="H861">
            <v>701</v>
          </cell>
        </row>
        <row r="862">
          <cell r="A862">
            <v>44074</v>
          </cell>
          <cell r="B862" t="str">
            <v>东部战区-杭州-杭州二组</v>
          </cell>
          <cell r="C862">
            <v>5393</v>
          </cell>
          <cell r="D862">
            <v>5252</v>
          </cell>
          <cell r="E862">
            <v>5078</v>
          </cell>
          <cell r="F862">
            <v>2906</v>
          </cell>
          <cell r="G862">
            <v>1628</v>
          </cell>
          <cell r="H862">
            <v>694</v>
          </cell>
        </row>
        <row r="863">
          <cell r="A863">
            <v>44074</v>
          </cell>
          <cell r="B863" t="str">
            <v>北部战区-天津-天津一组</v>
          </cell>
          <cell r="C863">
            <v>1744</v>
          </cell>
          <cell r="D863">
            <v>1716</v>
          </cell>
          <cell r="E863">
            <v>1649</v>
          </cell>
          <cell r="F863">
            <v>1002</v>
          </cell>
          <cell r="G863">
            <v>579</v>
          </cell>
          <cell r="H863">
            <v>690</v>
          </cell>
        </row>
        <row r="864">
          <cell r="A864">
            <v>44074</v>
          </cell>
          <cell r="B864" t="str">
            <v>北部战区-北京-北京一组</v>
          </cell>
          <cell r="C864">
            <v>38</v>
          </cell>
          <cell r="D864">
            <v>38</v>
          </cell>
          <cell r="E864">
            <v>35</v>
          </cell>
          <cell r="F864">
            <v>18</v>
          </cell>
          <cell r="G864">
            <v>9</v>
          </cell>
          <cell r="H864">
            <v>684</v>
          </cell>
        </row>
        <row r="865">
          <cell r="A865">
            <v>44074</v>
          </cell>
          <cell r="B865" t="str">
            <v>北部战区-北京-北京四组</v>
          </cell>
          <cell r="C865">
            <v>2188</v>
          </cell>
          <cell r="D865">
            <v>2161</v>
          </cell>
          <cell r="E865">
            <v>2104</v>
          </cell>
          <cell r="F865">
            <v>1274</v>
          </cell>
          <cell r="G865">
            <v>736</v>
          </cell>
          <cell r="H865">
            <v>689</v>
          </cell>
        </row>
        <row r="866">
          <cell r="A866">
            <v>44074</v>
          </cell>
          <cell r="B866" t="str">
            <v>北部战区-北京-北京三组</v>
          </cell>
          <cell r="C866">
            <v>2900</v>
          </cell>
          <cell r="D866">
            <v>2842</v>
          </cell>
          <cell r="E866">
            <v>2727</v>
          </cell>
          <cell r="F866">
            <v>1693</v>
          </cell>
          <cell r="G866">
            <v>846</v>
          </cell>
          <cell r="H866">
            <v>690</v>
          </cell>
        </row>
        <row r="867">
          <cell r="A867">
            <v>44074</v>
          </cell>
          <cell r="B867" t="str">
            <v>北部战区-北京-北京二组</v>
          </cell>
          <cell r="C867">
            <v>207</v>
          </cell>
          <cell r="D867">
            <v>204</v>
          </cell>
          <cell r="E867">
            <v>195</v>
          </cell>
          <cell r="F867">
            <v>121</v>
          </cell>
          <cell r="G867">
            <v>79</v>
          </cell>
          <cell r="H867">
            <v>696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7D34-E9D5-4EA3-A80F-3A57A177F1BF}">
  <dimension ref="A1:U867"/>
  <sheetViews>
    <sheetView topLeftCell="G10" workbookViewId="0">
      <selection activeCell="C7" sqref="C7"/>
    </sheetView>
  </sheetViews>
  <sheetFormatPr defaultRowHeight="14" x14ac:dyDescent="0.3"/>
  <cols>
    <col min="1" max="1" width="14.58203125" bestFit="1" customWidth="1"/>
    <col min="2" max="2" width="23.58203125" bestFit="1" customWidth="1"/>
    <col min="3" max="3" width="10.9140625" customWidth="1"/>
    <col min="4" max="4" width="7.6640625" customWidth="1"/>
    <col min="5" max="5" width="10.25" customWidth="1"/>
    <col min="6" max="6" width="7.83203125" bestFit="1" customWidth="1"/>
    <col min="8" max="8" width="9" bestFit="1" customWidth="1"/>
    <col min="16" max="16" width="8.5" bestFit="1" customWidth="1"/>
    <col min="17" max="17" width="12.33203125" bestFit="1" customWidth="1"/>
  </cols>
  <sheetData>
    <row r="1" spans="1:21" x14ac:dyDescent="0.3">
      <c r="A1" t="s">
        <v>0</v>
      </c>
      <c r="B1" t="s">
        <v>1</v>
      </c>
      <c r="C1" t="s">
        <v>133</v>
      </c>
      <c r="D1" t="s">
        <v>131</v>
      </c>
      <c r="E1" t="s">
        <v>132</v>
      </c>
      <c r="F1" t="s">
        <v>2</v>
      </c>
      <c r="G1" t="s">
        <v>3</v>
      </c>
      <c r="H1" t="s">
        <v>4</v>
      </c>
      <c r="I1" t="s">
        <v>44</v>
      </c>
      <c r="J1" t="s">
        <v>38</v>
      </c>
      <c r="K1" t="s">
        <v>43</v>
      </c>
      <c r="L1" t="s">
        <v>55</v>
      </c>
      <c r="M1" t="s">
        <v>76</v>
      </c>
      <c r="N1" t="s">
        <v>90</v>
      </c>
      <c r="O1" t="s">
        <v>93</v>
      </c>
      <c r="P1" s="5" t="s">
        <v>138</v>
      </c>
      <c r="Q1" s="5" t="s">
        <v>134</v>
      </c>
      <c r="R1" s="5" t="s">
        <v>149</v>
      </c>
      <c r="S1" s="5" t="s">
        <v>135</v>
      </c>
      <c r="T1" s="5" t="s">
        <v>136</v>
      </c>
      <c r="U1" s="5" t="s">
        <v>137</v>
      </c>
    </row>
    <row r="2" spans="1:21" x14ac:dyDescent="0.3">
      <c r="A2" s="1">
        <v>44044</v>
      </c>
      <c r="B2" t="s">
        <v>32</v>
      </c>
      <c r="C2" t="s">
        <v>97</v>
      </c>
      <c r="D2" t="s">
        <v>67</v>
      </c>
      <c r="E2" t="s">
        <v>98</v>
      </c>
      <c r="F2" s="2">
        <v>15568</v>
      </c>
      <c r="G2" s="2">
        <v>1009</v>
      </c>
      <c r="H2">
        <v>0</v>
      </c>
      <c r="I2" t="str">
        <f>_xlfn.XLOOKUP($C2,战区信息!$A$1:$A$5,战区信息!$B$1:$B$5)</f>
        <v>003</v>
      </c>
      <c r="J2" t="str">
        <f>_xlfn.XLOOKUP($C2,战区信息!$A$1:$A$5,战区信息!$C$1:$C$5)</f>
        <v>田楠</v>
      </c>
      <c r="K2" t="str">
        <f>_xlfn.XLOOKUP($C2,战区信息!$A$1:$A$5,战区信息!$D$1:$D$5)</f>
        <v>二级战区</v>
      </c>
      <c r="L2" t="str">
        <f>_xlfn.XLOOKUP($D2,城市信息!$B$1:$B$14,城市信息!$A$1:$A$14)</f>
        <v>012</v>
      </c>
      <c r="M2" t="str">
        <f>_xlfn.XLOOKUP($D2,城市信息!$B$1:$B$14,城市信息!$C$1:$C$14)</f>
        <v>于子默</v>
      </c>
      <c r="N2" t="str">
        <f>_xlfn.XLOOKUP($D2,城市信息!$B$1:$B$14,城市信息!$D$1:$D$14)</f>
        <v>二线</v>
      </c>
      <c r="O2">
        <f>_xlfn.XLOOKUP($D2,城市信息!$B$1:$B$14,城市信息!$E$1:$E$14)</f>
        <v>9713</v>
      </c>
      <c r="P2" cm="1">
        <f t="array" ref="P2:U2">_xlfn.XLOOKUP(A2&amp;B2,'[1]2.4自动化报表-8月获客数据-非乱码'!$A:$A&amp;'[1]2.4自动化报表-8月获客数据-非乱码'!$B:$B,'[1]2.4自动化报表-8月获客数据-非乱码'!$C:$H)</f>
        <v>1387</v>
      </c>
      <c r="Q2">
        <v>1375</v>
      </c>
      <c r="R2">
        <v>1327</v>
      </c>
      <c r="S2">
        <v>836</v>
      </c>
      <c r="T2">
        <v>439</v>
      </c>
      <c r="U2">
        <v>688</v>
      </c>
    </row>
    <row r="3" spans="1:21" x14ac:dyDescent="0.3">
      <c r="A3" s="1">
        <v>44044</v>
      </c>
      <c r="B3" t="s">
        <v>31</v>
      </c>
      <c r="C3" t="s">
        <v>97</v>
      </c>
      <c r="D3" t="s">
        <v>65</v>
      </c>
      <c r="E3" t="s">
        <v>99</v>
      </c>
      <c r="F3" s="2">
        <v>53172</v>
      </c>
      <c r="G3" s="2">
        <v>4791</v>
      </c>
      <c r="H3">
        <v>0</v>
      </c>
      <c r="I3" t="str">
        <f>_xlfn.XLOOKUP($C3,战区信息!$A$1:$A$5,战区信息!$B$1:$B$5)</f>
        <v>003</v>
      </c>
      <c r="J3" t="str">
        <f>_xlfn.XLOOKUP($C3,战区信息!$A$1:$A$5,战区信息!$C$1:$C$5)</f>
        <v>田楠</v>
      </c>
      <c r="K3" t="str">
        <f>_xlfn.XLOOKUP($C3,战区信息!$A$1:$A$5,战区信息!$D$1:$D$5)</f>
        <v>二级战区</v>
      </c>
      <c r="L3" t="str">
        <f>_xlfn.XLOOKUP($D3,城市信息!$B$1:$B$14,城市信息!$A$1:$A$14)</f>
        <v>010</v>
      </c>
      <c r="M3" t="str">
        <f>_xlfn.XLOOKUP($D3,城市信息!$B$1:$B$14,城市信息!$C$1:$C$14)</f>
        <v>黄鹏天</v>
      </c>
      <c r="N3" t="str">
        <f>_xlfn.XLOOKUP($D3,城市信息!$B$1:$B$14,城市信息!$D$1:$D$14)</f>
        <v>二线</v>
      </c>
      <c r="O3">
        <f>_xlfn.XLOOKUP($D3,城市信息!$B$1:$B$14,城市信息!$E$1:$E$14)</f>
        <v>8295</v>
      </c>
      <c r="P3" cm="1">
        <f t="array" ref="P3:U3">_xlfn.XLOOKUP(A3&amp;B3,'[1]2.4自动化报表-8月获客数据-非乱码'!$A:$A&amp;'[1]2.4自动化报表-8月获客数据-非乱码'!$B:$B,'[1]2.4自动化报表-8月获客数据-非乱码'!$C:$H)</f>
        <v>3717</v>
      </c>
      <c r="Q3">
        <v>3652</v>
      </c>
      <c r="R3">
        <v>3534</v>
      </c>
      <c r="S3">
        <v>2135</v>
      </c>
      <c r="T3">
        <v>1196</v>
      </c>
      <c r="U3">
        <v>691</v>
      </c>
    </row>
    <row r="4" spans="1:21" x14ac:dyDescent="0.3">
      <c r="A4" s="1">
        <v>44044</v>
      </c>
      <c r="B4" t="s">
        <v>30</v>
      </c>
      <c r="C4" t="s">
        <v>97</v>
      </c>
      <c r="D4" t="s">
        <v>61</v>
      </c>
      <c r="E4" t="s">
        <v>100</v>
      </c>
      <c r="F4" s="2">
        <v>45255</v>
      </c>
      <c r="G4" s="2">
        <v>5447</v>
      </c>
      <c r="H4">
        <v>0</v>
      </c>
      <c r="I4" t="str">
        <f>_xlfn.XLOOKUP($C4,战区信息!$A$1:$A$5,战区信息!$B$1:$B$5)</f>
        <v>003</v>
      </c>
      <c r="J4" t="str">
        <f>_xlfn.XLOOKUP($C4,战区信息!$A$1:$A$5,战区信息!$C$1:$C$5)</f>
        <v>田楠</v>
      </c>
      <c r="K4" t="str">
        <f>_xlfn.XLOOKUP($C4,战区信息!$A$1:$A$5,战区信息!$D$1:$D$5)</f>
        <v>二级战区</v>
      </c>
      <c r="L4" t="str">
        <f>_xlfn.XLOOKUP($D4,城市信息!$B$1:$B$14,城市信息!$A$1:$A$14)</f>
        <v>006</v>
      </c>
      <c r="M4" t="str">
        <f>_xlfn.XLOOKUP($D4,城市信息!$B$1:$B$14,城市信息!$C$1:$C$14)</f>
        <v>王刚</v>
      </c>
      <c r="N4" t="str">
        <f>_xlfn.XLOOKUP($D4,城市信息!$B$1:$B$14,城市信息!$D$1:$D$14)</f>
        <v>二线</v>
      </c>
      <c r="O4">
        <f>_xlfn.XLOOKUP($D4,城市信息!$B$1:$B$14,城市信息!$E$1:$E$14)</f>
        <v>9107</v>
      </c>
      <c r="P4" cm="1">
        <f t="array" ref="P4:U4">_xlfn.XLOOKUP(A4&amp;B4,'[1]2.4自动化报表-8月获客数据-非乱码'!$A:$A&amp;'[1]2.4自动化报表-8月获客数据-非乱码'!$B:$B,'[1]2.4自动化报表-8月获客数据-非乱码'!$C:$H)</f>
        <v>2052</v>
      </c>
      <c r="Q4">
        <v>1990</v>
      </c>
      <c r="R4">
        <v>1900</v>
      </c>
      <c r="S4">
        <v>1211</v>
      </c>
      <c r="T4">
        <v>553</v>
      </c>
      <c r="U4">
        <v>700</v>
      </c>
    </row>
    <row r="5" spans="1:21" x14ac:dyDescent="0.3">
      <c r="A5" s="1">
        <v>44044</v>
      </c>
      <c r="B5" t="s">
        <v>29</v>
      </c>
      <c r="C5" t="s">
        <v>97</v>
      </c>
      <c r="D5" t="s">
        <v>64</v>
      </c>
      <c r="E5" t="s">
        <v>101</v>
      </c>
      <c r="F5" s="2">
        <v>102755</v>
      </c>
      <c r="G5" s="2">
        <v>10027</v>
      </c>
      <c r="H5">
        <v>0</v>
      </c>
      <c r="I5" t="str">
        <f>_xlfn.XLOOKUP($C5,战区信息!$A$1:$A$5,战区信息!$B$1:$B$5)</f>
        <v>003</v>
      </c>
      <c r="J5" t="str">
        <f>_xlfn.XLOOKUP($C5,战区信息!$A$1:$A$5,战区信息!$C$1:$C$5)</f>
        <v>田楠</v>
      </c>
      <c r="K5" t="str">
        <f>_xlfn.XLOOKUP($C5,战区信息!$A$1:$A$5,战区信息!$D$1:$D$5)</f>
        <v>二级战区</v>
      </c>
      <c r="L5" t="str">
        <f>_xlfn.XLOOKUP($D5,城市信息!$B$1:$B$14,城市信息!$A$1:$A$14)</f>
        <v>009</v>
      </c>
      <c r="M5" t="str">
        <f>_xlfn.XLOOKUP($D5,城市信息!$B$1:$B$14,城市信息!$C$1:$C$14)</f>
        <v>叶超</v>
      </c>
      <c r="N5" t="str">
        <f>_xlfn.XLOOKUP($D5,城市信息!$B$1:$B$14,城市信息!$D$1:$D$14)</f>
        <v>二线</v>
      </c>
      <c r="O5">
        <f>_xlfn.XLOOKUP($D5,城市信息!$B$1:$B$14,城市信息!$E$1:$E$14)</f>
        <v>9016</v>
      </c>
      <c r="P5" cm="1">
        <f t="array" ref="P5:U5">_xlfn.XLOOKUP(A5&amp;B5,'[1]2.4自动化报表-8月获客数据-非乱码'!$A:$A&amp;'[1]2.4自动化报表-8月获客数据-非乱码'!$B:$B,'[1]2.4自动化报表-8月获客数据-非乱码'!$C:$H)</f>
        <v>2179</v>
      </c>
      <c r="Q5">
        <v>2129</v>
      </c>
      <c r="R5">
        <v>2053</v>
      </c>
      <c r="S5">
        <v>1330</v>
      </c>
      <c r="T5">
        <v>782</v>
      </c>
      <c r="U5">
        <v>692</v>
      </c>
    </row>
    <row r="6" spans="1:21" x14ac:dyDescent="0.3">
      <c r="A6" s="1">
        <v>44044</v>
      </c>
      <c r="B6" t="s">
        <v>28</v>
      </c>
      <c r="C6" t="s">
        <v>97</v>
      </c>
      <c r="D6" t="s">
        <v>64</v>
      </c>
      <c r="E6" t="s">
        <v>102</v>
      </c>
      <c r="F6" s="2">
        <v>5500</v>
      </c>
      <c r="G6">
        <v>789</v>
      </c>
      <c r="H6">
        <v>0</v>
      </c>
      <c r="I6" t="str">
        <f>_xlfn.XLOOKUP($C6,战区信息!$A$1:$A$5,战区信息!$B$1:$B$5)</f>
        <v>003</v>
      </c>
      <c r="J6" t="str">
        <f>_xlfn.XLOOKUP($C6,战区信息!$A$1:$A$5,战区信息!$C$1:$C$5)</f>
        <v>田楠</v>
      </c>
      <c r="K6" t="str">
        <f>_xlfn.XLOOKUP($C6,战区信息!$A$1:$A$5,战区信息!$D$1:$D$5)</f>
        <v>二级战区</v>
      </c>
      <c r="L6" t="str">
        <f>_xlfn.XLOOKUP($D6,城市信息!$B$1:$B$14,城市信息!$A$1:$A$14)</f>
        <v>009</v>
      </c>
      <c r="M6" t="str">
        <f>_xlfn.XLOOKUP($D6,城市信息!$B$1:$B$14,城市信息!$C$1:$C$14)</f>
        <v>叶超</v>
      </c>
      <c r="N6" t="str">
        <f>_xlfn.XLOOKUP($D6,城市信息!$B$1:$B$14,城市信息!$D$1:$D$14)</f>
        <v>二线</v>
      </c>
      <c r="O6">
        <f>_xlfn.XLOOKUP($D6,城市信息!$B$1:$B$14,城市信息!$E$1:$E$14)</f>
        <v>9016</v>
      </c>
      <c r="P6" cm="1">
        <f t="array" ref="P6:U6">_xlfn.XLOOKUP(A6&amp;B6,'[1]2.4自动化报表-8月获客数据-非乱码'!$A:$A&amp;'[1]2.4自动化报表-8月获客数据-非乱码'!$B:$B,'[1]2.4自动化报表-8月获客数据-非乱码'!$C:$H)</f>
        <v>672</v>
      </c>
      <c r="Q6">
        <v>662</v>
      </c>
      <c r="R6">
        <v>643</v>
      </c>
      <c r="S6">
        <v>443</v>
      </c>
      <c r="T6">
        <v>209</v>
      </c>
      <c r="U6">
        <v>692</v>
      </c>
    </row>
    <row r="7" spans="1:21" x14ac:dyDescent="0.3">
      <c r="A7" s="1">
        <v>44044</v>
      </c>
      <c r="B7" t="s">
        <v>27</v>
      </c>
      <c r="C7" t="s">
        <v>103</v>
      </c>
      <c r="D7" t="s">
        <v>63</v>
      </c>
      <c r="E7" t="s">
        <v>104</v>
      </c>
      <c r="F7" s="2">
        <v>96741</v>
      </c>
      <c r="G7" s="2">
        <v>8200</v>
      </c>
      <c r="H7">
        <v>0</v>
      </c>
      <c r="I7" t="str">
        <f>_xlfn.XLOOKUP($C7,战区信息!$A$1:$A$5,战区信息!$B$1:$B$5)</f>
        <v>002</v>
      </c>
      <c r="J7" t="str">
        <f>_xlfn.XLOOKUP($C7,战区信息!$A$1:$A$5,战区信息!$C$1:$C$5)</f>
        <v>高安平</v>
      </c>
      <c r="K7" t="str">
        <f>_xlfn.XLOOKUP($C7,战区信息!$A$1:$A$5,战区信息!$D$1:$D$5)</f>
        <v>二级战区</v>
      </c>
      <c r="L7" t="str">
        <f>_xlfn.XLOOKUP($D7,城市信息!$B$1:$B$14,城市信息!$A$1:$A$14)</f>
        <v>008</v>
      </c>
      <c r="M7" t="str">
        <f>_xlfn.XLOOKUP($D7,城市信息!$B$1:$B$14,城市信息!$C$1:$C$14)</f>
        <v>高弘壮</v>
      </c>
      <c r="N7" t="str">
        <f>_xlfn.XLOOKUP($D7,城市信息!$B$1:$B$14,城市信息!$D$1:$D$14)</f>
        <v>一线</v>
      </c>
      <c r="O7">
        <f>_xlfn.XLOOKUP($D7,城市信息!$B$1:$B$14,城市信息!$E$1:$E$14)</f>
        <v>11498</v>
      </c>
      <c r="P7" cm="1">
        <f t="array" ref="P7:U7">_xlfn.XLOOKUP(A7&amp;B7,'[1]2.4自动化报表-8月获客数据-非乱码'!$A:$A&amp;'[1]2.4自动化报表-8月获客数据-非乱码'!$B:$B,'[1]2.4自动化报表-8月获客数据-非乱码'!$C:$H)</f>
        <v>3120</v>
      </c>
      <c r="Q7">
        <v>3018</v>
      </c>
      <c r="R7">
        <v>2877</v>
      </c>
      <c r="S7">
        <v>1701</v>
      </c>
      <c r="T7">
        <v>900</v>
      </c>
      <c r="U7">
        <v>689</v>
      </c>
    </row>
    <row r="8" spans="1:21" x14ac:dyDescent="0.3">
      <c r="A8" s="1">
        <v>44044</v>
      </c>
      <c r="B8" t="s">
        <v>26</v>
      </c>
      <c r="C8" t="s">
        <v>103</v>
      </c>
      <c r="D8" t="s">
        <v>57</v>
      </c>
      <c r="E8" t="s">
        <v>105</v>
      </c>
      <c r="F8" s="2">
        <v>133925</v>
      </c>
      <c r="G8" s="2">
        <v>10215</v>
      </c>
      <c r="H8">
        <v>0</v>
      </c>
      <c r="I8" t="str">
        <f>_xlfn.XLOOKUP($C8,战区信息!$A$1:$A$5,战区信息!$B$1:$B$5)</f>
        <v>002</v>
      </c>
      <c r="J8" t="str">
        <f>_xlfn.XLOOKUP($C8,战区信息!$A$1:$A$5,战区信息!$C$1:$C$5)</f>
        <v>高安平</v>
      </c>
      <c r="K8" t="str">
        <f>_xlfn.XLOOKUP($C8,战区信息!$A$1:$A$5,战区信息!$D$1:$D$5)</f>
        <v>二级战区</v>
      </c>
      <c r="L8" t="str">
        <f>_xlfn.XLOOKUP($D8,城市信息!$B$1:$B$14,城市信息!$A$1:$A$14)</f>
        <v>002</v>
      </c>
      <c r="M8" t="str">
        <f>_xlfn.XLOOKUP($D8,城市信息!$B$1:$B$14,城市信息!$C$1:$C$14)</f>
        <v>孙乒</v>
      </c>
      <c r="N8" t="str">
        <f>_xlfn.XLOOKUP($D8,城市信息!$B$1:$B$14,城市信息!$D$1:$D$14)</f>
        <v>一线</v>
      </c>
      <c r="O8">
        <f>_xlfn.XLOOKUP($D8,城市信息!$B$1:$B$14,城市信息!$E$1:$E$14)</f>
        <v>9854</v>
      </c>
      <c r="P8" cm="1">
        <f t="array" ref="P8:U8">_xlfn.XLOOKUP(A8&amp;B8,'[1]2.4自动化报表-8月获客数据-非乱码'!$A:$A&amp;'[1]2.4自动化报表-8月获客数据-非乱码'!$B:$B,'[1]2.4自动化报表-8月获客数据-非乱码'!$C:$H)</f>
        <v>4721</v>
      </c>
      <c r="Q8">
        <v>4611</v>
      </c>
      <c r="R8">
        <v>4412</v>
      </c>
      <c r="S8">
        <v>2726</v>
      </c>
      <c r="T8">
        <v>1527</v>
      </c>
      <c r="U8">
        <v>688</v>
      </c>
    </row>
    <row r="9" spans="1:21" x14ac:dyDescent="0.3">
      <c r="A9" s="1">
        <v>44044</v>
      </c>
      <c r="B9" t="s">
        <v>25</v>
      </c>
      <c r="C9" t="s">
        <v>103</v>
      </c>
      <c r="D9" t="s">
        <v>57</v>
      </c>
      <c r="E9" t="s">
        <v>106</v>
      </c>
      <c r="F9" s="2">
        <v>111362</v>
      </c>
      <c r="G9" s="2">
        <v>9360</v>
      </c>
      <c r="H9" s="2">
        <v>1110</v>
      </c>
      <c r="I9" t="str">
        <f>_xlfn.XLOOKUP($C9,战区信息!$A$1:$A$5,战区信息!$B$1:$B$5)</f>
        <v>002</v>
      </c>
      <c r="J9" t="str">
        <f>_xlfn.XLOOKUP($C9,战区信息!$A$1:$A$5,战区信息!$C$1:$C$5)</f>
        <v>高安平</v>
      </c>
      <c r="K9" t="str">
        <f>_xlfn.XLOOKUP($C9,战区信息!$A$1:$A$5,战区信息!$D$1:$D$5)</f>
        <v>二级战区</v>
      </c>
      <c r="L9" t="str">
        <f>_xlfn.XLOOKUP($D9,城市信息!$B$1:$B$14,城市信息!$A$1:$A$14)</f>
        <v>002</v>
      </c>
      <c r="M9" t="str">
        <f>_xlfn.XLOOKUP($D9,城市信息!$B$1:$B$14,城市信息!$C$1:$C$14)</f>
        <v>孙乒</v>
      </c>
      <c r="N9" t="str">
        <f>_xlfn.XLOOKUP($D9,城市信息!$B$1:$B$14,城市信息!$D$1:$D$14)</f>
        <v>一线</v>
      </c>
      <c r="O9">
        <f>_xlfn.XLOOKUP($D9,城市信息!$B$1:$B$14,城市信息!$E$1:$E$14)</f>
        <v>9854</v>
      </c>
      <c r="P9" cm="1">
        <f t="array" ref="P9:U9">_xlfn.XLOOKUP(A9&amp;B9,'[1]2.4自动化报表-8月获客数据-非乱码'!$A:$A&amp;'[1]2.4自动化报表-8月获客数据-非乱码'!$B:$B,'[1]2.4自动化报表-8月获客数据-非乱码'!$C:$H)</f>
        <v>3526</v>
      </c>
      <c r="Q9">
        <v>3433</v>
      </c>
      <c r="R9">
        <v>3267</v>
      </c>
      <c r="S9">
        <v>1946</v>
      </c>
      <c r="T9">
        <v>1101</v>
      </c>
      <c r="U9">
        <v>688</v>
      </c>
    </row>
    <row r="10" spans="1:21" x14ac:dyDescent="0.3">
      <c r="A10" s="1">
        <v>44044</v>
      </c>
      <c r="B10" t="s">
        <v>24</v>
      </c>
      <c r="C10" t="s">
        <v>103</v>
      </c>
      <c r="D10" t="s">
        <v>57</v>
      </c>
      <c r="E10" t="s">
        <v>107</v>
      </c>
      <c r="F10" s="2">
        <v>153104</v>
      </c>
      <c r="G10" s="2">
        <v>14167</v>
      </c>
      <c r="H10" s="2">
        <v>10000</v>
      </c>
      <c r="I10" t="str">
        <f>_xlfn.XLOOKUP($C10,战区信息!$A$1:$A$5,战区信息!$B$1:$B$5)</f>
        <v>002</v>
      </c>
      <c r="J10" t="str">
        <f>_xlfn.XLOOKUP($C10,战区信息!$A$1:$A$5,战区信息!$C$1:$C$5)</f>
        <v>高安平</v>
      </c>
      <c r="K10" t="str">
        <f>_xlfn.XLOOKUP($C10,战区信息!$A$1:$A$5,战区信息!$D$1:$D$5)</f>
        <v>二级战区</v>
      </c>
      <c r="L10" t="str">
        <f>_xlfn.XLOOKUP($D10,城市信息!$B$1:$B$14,城市信息!$A$1:$A$14)</f>
        <v>002</v>
      </c>
      <c r="M10" t="str">
        <f>_xlfn.XLOOKUP($D10,城市信息!$B$1:$B$14,城市信息!$C$1:$C$14)</f>
        <v>孙乒</v>
      </c>
      <c r="N10" t="str">
        <f>_xlfn.XLOOKUP($D10,城市信息!$B$1:$B$14,城市信息!$D$1:$D$14)</f>
        <v>一线</v>
      </c>
      <c r="O10">
        <f>_xlfn.XLOOKUP($D10,城市信息!$B$1:$B$14,城市信息!$E$1:$E$14)</f>
        <v>9854</v>
      </c>
      <c r="P10" cm="1">
        <f t="array" ref="P10:U10">_xlfn.XLOOKUP(A10&amp;B10,'[1]2.4自动化报表-8月获客数据-非乱码'!$A:$A&amp;'[1]2.4自动化报表-8月获客数据-非乱码'!$B:$B,'[1]2.4自动化报表-8月获客数据-非乱码'!$C:$H)</f>
        <v>3815</v>
      </c>
      <c r="Q10">
        <v>3753</v>
      </c>
      <c r="R10">
        <v>3594</v>
      </c>
      <c r="S10">
        <v>2217</v>
      </c>
      <c r="T10">
        <v>1296</v>
      </c>
      <c r="U10">
        <v>690</v>
      </c>
    </row>
    <row r="11" spans="1:21" x14ac:dyDescent="0.3">
      <c r="A11" s="1">
        <v>44044</v>
      </c>
      <c r="B11" t="s">
        <v>23</v>
      </c>
      <c r="C11" t="s">
        <v>108</v>
      </c>
      <c r="D11" t="s">
        <v>109</v>
      </c>
      <c r="E11" t="s">
        <v>110</v>
      </c>
      <c r="F11" s="2">
        <v>130822</v>
      </c>
      <c r="G11" s="2">
        <v>11792</v>
      </c>
      <c r="H11">
        <v>0</v>
      </c>
      <c r="I11" t="str">
        <f>_xlfn.XLOOKUP($C11,战区信息!$A$1:$A$5,战区信息!$B$1:$B$5)</f>
        <v>001</v>
      </c>
      <c r="J11" t="str">
        <f>_xlfn.XLOOKUP($C11,战区信息!$A$1:$A$5,战区信息!$C$1:$C$5)</f>
        <v>江永</v>
      </c>
      <c r="K11" t="str">
        <f>_xlfn.XLOOKUP($C11,战区信息!$A$1:$A$5,战区信息!$D$1:$D$5)</f>
        <v>一级战区</v>
      </c>
      <c r="L11" t="str">
        <f>_xlfn.XLOOKUP($D11,城市信息!$B$1:$B$14,城市信息!$A$1:$A$14)</f>
        <v>013</v>
      </c>
      <c r="M11" t="str">
        <f>_xlfn.XLOOKUP($D11,城市信息!$B$1:$B$14,城市信息!$C$1:$C$14)</f>
        <v>张建</v>
      </c>
      <c r="N11" t="str">
        <f>_xlfn.XLOOKUP($D11,城市信息!$B$1:$B$14,城市信息!$D$1:$D$14)</f>
        <v>二线</v>
      </c>
      <c r="O11">
        <f>_xlfn.XLOOKUP($D11,城市信息!$B$1:$B$14,城市信息!$E$1:$E$14)</f>
        <v>8800</v>
      </c>
      <c r="P11" cm="1">
        <f t="array" ref="P11:U11">_xlfn.XLOOKUP(A11&amp;B11,'[1]2.4自动化报表-8月获客数据-非乱码'!$A:$A&amp;'[1]2.4自动化报表-8月获客数据-非乱码'!$B:$B,'[1]2.4自动化报表-8月获客数据-非乱码'!$C:$H)</f>
        <v>4758</v>
      </c>
      <c r="Q11">
        <v>4593</v>
      </c>
      <c r="R11">
        <v>4398</v>
      </c>
      <c r="S11">
        <v>2673</v>
      </c>
      <c r="T11">
        <v>1352</v>
      </c>
      <c r="U11">
        <v>693</v>
      </c>
    </row>
    <row r="12" spans="1:21" x14ac:dyDescent="0.3">
      <c r="A12" s="1">
        <v>44044</v>
      </c>
      <c r="B12" t="s">
        <v>22</v>
      </c>
      <c r="C12" t="s">
        <v>108</v>
      </c>
      <c r="D12" t="s">
        <v>109</v>
      </c>
      <c r="E12" t="s">
        <v>111</v>
      </c>
      <c r="F12" s="2">
        <v>25305</v>
      </c>
      <c r="G12" s="2">
        <v>2802</v>
      </c>
      <c r="H12">
        <v>758</v>
      </c>
      <c r="I12" t="str">
        <f>_xlfn.XLOOKUP($C12,战区信息!$A$1:$A$5,战区信息!$B$1:$B$5)</f>
        <v>001</v>
      </c>
      <c r="J12" t="str">
        <f>_xlfn.XLOOKUP($C12,战区信息!$A$1:$A$5,战区信息!$C$1:$C$5)</f>
        <v>江永</v>
      </c>
      <c r="K12" t="str">
        <f>_xlfn.XLOOKUP($C12,战区信息!$A$1:$A$5,战区信息!$D$1:$D$5)</f>
        <v>一级战区</v>
      </c>
      <c r="L12" t="str">
        <f>_xlfn.XLOOKUP($D12,城市信息!$B$1:$B$14,城市信息!$A$1:$A$14)</f>
        <v>013</v>
      </c>
      <c r="M12" t="str">
        <f>_xlfn.XLOOKUP($D12,城市信息!$B$1:$B$14,城市信息!$C$1:$C$14)</f>
        <v>张建</v>
      </c>
      <c r="N12" t="str">
        <f>_xlfn.XLOOKUP($D12,城市信息!$B$1:$B$14,城市信息!$D$1:$D$14)</f>
        <v>二线</v>
      </c>
      <c r="O12">
        <f>_xlfn.XLOOKUP($D12,城市信息!$B$1:$B$14,城市信息!$E$1:$E$14)</f>
        <v>8800</v>
      </c>
      <c r="P12" cm="1">
        <f t="array" ref="P12:U12">_xlfn.XLOOKUP(A12&amp;B12,'[1]2.4自动化报表-8月获客数据-非乱码'!$A:$A&amp;'[1]2.4自动化报表-8月获客数据-非乱码'!$B:$B,'[1]2.4自动化报表-8月获客数据-非乱码'!$C:$H)</f>
        <v>361</v>
      </c>
      <c r="Q12">
        <v>355</v>
      </c>
      <c r="R12">
        <v>325</v>
      </c>
      <c r="S12">
        <v>193</v>
      </c>
      <c r="T12">
        <v>116</v>
      </c>
      <c r="U12">
        <v>691</v>
      </c>
    </row>
    <row r="13" spans="1:21" x14ac:dyDescent="0.3">
      <c r="A13" s="1">
        <v>44044</v>
      </c>
      <c r="B13" t="s">
        <v>21</v>
      </c>
      <c r="C13" t="s">
        <v>108</v>
      </c>
      <c r="D13" t="s">
        <v>109</v>
      </c>
      <c r="E13" t="s">
        <v>112</v>
      </c>
      <c r="F13" s="2">
        <v>119789</v>
      </c>
      <c r="G13" s="2">
        <v>12935</v>
      </c>
      <c r="H13" s="2">
        <v>13080</v>
      </c>
      <c r="I13" t="str">
        <f>_xlfn.XLOOKUP($C13,战区信息!$A$1:$A$5,战区信息!$B$1:$B$5)</f>
        <v>001</v>
      </c>
      <c r="J13" t="str">
        <f>_xlfn.XLOOKUP($C13,战区信息!$A$1:$A$5,战区信息!$C$1:$C$5)</f>
        <v>江永</v>
      </c>
      <c r="K13" t="str">
        <f>_xlfn.XLOOKUP($C13,战区信息!$A$1:$A$5,战区信息!$D$1:$D$5)</f>
        <v>一级战区</v>
      </c>
      <c r="L13" t="str">
        <f>_xlfn.XLOOKUP($D13,城市信息!$B$1:$B$14,城市信息!$A$1:$A$14)</f>
        <v>013</v>
      </c>
      <c r="M13" t="str">
        <f>_xlfn.XLOOKUP($D13,城市信息!$B$1:$B$14,城市信息!$C$1:$C$14)</f>
        <v>张建</v>
      </c>
      <c r="N13" t="str">
        <f>_xlfn.XLOOKUP($D13,城市信息!$B$1:$B$14,城市信息!$D$1:$D$14)</f>
        <v>二线</v>
      </c>
      <c r="O13">
        <f>_xlfn.XLOOKUP($D13,城市信息!$B$1:$B$14,城市信息!$E$1:$E$14)</f>
        <v>8800</v>
      </c>
      <c r="P13" cm="1">
        <f t="array" ref="P13:U13">_xlfn.XLOOKUP(A13&amp;B13,'[1]2.4自动化报表-8月获客数据-非乱码'!$A:$A&amp;'[1]2.4自动化报表-8月获客数据-非乱码'!$B:$B,'[1]2.4自动化报表-8月获客数据-非乱码'!$C:$H)</f>
        <v>4992</v>
      </c>
      <c r="Q13">
        <v>4821</v>
      </c>
      <c r="R13">
        <v>4607</v>
      </c>
      <c r="S13">
        <v>2650</v>
      </c>
      <c r="T13">
        <v>1438</v>
      </c>
      <c r="U13">
        <v>695</v>
      </c>
    </row>
    <row r="14" spans="1:21" x14ac:dyDescent="0.3">
      <c r="A14" s="1">
        <v>44044</v>
      </c>
      <c r="B14" t="s">
        <v>20</v>
      </c>
      <c r="C14" t="s">
        <v>108</v>
      </c>
      <c r="D14" t="s">
        <v>56</v>
      </c>
      <c r="E14" t="s">
        <v>113</v>
      </c>
      <c r="F14" s="2">
        <v>301096</v>
      </c>
      <c r="G14" s="2">
        <v>25905</v>
      </c>
      <c r="H14" s="2">
        <v>7622</v>
      </c>
      <c r="I14" t="str">
        <f>_xlfn.XLOOKUP($C14,战区信息!$A$1:$A$5,战区信息!$B$1:$B$5)</f>
        <v>001</v>
      </c>
      <c r="J14" t="str">
        <f>_xlfn.XLOOKUP($C14,战区信息!$A$1:$A$5,战区信息!$C$1:$C$5)</f>
        <v>江永</v>
      </c>
      <c r="K14" t="str">
        <f>_xlfn.XLOOKUP($C14,战区信息!$A$1:$A$5,战区信息!$D$1:$D$5)</f>
        <v>一级战区</v>
      </c>
      <c r="L14" t="str">
        <f>_xlfn.XLOOKUP($D14,城市信息!$B$1:$B$14,城市信息!$A$1:$A$14)</f>
        <v>001</v>
      </c>
      <c r="M14" t="str">
        <f>_xlfn.XLOOKUP($D14,城市信息!$B$1:$B$14,城市信息!$C$1:$C$14)</f>
        <v>吴刚</v>
      </c>
      <c r="N14" t="str">
        <f>_xlfn.XLOOKUP($D14,城市信息!$B$1:$B$14,城市信息!$D$1:$D$14)</f>
        <v>一线</v>
      </c>
      <c r="O14">
        <f>_xlfn.XLOOKUP($D14,城市信息!$B$1:$B$14,城市信息!$E$1:$E$14)</f>
        <v>12114</v>
      </c>
      <c r="P14" cm="1">
        <f t="array" ref="P14:U14">_xlfn.XLOOKUP(A14&amp;B14,'[1]2.4自动化报表-8月获客数据-非乱码'!$A:$A&amp;'[1]2.4自动化报表-8月获客数据-非乱码'!$B:$B,'[1]2.4自动化报表-8月获客数据-非乱码'!$C:$H)</f>
        <v>4806</v>
      </c>
      <c r="Q14">
        <v>4669</v>
      </c>
      <c r="R14">
        <v>4511</v>
      </c>
      <c r="S14">
        <v>2737</v>
      </c>
      <c r="T14">
        <v>1527</v>
      </c>
      <c r="U14">
        <v>693</v>
      </c>
    </row>
    <row r="15" spans="1:21" x14ac:dyDescent="0.3">
      <c r="A15" s="1">
        <v>44044</v>
      </c>
      <c r="B15" t="s">
        <v>19</v>
      </c>
      <c r="C15" t="s">
        <v>108</v>
      </c>
      <c r="D15" t="s">
        <v>56</v>
      </c>
      <c r="E15" t="s">
        <v>114</v>
      </c>
      <c r="F15" s="2">
        <v>120013</v>
      </c>
      <c r="G15" s="2">
        <v>12647</v>
      </c>
      <c r="H15">
        <v>0</v>
      </c>
      <c r="I15" t="str">
        <f>_xlfn.XLOOKUP($C15,战区信息!$A$1:$A$5,战区信息!$B$1:$B$5)</f>
        <v>001</v>
      </c>
      <c r="J15" t="str">
        <f>_xlfn.XLOOKUP($C15,战区信息!$A$1:$A$5,战区信息!$C$1:$C$5)</f>
        <v>江永</v>
      </c>
      <c r="K15" t="str">
        <f>_xlfn.XLOOKUP($C15,战区信息!$A$1:$A$5,战区信息!$D$1:$D$5)</f>
        <v>一级战区</v>
      </c>
      <c r="L15" t="str">
        <f>_xlfn.XLOOKUP($D15,城市信息!$B$1:$B$14,城市信息!$A$1:$A$14)</f>
        <v>001</v>
      </c>
      <c r="M15" t="str">
        <f>_xlfn.XLOOKUP($D15,城市信息!$B$1:$B$14,城市信息!$C$1:$C$14)</f>
        <v>吴刚</v>
      </c>
      <c r="N15" t="str">
        <f>_xlfn.XLOOKUP($D15,城市信息!$B$1:$B$14,城市信息!$D$1:$D$14)</f>
        <v>一线</v>
      </c>
      <c r="O15">
        <f>_xlfn.XLOOKUP($D15,城市信息!$B$1:$B$14,城市信息!$E$1:$E$14)</f>
        <v>12114</v>
      </c>
      <c r="P15" cm="1">
        <f t="array" ref="P15:U15">_xlfn.XLOOKUP(A15&amp;B15,'[1]2.4自动化报表-8月获客数据-非乱码'!$A:$A&amp;'[1]2.4自动化报表-8月获客数据-非乱码'!$B:$B,'[1]2.4自动化报表-8月获客数据-非乱码'!$C:$H)</f>
        <v>2925</v>
      </c>
      <c r="Q15">
        <v>2858</v>
      </c>
      <c r="R15">
        <v>2747</v>
      </c>
      <c r="S15">
        <v>1612</v>
      </c>
      <c r="T15">
        <v>968</v>
      </c>
      <c r="U15">
        <v>696</v>
      </c>
    </row>
    <row r="16" spans="1:21" x14ac:dyDescent="0.3">
      <c r="A16" s="1">
        <v>44044</v>
      </c>
      <c r="B16" t="s">
        <v>18</v>
      </c>
      <c r="C16" t="s">
        <v>108</v>
      </c>
      <c r="D16" t="s">
        <v>56</v>
      </c>
      <c r="E16" t="s">
        <v>115</v>
      </c>
      <c r="F16" s="2">
        <v>137159</v>
      </c>
      <c r="G16" s="2">
        <v>10854</v>
      </c>
      <c r="H16">
        <v>0</v>
      </c>
      <c r="I16" t="str">
        <f>_xlfn.XLOOKUP($C16,战区信息!$A$1:$A$5,战区信息!$B$1:$B$5)</f>
        <v>001</v>
      </c>
      <c r="J16" t="str">
        <f>_xlfn.XLOOKUP($C16,战区信息!$A$1:$A$5,战区信息!$C$1:$C$5)</f>
        <v>江永</v>
      </c>
      <c r="K16" t="str">
        <f>_xlfn.XLOOKUP($C16,战区信息!$A$1:$A$5,战区信息!$D$1:$D$5)</f>
        <v>一级战区</v>
      </c>
      <c r="L16" t="str">
        <f>_xlfn.XLOOKUP($D16,城市信息!$B$1:$B$14,城市信息!$A$1:$A$14)</f>
        <v>001</v>
      </c>
      <c r="M16" t="str">
        <f>_xlfn.XLOOKUP($D16,城市信息!$B$1:$B$14,城市信息!$C$1:$C$14)</f>
        <v>吴刚</v>
      </c>
      <c r="N16" t="str">
        <f>_xlfn.XLOOKUP($D16,城市信息!$B$1:$B$14,城市信息!$D$1:$D$14)</f>
        <v>一线</v>
      </c>
      <c r="O16">
        <f>_xlfn.XLOOKUP($D16,城市信息!$B$1:$B$14,城市信息!$E$1:$E$14)</f>
        <v>12114</v>
      </c>
      <c r="P16" cm="1">
        <f t="array" ref="P16:U16">_xlfn.XLOOKUP(A16&amp;B16,'[1]2.4自动化报表-8月获客数据-非乱码'!$A:$A&amp;'[1]2.4自动化报表-8月获客数据-非乱码'!$B:$B,'[1]2.4自动化报表-8月获客数据-非乱码'!$C:$H)</f>
        <v>3438</v>
      </c>
      <c r="Q16">
        <v>3382</v>
      </c>
      <c r="R16">
        <v>3243</v>
      </c>
      <c r="S16">
        <v>1962</v>
      </c>
      <c r="T16">
        <v>1044</v>
      </c>
      <c r="U16">
        <v>690</v>
      </c>
    </row>
    <row r="17" spans="1:21" x14ac:dyDescent="0.3">
      <c r="A17" s="1">
        <v>44044</v>
      </c>
      <c r="B17" t="s">
        <v>17</v>
      </c>
      <c r="C17" t="s">
        <v>108</v>
      </c>
      <c r="D17" t="s">
        <v>59</v>
      </c>
      <c r="E17" t="s">
        <v>116</v>
      </c>
      <c r="F17" s="2">
        <v>196498</v>
      </c>
      <c r="G17" s="2">
        <v>18581</v>
      </c>
      <c r="H17" s="2">
        <v>7160</v>
      </c>
      <c r="I17" t="str">
        <f>_xlfn.XLOOKUP($C17,战区信息!$A$1:$A$5,战区信息!$B$1:$B$5)</f>
        <v>001</v>
      </c>
      <c r="J17" t="str">
        <f>_xlfn.XLOOKUP($C17,战区信息!$A$1:$A$5,战区信息!$C$1:$C$5)</f>
        <v>江永</v>
      </c>
      <c r="K17" t="str">
        <f>_xlfn.XLOOKUP($C17,战区信息!$A$1:$A$5,战区信息!$D$1:$D$5)</f>
        <v>一级战区</v>
      </c>
      <c r="L17" t="str">
        <f>_xlfn.XLOOKUP($D17,城市信息!$B$1:$B$14,城市信息!$A$1:$A$14)</f>
        <v>004</v>
      </c>
      <c r="M17" t="str">
        <f>_xlfn.XLOOKUP($D17,城市信息!$B$1:$B$14,城市信息!$C$1:$C$14)</f>
        <v>苏川</v>
      </c>
      <c r="N17" t="str">
        <f>_xlfn.XLOOKUP($D17,城市信息!$B$1:$B$14,城市信息!$D$1:$D$14)</f>
        <v>二线</v>
      </c>
      <c r="O17">
        <f>_xlfn.XLOOKUP($D17,城市信息!$B$1:$B$14,城市信息!$E$1:$E$14)</f>
        <v>9912</v>
      </c>
      <c r="P17" cm="1">
        <f t="array" ref="P17:U17">_xlfn.XLOOKUP(A17&amp;B17,'[1]2.4自动化报表-8月获客数据-非乱码'!$A:$A&amp;'[1]2.4自动化报表-8月获客数据-非乱码'!$B:$B,'[1]2.4自动化报表-8月获客数据-非乱码'!$C:$H)</f>
        <v>2758</v>
      </c>
      <c r="Q17">
        <v>2709</v>
      </c>
      <c r="R17">
        <v>2630</v>
      </c>
      <c r="S17">
        <v>1526</v>
      </c>
      <c r="T17">
        <v>882</v>
      </c>
      <c r="U17">
        <v>696</v>
      </c>
    </row>
    <row r="18" spans="1:21" x14ac:dyDescent="0.3">
      <c r="A18" s="1">
        <v>44044</v>
      </c>
      <c r="B18" t="s">
        <v>16</v>
      </c>
      <c r="C18" t="s">
        <v>108</v>
      </c>
      <c r="D18" t="s">
        <v>59</v>
      </c>
      <c r="E18" t="s">
        <v>117</v>
      </c>
      <c r="F18" s="2">
        <v>64068</v>
      </c>
      <c r="G18" s="2">
        <v>7491</v>
      </c>
      <c r="H18">
        <v>0</v>
      </c>
      <c r="I18" t="str">
        <f>_xlfn.XLOOKUP($C18,战区信息!$A$1:$A$5,战区信息!$B$1:$B$5)</f>
        <v>001</v>
      </c>
      <c r="J18" t="str">
        <f>_xlfn.XLOOKUP($C18,战区信息!$A$1:$A$5,战区信息!$C$1:$C$5)</f>
        <v>江永</v>
      </c>
      <c r="K18" t="str">
        <f>_xlfn.XLOOKUP($C18,战区信息!$A$1:$A$5,战区信息!$D$1:$D$5)</f>
        <v>一级战区</v>
      </c>
      <c r="L18" t="str">
        <f>_xlfn.XLOOKUP($D18,城市信息!$B$1:$B$14,城市信息!$A$1:$A$14)</f>
        <v>004</v>
      </c>
      <c r="M18" t="str">
        <f>_xlfn.XLOOKUP($D18,城市信息!$B$1:$B$14,城市信息!$C$1:$C$14)</f>
        <v>苏川</v>
      </c>
      <c r="N18" t="str">
        <f>_xlfn.XLOOKUP($D18,城市信息!$B$1:$B$14,城市信息!$D$1:$D$14)</f>
        <v>二线</v>
      </c>
      <c r="O18">
        <f>_xlfn.XLOOKUP($D18,城市信息!$B$1:$B$14,城市信息!$E$1:$E$14)</f>
        <v>9912</v>
      </c>
      <c r="P18" cm="1">
        <f t="array" ref="P18:U18">_xlfn.XLOOKUP(A18&amp;B18,'[1]2.4自动化报表-8月获客数据-非乱码'!$A:$A&amp;'[1]2.4自动化报表-8月获客数据-非乱码'!$B:$B,'[1]2.4自动化报表-8月获客数据-非乱码'!$C:$H)</f>
        <v>1701</v>
      </c>
      <c r="Q18">
        <v>1648</v>
      </c>
      <c r="R18">
        <v>1570</v>
      </c>
      <c r="S18">
        <v>867</v>
      </c>
      <c r="T18">
        <v>479</v>
      </c>
      <c r="U18">
        <v>695</v>
      </c>
    </row>
    <row r="19" spans="1:21" x14ac:dyDescent="0.3">
      <c r="A19" s="1">
        <v>44044</v>
      </c>
      <c r="B19" t="s">
        <v>15</v>
      </c>
      <c r="C19" t="s">
        <v>108</v>
      </c>
      <c r="D19" t="s">
        <v>59</v>
      </c>
      <c r="E19" t="s">
        <v>118</v>
      </c>
      <c r="F19" s="2">
        <v>56502</v>
      </c>
      <c r="G19" s="2">
        <v>4764</v>
      </c>
      <c r="H19">
        <v>0</v>
      </c>
      <c r="I19" t="str">
        <f>_xlfn.XLOOKUP($C19,战区信息!$A$1:$A$5,战区信息!$B$1:$B$5)</f>
        <v>001</v>
      </c>
      <c r="J19" t="str">
        <f>_xlfn.XLOOKUP($C19,战区信息!$A$1:$A$5,战区信息!$C$1:$C$5)</f>
        <v>江永</v>
      </c>
      <c r="K19" t="str">
        <f>_xlfn.XLOOKUP($C19,战区信息!$A$1:$A$5,战区信息!$D$1:$D$5)</f>
        <v>一级战区</v>
      </c>
      <c r="L19" t="str">
        <f>_xlfn.XLOOKUP($D19,城市信息!$B$1:$B$14,城市信息!$A$1:$A$14)</f>
        <v>004</v>
      </c>
      <c r="M19" t="str">
        <f>_xlfn.XLOOKUP($D19,城市信息!$B$1:$B$14,城市信息!$C$1:$C$14)</f>
        <v>苏川</v>
      </c>
      <c r="N19" t="str">
        <f>_xlfn.XLOOKUP($D19,城市信息!$B$1:$B$14,城市信息!$D$1:$D$14)</f>
        <v>二线</v>
      </c>
      <c r="O19">
        <f>_xlfn.XLOOKUP($D19,城市信息!$B$1:$B$14,城市信息!$E$1:$E$14)</f>
        <v>9912</v>
      </c>
      <c r="P19" cm="1">
        <f t="array" ref="P19:U19">_xlfn.XLOOKUP(A19&amp;B19,'[1]2.4自动化报表-8月获客数据-非乱码'!$A:$A&amp;'[1]2.4自动化报表-8月获客数据-非乱码'!$B:$B,'[1]2.4自动化报表-8月获客数据-非乱码'!$C:$H)</f>
        <v>2373</v>
      </c>
      <c r="Q19">
        <v>2334</v>
      </c>
      <c r="R19">
        <v>2249</v>
      </c>
      <c r="S19">
        <v>1350</v>
      </c>
      <c r="T19">
        <v>694</v>
      </c>
      <c r="U19">
        <v>697</v>
      </c>
    </row>
    <row r="20" spans="1:21" x14ac:dyDescent="0.3">
      <c r="A20" s="1">
        <v>44044</v>
      </c>
      <c r="B20" t="s">
        <v>14</v>
      </c>
      <c r="C20" t="s">
        <v>108</v>
      </c>
      <c r="D20" t="s">
        <v>59</v>
      </c>
      <c r="E20" t="s">
        <v>119</v>
      </c>
      <c r="F20" s="2">
        <v>35100</v>
      </c>
      <c r="G20" s="2">
        <v>3010</v>
      </c>
      <c r="H20">
        <v>0</v>
      </c>
      <c r="I20" t="str">
        <f>_xlfn.XLOOKUP($C20,战区信息!$A$1:$A$5,战区信息!$B$1:$B$5)</f>
        <v>001</v>
      </c>
      <c r="J20" t="str">
        <f>_xlfn.XLOOKUP($C20,战区信息!$A$1:$A$5,战区信息!$C$1:$C$5)</f>
        <v>江永</v>
      </c>
      <c r="K20" t="str">
        <f>_xlfn.XLOOKUP($C20,战区信息!$A$1:$A$5,战区信息!$D$1:$D$5)</f>
        <v>一级战区</v>
      </c>
      <c r="L20" t="str">
        <f>_xlfn.XLOOKUP($D20,城市信息!$B$1:$B$14,城市信息!$A$1:$A$14)</f>
        <v>004</v>
      </c>
      <c r="M20" t="str">
        <f>_xlfn.XLOOKUP($D20,城市信息!$B$1:$B$14,城市信息!$C$1:$C$14)</f>
        <v>苏川</v>
      </c>
      <c r="N20" t="str">
        <f>_xlfn.XLOOKUP($D20,城市信息!$B$1:$B$14,城市信息!$D$1:$D$14)</f>
        <v>二线</v>
      </c>
      <c r="O20">
        <f>_xlfn.XLOOKUP($D20,城市信息!$B$1:$B$14,城市信息!$E$1:$E$14)</f>
        <v>9912</v>
      </c>
      <c r="P20" cm="1">
        <f t="array" ref="P20:U20">_xlfn.XLOOKUP(A20&amp;B20,'[1]2.4自动化报表-8月获客数据-非乱码'!$A:$A&amp;'[1]2.4自动化报表-8月获客数据-非乱码'!$B:$B,'[1]2.4自动化报表-8月获客数据-非乱码'!$C:$H)</f>
        <v>1815</v>
      </c>
      <c r="Q20">
        <v>1759</v>
      </c>
      <c r="R20">
        <v>1685</v>
      </c>
      <c r="S20">
        <v>1060</v>
      </c>
      <c r="T20">
        <v>545</v>
      </c>
      <c r="U20">
        <v>699</v>
      </c>
    </row>
    <row r="21" spans="1:21" x14ac:dyDescent="0.3">
      <c r="A21" s="1">
        <v>44044</v>
      </c>
      <c r="B21" t="s">
        <v>13</v>
      </c>
      <c r="C21" t="s">
        <v>108</v>
      </c>
      <c r="D21" t="s">
        <v>60</v>
      </c>
      <c r="E21" t="s">
        <v>120</v>
      </c>
      <c r="F21" s="2">
        <v>118385</v>
      </c>
      <c r="G21" s="2">
        <v>12337</v>
      </c>
      <c r="H21" s="2">
        <v>3027</v>
      </c>
      <c r="I21" t="str">
        <f>_xlfn.XLOOKUP($C21,战区信息!$A$1:$A$5,战区信息!$B$1:$B$5)</f>
        <v>001</v>
      </c>
      <c r="J21" t="str">
        <f>_xlfn.XLOOKUP($C21,战区信息!$A$1:$A$5,战区信息!$C$1:$C$5)</f>
        <v>江永</v>
      </c>
      <c r="K21" t="str">
        <f>_xlfn.XLOOKUP($C21,战区信息!$A$1:$A$5,战区信息!$D$1:$D$5)</f>
        <v>一级战区</v>
      </c>
      <c r="L21" t="str">
        <f>_xlfn.XLOOKUP($D21,城市信息!$B$1:$B$14,城市信息!$A$1:$A$14)</f>
        <v>005</v>
      </c>
      <c r="M21" t="str">
        <f>_xlfn.XLOOKUP($D21,城市信息!$B$1:$B$14,城市信息!$C$1:$C$14)</f>
        <v>侯阳冰</v>
      </c>
      <c r="N21" t="str">
        <f>_xlfn.XLOOKUP($D21,城市信息!$B$1:$B$14,城市信息!$D$1:$D$14)</f>
        <v>二线</v>
      </c>
      <c r="O21">
        <f>_xlfn.XLOOKUP($D21,城市信息!$B$1:$B$14,城市信息!$E$1:$E$14)</f>
        <v>8694</v>
      </c>
      <c r="P21" cm="1">
        <f t="array" ref="P21:U21">_xlfn.XLOOKUP(A21&amp;B21,'[1]2.4自动化报表-8月获客数据-非乱码'!$A:$A&amp;'[1]2.4自动化报表-8月获客数据-非乱码'!$B:$B,'[1]2.4自动化报表-8月获客数据-非乱码'!$C:$H)</f>
        <v>2825</v>
      </c>
      <c r="Q21">
        <v>2758</v>
      </c>
      <c r="R21">
        <v>2637</v>
      </c>
      <c r="S21">
        <v>1669</v>
      </c>
      <c r="T21">
        <v>863</v>
      </c>
      <c r="U21">
        <v>698</v>
      </c>
    </row>
    <row r="22" spans="1:21" x14ac:dyDescent="0.3">
      <c r="A22" s="1">
        <v>44044</v>
      </c>
      <c r="B22" t="s">
        <v>12</v>
      </c>
      <c r="C22" t="s">
        <v>108</v>
      </c>
      <c r="D22" t="s">
        <v>60</v>
      </c>
      <c r="E22" t="s">
        <v>121</v>
      </c>
      <c r="F22" s="2">
        <v>61595</v>
      </c>
      <c r="G22" s="2">
        <v>8104</v>
      </c>
      <c r="H22" s="2">
        <v>13136</v>
      </c>
      <c r="I22" t="str">
        <f>_xlfn.XLOOKUP($C22,战区信息!$A$1:$A$5,战区信息!$B$1:$B$5)</f>
        <v>001</v>
      </c>
      <c r="J22" t="str">
        <f>_xlfn.XLOOKUP($C22,战区信息!$A$1:$A$5,战区信息!$C$1:$C$5)</f>
        <v>江永</v>
      </c>
      <c r="K22" t="str">
        <f>_xlfn.XLOOKUP($C22,战区信息!$A$1:$A$5,战区信息!$D$1:$D$5)</f>
        <v>一级战区</v>
      </c>
      <c r="L22" t="str">
        <f>_xlfn.XLOOKUP($D22,城市信息!$B$1:$B$14,城市信息!$A$1:$A$14)</f>
        <v>005</v>
      </c>
      <c r="M22" t="str">
        <f>_xlfn.XLOOKUP($D22,城市信息!$B$1:$B$14,城市信息!$C$1:$C$14)</f>
        <v>侯阳冰</v>
      </c>
      <c r="N22" t="str">
        <f>_xlfn.XLOOKUP($D22,城市信息!$B$1:$B$14,城市信息!$D$1:$D$14)</f>
        <v>二线</v>
      </c>
      <c r="O22">
        <f>_xlfn.XLOOKUP($D22,城市信息!$B$1:$B$14,城市信息!$E$1:$E$14)</f>
        <v>8694</v>
      </c>
      <c r="P22" cm="1">
        <f t="array" ref="P22:U22">_xlfn.XLOOKUP(A22&amp;B22,'[1]2.4自动化报表-8月获客数据-非乱码'!$A:$A&amp;'[1]2.4自动化报表-8月获客数据-非乱码'!$B:$B,'[1]2.4自动化报表-8月获客数据-非乱码'!$C:$H)</f>
        <v>1469</v>
      </c>
      <c r="Q22">
        <v>1443</v>
      </c>
      <c r="R22">
        <v>1373</v>
      </c>
      <c r="S22">
        <v>873</v>
      </c>
      <c r="T22">
        <v>443</v>
      </c>
      <c r="U22">
        <v>696</v>
      </c>
    </row>
    <row r="23" spans="1:21" x14ac:dyDescent="0.3">
      <c r="A23" s="1">
        <v>44044</v>
      </c>
      <c r="B23" t="s">
        <v>11</v>
      </c>
      <c r="C23" t="s">
        <v>108</v>
      </c>
      <c r="D23" t="s">
        <v>58</v>
      </c>
      <c r="E23" t="s">
        <v>122</v>
      </c>
      <c r="F23" s="2">
        <v>102282</v>
      </c>
      <c r="G23" s="2">
        <v>9140</v>
      </c>
      <c r="H23" s="2">
        <v>4247</v>
      </c>
      <c r="I23" t="str">
        <f>_xlfn.XLOOKUP($C23,战区信息!$A$1:$A$5,战区信息!$B$1:$B$5)</f>
        <v>001</v>
      </c>
      <c r="J23" t="str">
        <f>_xlfn.XLOOKUP($C23,战区信息!$A$1:$A$5,战区信息!$C$1:$C$5)</f>
        <v>江永</v>
      </c>
      <c r="K23" t="str">
        <f>_xlfn.XLOOKUP($C23,战区信息!$A$1:$A$5,战区信息!$D$1:$D$5)</f>
        <v>一级战区</v>
      </c>
      <c r="L23" t="str">
        <f>_xlfn.XLOOKUP($D23,城市信息!$B$1:$B$14,城市信息!$A$1:$A$14)</f>
        <v>003</v>
      </c>
      <c r="M23" t="str">
        <f>_xlfn.XLOOKUP($D23,城市信息!$B$1:$B$14,城市信息!$C$1:$C$14)</f>
        <v>杜光亮</v>
      </c>
      <c r="N23" t="str">
        <f>_xlfn.XLOOKUP($D23,城市信息!$B$1:$B$14,城市信息!$D$1:$D$14)</f>
        <v>二线</v>
      </c>
      <c r="O23">
        <f>_xlfn.XLOOKUP($D23,城市信息!$B$1:$B$14,城市信息!$E$1:$E$14)</f>
        <v>10499</v>
      </c>
      <c r="P23" cm="1">
        <f t="array" ref="P23:U23">_xlfn.XLOOKUP(A23&amp;B23,'[1]2.4自动化报表-8月获客数据-非乱码'!$A:$A&amp;'[1]2.4自动化报表-8月获客数据-非乱码'!$B:$B,'[1]2.4自动化报表-8月获客数据-非乱码'!$C:$H)</f>
        <v>3695</v>
      </c>
      <c r="Q23">
        <v>3550</v>
      </c>
      <c r="R23">
        <v>3370</v>
      </c>
      <c r="S23">
        <v>1994</v>
      </c>
      <c r="T23">
        <v>991</v>
      </c>
      <c r="U23">
        <v>699</v>
      </c>
    </row>
    <row r="24" spans="1:21" x14ac:dyDescent="0.3">
      <c r="A24" s="1">
        <v>44044</v>
      </c>
      <c r="B24" t="s">
        <v>10</v>
      </c>
      <c r="C24" t="s">
        <v>108</v>
      </c>
      <c r="D24" t="s">
        <v>58</v>
      </c>
      <c r="E24" t="s">
        <v>123</v>
      </c>
      <c r="F24" s="2">
        <v>62003</v>
      </c>
      <c r="G24" s="2">
        <v>5974</v>
      </c>
      <c r="H24">
        <v>0</v>
      </c>
      <c r="I24" t="str">
        <f>_xlfn.XLOOKUP($C24,战区信息!$A$1:$A$5,战区信息!$B$1:$B$5)</f>
        <v>001</v>
      </c>
      <c r="J24" t="str">
        <f>_xlfn.XLOOKUP($C24,战区信息!$A$1:$A$5,战区信息!$C$1:$C$5)</f>
        <v>江永</v>
      </c>
      <c r="K24" t="str">
        <f>_xlfn.XLOOKUP($C24,战区信息!$A$1:$A$5,战区信息!$D$1:$D$5)</f>
        <v>一级战区</v>
      </c>
      <c r="L24" t="str">
        <f>_xlfn.XLOOKUP($D24,城市信息!$B$1:$B$14,城市信息!$A$1:$A$14)</f>
        <v>003</v>
      </c>
      <c r="M24" t="str">
        <f>_xlfn.XLOOKUP($D24,城市信息!$B$1:$B$14,城市信息!$C$1:$C$14)</f>
        <v>杜光亮</v>
      </c>
      <c r="N24" t="str">
        <f>_xlfn.XLOOKUP($D24,城市信息!$B$1:$B$14,城市信息!$D$1:$D$14)</f>
        <v>二线</v>
      </c>
      <c r="O24">
        <f>_xlfn.XLOOKUP($D24,城市信息!$B$1:$B$14,城市信息!$E$1:$E$14)</f>
        <v>10499</v>
      </c>
      <c r="P24" cm="1">
        <f t="array" ref="P24:U24">_xlfn.XLOOKUP(A24&amp;B24,'[1]2.4自动化报表-8月获客数据-非乱码'!$A:$A&amp;'[1]2.4自动化报表-8月获客数据-非乱码'!$B:$B,'[1]2.4自动化报表-8月获客数据-非乱码'!$C:$H)</f>
        <v>1773</v>
      </c>
      <c r="Q24">
        <v>1738</v>
      </c>
      <c r="R24">
        <v>1690</v>
      </c>
      <c r="S24">
        <v>1017</v>
      </c>
      <c r="T24">
        <v>614</v>
      </c>
      <c r="U24">
        <v>701</v>
      </c>
    </row>
    <row r="25" spans="1:21" x14ac:dyDescent="0.3">
      <c r="A25" s="1">
        <v>44044</v>
      </c>
      <c r="B25" t="s">
        <v>9</v>
      </c>
      <c r="C25" t="s">
        <v>108</v>
      </c>
      <c r="D25" t="s">
        <v>58</v>
      </c>
      <c r="E25" t="s">
        <v>124</v>
      </c>
      <c r="F25" s="2">
        <v>195786</v>
      </c>
      <c r="G25" s="2">
        <v>20225</v>
      </c>
      <c r="H25" s="2">
        <v>26003</v>
      </c>
      <c r="I25" t="str">
        <f>_xlfn.XLOOKUP($C25,战区信息!$A$1:$A$5,战区信息!$B$1:$B$5)</f>
        <v>001</v>
      </c>
      <c r="J25" t="str">
        <f>_xlfn.XLOOKUP($C25,战区信息!$A$1:$A$5,战区信息!$C$1:$C$5)</f>
        <v>江永</v>
      </c>
      <c r="K25" t="str">
        <f>_xlfn.XLOOKUP($C25,战区信息!$A$1:$A$5,战区信息!$D$1:$D$5)</f>
        <v>一级战区</v>
      </c>
      <c r="L25" t="str">
        <f>_xlfn.XLOOKUP($D25,城市信息!$B$1:$B$14,城市信息!$A$1:$A$14)</f>
        <v>003</v>
      </c>
      <c r="M25" t="str">
        <f>_xlfn.XLOOKUP($D25,城市信息!$B$1:$B$14,城市信息!$C$1:$C$14)</f>
        <v>杜光亮</v>
      </c>
      <c r="N25" t="str">
        <f>_xlfn.XLOOKUP($D25,城市信息!$B$1:$B$14,城市信息!$D$1:$D$14)</f>
        <v>二线</v>
      </c>
      <c r="O25">
        <f>_xlfn.XLOOKUP($D25,城市信息!$B$1:$B$14,城市信息!$E$1:$E$14)</f>
        <v>10499</v>
      </c>
      <c r="P25" cm="1">
        <f t="array" ref="P25:U25">_xlfn.XLOOKUP(A25&amp;B25,'[1]2.4自动化报表-8月获客数据-非乱码'!$A:$A&amp;'[1]2.4自动化报表-8月获客数据-非乱码'!$B:$B,'[1]2.4自动化报表-8月获客数据-非乱码'!$C:$H)</f>
        <v>3505</v>
      </c>
      <c r="Q25">
        <v>3436</v>
      </c>
      <c r="R25">
        <v>3331</v>
      </c>
      <c r="S25">
        <v>1921</v>
      </c>
      <c r="T25">
        <v>1081</v>
      </c>
      <c r="U25">
        <v>694</v>
      </c>
    </row>
    <row r="26" spans="1:21" x14ac:dyDescent="0.3">
      <c r="A26" s="1">
        <v>44044</v>
      </c>
      <c r="B26" t="s">
        <v>8</v>
      </c>
      <c r="C26" t="s">
        <v>125</v>
      </c>
      <c r="D26" t="s">
        <v>66</v>
      </c>
      <c r="E26" t="s">
        <v>126</v>
      </c>
      <c r="F26" s="2">
        <v>73796</v>
      </c>
      <c r="G26" s="2">
        <v>5901</v>
      </c>
      <c r="H26">
        <v>0</v>
      </c>
      <c r="I26" t="str">
        <f>_xlfn.XLOOKUP($C26,战区信息!$A$1:$A$5,战区信息!$B$1:$B$5)</f>
        <v>004</v>
      </c>
      <c r="J26" t="str">
        <f>_xlfn.XLOOKUP($C26,战区信息!$A$1:$A$5,战区信息!$C$1:$C$5)</f>
        <v>沈乐欣</v>
      </c>
      <c r="K26" t="str">
        <f>_xlfn.XLOOKUP($C26,战区信息!$A$1:$A$5,战区信息!$D$1:$D$5)</f>
        <v>三级战区</v>
      </c>
      <c r="L26" t="str">
        <f>_xlfn.XLOOKUP($D26,城市信息!$B$1:$B$14,城市信息!$A$1:$A$14)</f>
        <v>011</v>
      </c>
      <c r="M26" t="str">
        <f>_xlfn.XLOOKUP($D26,城市信息!$B$1:$B$14,城市信息!$C$1:$C$14)</f>
        <v>冯谦</v>
      </c>
      <c r="N26" t="str">
        <f>_xlfn.XLOOKUP($D26,城市信息!$B$1:$B$14,城市信息!$D$1:$D$14)</f>
        <v>一线</v>
      </c>
      <c r="O26">
        <f>_xlfn.XLOOKUP($D26,城市信息!$B$1:$B$14,城市信息!$E$1:$E$14)</f>
        <v>8244</v>
      </c>
      <c r="P26" cm="1">
        <f t="array" ref="P26:U26">_xlfn.XLOOKUP(A26&amp;B26,'[1]2.4自动化报表-8月获客数据-非乱码'!$A:$A&amp;'[1]2.4自动化报表-8月获客数据-非乱码'!$B:$B,'[1]2.4自动化报表-8月获客数据-非乱码'!$C:$H)</f>
        <v>1713</v>
      </c>
      <c r="Q26">
        <v>1696</v>
      </c>
      <c r="R26">
        <v>1645</v>
      </c>
      <c r="S26">
        <v>884</v>
      </c>
      <c r="T26">
        <v>576</v>
      </c>
      <c r="U26">
        <v>684</v>
      </c>
    </row>
    <row r="27" spans="1:21" x14ac:dyDescent="0.3">
      <c r="A27" s="1">
        <v>44044</v>
      </c>
      <c r="B27" t="s">
        <v>7</v>
      </c>
      <c r="C27" t="s">
        <v>125</v>
      </c>
      <c r="D27" t="s">
        <v>62</v>
      </c>
      <c r="E27" t="s">
        <v>127</v>
      </c>
      <c r="F27" s="2">
        <v>10001</v>
      </c>
      <c r="G27" s="2">
        <v>1443</v>
      </c>
      <c r="H27">
        <v>0</v>
      </c>
      <c r="I27" t="str">
        <f>_xlfn.XLOOKUP($C27,战区信息!$A$1:$A$5,战区信息!$B$1:$B$5)</f>
        <v>004</v>
      </c>
      <c r="J27" t="str">
        <f>_xlfn.XLOOKUP($C27,战区信息!$A$1:$A$5,战区信息!$C$1:$C$5)</f>
        <v>沈乐欣</v>
      </c>
      <c r="K27" t="str">
        <f>_xlfn.XLOOKUP($C27,战区信息!$A$1:$A$5,战区信息!$D$1:$D$5)</f>
        <v>三级战区</v>
      </c>
      <c r="L27" t="str">
        <f>_xlfn.XLOOKUP($D27,城市信息!$B$1:$B$14,城市信息!$A$1:$A$14)</f>
        <v>007</v>
      </c>
      <c r="M27" t="str">
        <f>_xlfn.XLOOKUP($D27,城市信息!$B$1:$B$14,城市信息!$C$1:$C$14)</f>
        <v>范俊发</v>
      </c>
      <c r="N27" t="str">
        <f>_xlfn.XLOOKUP($D27,城市信息!$B$1:$B$14,城市信息!$D$1:$D$14)</f>
        <v>一线</v>
      </c>
      <c r="O27">
        <f>_xlfn.XLOOKUP($D27,城市信息!$B$1:$B$14,城市信息!$E$1:$E$14)</f>
        <v>12358</v>
      </c>
      <c r="P27" cm="1">
        <f t="array" ref="P27:U27">_xlfn.XLOOKUP(A27&amp;B27,'[1]2.4自动化报表-8月获客数据-非乱码'!$A:$A&amp;'[1]2.4自动化报表-8月获客数据-非乱码'!$B:$B,'[1]2.4自动化报表-8月获客数据-非乱码'!$C:$H)</f>
        <v>132</v>
      </c>
      <c r="Q27">
        <v>126</v>
      </c>
      <c r="R27">
        <v>117</v>
      </c>
      <c r="S27">
        <v>64</v>
      </c>
      <c r="T27">
        <v>33</v>
      </c>
      <c r="U27">
        <v>689</v>
      </c>
    </row>
    <row r="28" spans="1:21" x14ac:dyDescent="0.3">
      <c r="A28" s="1">
        <v>44044</v>
      </c>
      <c r="B28" t="s">
        <v>6</v>
      </c>
      <c r="C28" t="s">
        <v>125</v>
      </c>
      <c r="D28" t="s">
        <v>62</v>
      </c>
      <c r="E28" t="s">
        <v>128</v>
      </c>
      <c r="F28" s="2">
        <v>29993</v>
      </c>
      <c r="G28" s="2">
        <v>3862</v>
      </c>
      <c r="H28">
        <v>0</v>
      </c>
      <c r="I28" t="str">
        <f>_xlfn.XLOOKUP($C28,战区信息!$A$1:$A$5,战区信息!$B$1:$B$5)</f>
        <v>004</v>
      </c>
      <c r="J28" t="str">
        <f>_xlfn.XLOOKUP($C28,战区信息!$A$1:$A$5,战区信息!$C$1:$C$5)</f>
        <v>沈乐欣</v>
      </c>
      <c r="K28" t="str">
        <f>_xlfn.XLOOKUP($C28,战区信息!$A$1:$A$5,战区信息!$D$1:$D$5)</f>
        <v>三级战区</v>
      </c>
      <c r="L28" t="str">
        <f>_xlfn.XLOOKUP($D28,城市信息!$B$1:$B$14,城市信息!$A$1:$A$14)</f>
        <v>007</v>
      </c>
      <c r="M28" t="str">
        <f>_xlfn.XLOOKUP($D28,城市信息!$B$1:$B$14,城市信息!$C$1:$C$14)</f>
        <v>范俊发</v>
      </c>
      <c r="N28" t="str">
        <f>_xlfn.XLOOKUP($D28,城市信息!$B$1:$B$14,城市信息!$D$1:$D$14)</f>
        <v>一线</v>
      </c>
      <c r="O28">
        <f>_xlfn.XLOOKUP($D28,城市信息!$B$1:$B$14,城市信息!$E$1:$E$14)</f>
        <v>12358</v>
      </c>
      <c r="P28" cm="1">
        <f t="array" ref="P28:U28">_xlfn.XLOOKUP(A28&amp;B28,'[1]2.4自动化报表-8月获客数据-非乱码'!$A:$A&amp;'[1]2.4自动化报表-8月获客数据-非乱码'!$B:$B,'[1]2.4自动化报表-8月获客数据-非乱码'!$C:$H)</f>
        <v>1721</v>
      </c>
      <c r="Q28">
        <v>1698</v>
      </c>
      <c r="R28">
        <v>1663</v>
      </c>
      <c r="S28">
        <v>1003</v>
      </c>
      <c r="T28">
        <v>582</v>
      </c>
      <c r="U28">
        <v>688</v>
      </c>
    </row>
    <row r="29" spans="1:21" x14ac:dyDescent="0.3">
      <c r="A29" s="1">
        <v>44044</v>
      </c>
      <c r="B29" t="s">
        <v>5</v>
      </c>
      <c r="C29" t="s">
        <v>125</v>
      </c>
      <c r="D29" t="s">
        <v>62</v>
      </c>
      <c r="E29" t="s">
        <v>129</v>
      </c>
      <c r="F29" s="2">
        <v>68030</v>
      </c>
      <c r="G29" s="2">
        <v>7285</v>
      </c>
      <c r="H29">
        <v>0</v>
      </c>
      <c r="I29" t="str">
        <f>_xlfn.XLOOKUP($C29,战区信息!$A$1:$A$5,战区信息!$B$1:$B$5)</f>
        <v>004</v>
      </c>
      <c r="J29" t="str">
        <f>_xlfn.XLOOKUP($C29,战区信息!$A$1:$A$5,战区信息!$C$1:$C$5)</f>
        <v>沈乐欣</v>
      </c>
      <c r="K29" t="str">
        <f>_xlfn.XLOOKUP($C29,战区信息!$A$1:$A$5,战区信息!$D$1:$D$5)</f>
        <v>三级战区</v>
      </c>
      <c r="L29" t="str">
        <f>_xlfn.XLOOKUP($D29,城市信息!$B$1:$B$14,城市信息!$A$1:$A$14)</f>
        <v>007</v>
      </c>
      <c r="M29" t="str">
        <f>_xlfn.XLOOKUP($D29,城市信息!$B$1:$B$14,城市信息!$C$1:$C$14)</f>
        <v>范俊发</v>
      </c>
      <c r="N29" t="str">
        <f>_xlfn.XLOOKUP($D29,城市信息!$B$1:$B$14,城市信息!$D$1:$D$14)</f>
        <v>一线</v>
      </c>
      <c r="O29">
        <f>_xlfn.XLOOKUP($D29,城市信息!$B$1:$B$14,城市信息!$E$1:$E$14)</f>
        <v>12358</v>
      </c>
      <c r="P29" cm="1">
        <f t="array" ref="P29:U29">_xlfn.XLOOKUP(A29&amp;B29,'[1]2.4自动化报表-8月获客数据-非乱码'!$A:$A&amp;'[1]2.4自动化报表-8月获客数据-非乱码'!$B:$B,'[1]2.4自动化报表-8月获客数据-非乱码'!$C:$H)</f>
        <v>2441</v>
      </c>
      <c r="Q29">
        <v>2383</v>
      </c>
      <c r="R29">
        <v>2285</v>
      </c>
      <c r="S29">
        <v>1466</v>
      </c>
      <c r="T29">
        <v>758</v>
      </c>
      <c r="U29">
        <v>689</v>
      </c>
    </row>
    <row r="30" spans="1:21" x14ac:dyDescent="0.3">
      <c r="A30" s="1">
        <v>44045</v>
      </c>
      <c r="B30" t="s">
        <v>32</v>
      </c>
      <c r="C30" t="s">
        <v>97</v>
      </c>
      <c r="D30" t="s">
        <v>67</v>
      </c>
      <c r="E30" t="s">
        <v>98</v>
      </c>
      <c r="F30" s="2">
        <v>33987</v>
      </c>
      <c r="G30" s="2">
        <v>2970</v>
      </c>
      <c r="H30">
        <v>0</v>
      </c>
      <c r="I30" t="str">
        <f>_xlfn.XLOOKUP($C30,战区信息!$A$1:$A$5,战区信息!$B$1:$B$5)</f>
        <v>003</v>
      </c>
      <c r="J30" t="str">
        <f>_xlfn.XLOOKUP($C30,战区信息!$A$1:$A$5,战区信息!$C$1:$C$5)</f>
        <v>田楠</v>
      </c>
      <c r="K30" t="str">
        <f>_xlfn.XLOOKUP($C30,战区信息!$A$1:$A$5,战区信息!$D$1:$D$5)</f>
        <v>二级战区</v>
      </c>
      <c r="L30" t="str">
        <f>_xlfn.XLOOKUP($D30,城市信息!$B$1:$B$14,城市信息!$A$1:$A$14)</f>
        <v>012</v>
      </c>
      <c r="M30" t="str">
        <f>_xlfn.XLOOKUP($D30,城市信息!$B$1:$B$14,城市信息!$C$1:$C$14)</f>
        <v>于子默</v>
      </c>
      <c r="N30" t="str">
        <f>_xlfn.XLOOKUP($D30,城市信息!$B$1:$B$14,城市信息!$D$1:$D$14)</f>
        <v>二线</v>
      </c>
      <c r="O30">
        <f>_xlfn.XLOOKUP($D30,城市信息!$B$1:$B$14,城市信息!$E$1:$E$14)</f>
        <v>9713</v>
      </c>
      <c r="P30" cm="1">
        <f t="array" ref="P30:U30">_xlfn.XLOOKUP(A30&amp;B30,'[1]2.4自动化报表-8月获客数据-非乱码'!$A:$A&amp;'[1]2.4自动化报表-8月获客数据-非乱码'!$B:$B,'[1]2.4自动化报表-8月获客数据-非乱码'!$C:$H)</f>
        <v>1387</v>
      </c>
      <c r="Q30">
        <v>1375</v>
      </c>
      <c r="R30">
        <v>1327</v>
      </c>
      <c r="S30">
        <v>836</v>
      </c>
      <c r="T30">
        <v>439</v>
      </c>
      <c r="U30">
        <v>688</v>
      </c>
    </row>
    <row r="31" spans="1:21" x14ac:dyDescent="0.3">
      <c r="A31" s="1">
        <v>44045</v>
      </c>
      <c r="B31" t="s">
        <v>31</v>
      </c>
      <c r="C31" t="s">
        <v>97</v>
      </c>
      <c r="D31" t="s">
        <v>65</v>
      </c>
      <c r="E31" t="s">
        <v>99</v>
      </c>
      <c r="F31" s="2">
        <v>123603</v>
      </c>
      <c r="G31" s="2">
        <v>11960</v>
      </c>
      <c r="H31">
        <v>0</v>
      </c>
      <c r="I31" t="str">
        <f>_xlfn.XLOOKUP($C31,战区信息!$A$1:$A$5,战区信息!$B$1:$B$5)</f>
        <v>003</v>
      </c>
      <c r="J31" t="str">
        <f>_xlfn.XLOOKUP($C31,战区信息!$A$1:$A$5,战区信息!$C$1:$C$5)</f>
        <v>田楠</v>
      </c>
      <c r="K31" t="str">
        <f>_xlfn.XLOOKUP($C31,战区信息!$A$1:$A$5,战区信息!$D$1:$D$5)</f>
        <v>二级战区</v>
      </c>
      <c r="L31" t="str">
        <f>_xlfn.XLOOKUP($D31,城市信息!$B$1:$B$14,城市信息!$A$1:$A$14)</f>
        <v>010</v>
      </c>
      <c r="M31" t="str">
        <f>_xlfn.XLOOKUP($D31,城市信息!$B$1:$B$14,城市信息!$C$1:$C$14)</f>
        <v>黄鹏天</v>
      </c>
      <c r="N31" t="str">
        <f>_xlfn.XLOOKUP($D31,城市信息!$B$1:$B$14,城市信息!$D$1:$D$14)</f>
        <v>二线</v>
      </c>
      <c r="O31">
        <f>_xlfn.XLOOKUP($D31,城市信息!$B$1:$B$14,城市信息!$E$1:$E$14)</f>
        <v>8295</v>
      </c>
      <c r="P31" cm="1">
        <f t="array" ref="P31:U31">_xlfn.XLOOKUP(A31&amp;B31,'[1]2.4自动化报表-8月获客数据-非乱码'!$A:$A&amp;'[1]2.4自动化报表-8月获客数据-非乱码'!$B:$B,'[1]2.4自动化报表-8月获客数据-非乱码'!$C:$H)</f>
        <v>3016</v>
      </c>
      <c r="Q31">
        <v>2962</v>
      </c>
      <c r="R31">
        <v>2862</v>
      </c>
      <c r="S31">
        <v>1722</v>
      </c>
      <c r="T31">
        <v>974</v>
      </c>
      <c r="U31">
        <v>692</v>
      </c>
    </row>
    <row r="32" spans="1:21" x14ac:dyDescent="0.3">
      <c r="A32" s="1">
        <v>44045</v>
      </c>
      <c r="B32" t="s">
        <v>30</v>
      </c>
      <c r="C32" t="s">
        <v>97</v>
      </c>
      <c r="D32" t="s">
        <v>61</v>
      </c>
      <c r="E32" t="s">
        <v>100</v>
      </c>
      <c r="F32" s="2">
        <v>145523</v>
      </c>
      <c r="G32" s="2">
        <v>14307</v>
      </c>
      <c r="H32" s="2">
        <v>13867</v>
      </c>
      <c r="I32" t="str">
        <f>_xlfn.XLOOKUP($C32,战区信息!$A$1:$A$5,战区信息!$B$1:$B$5)</f>
        <v>003</v>
      </c>
      <c r="J32" t="str">
        <f>_xlfn.XLOOKUP($C32,战区信息!$A$1:$A$5,战区信息!$C$1:$C$5)</f>
        <v>田楠</v>
      </c>
      <c r="K32" t="str">
        <f>_xlfn.XLOOKUP($C32,战区信息!$A$1:$A$5,战区信息!$D$1:$D$5)</f>
        <v>二级战区</v>
      </c>
      <c r="L32" t="str">
        <f>_xlfn.XLOOKUP($D32,城市信息!$B$1:$B$14,城市信息!$A$1:$A$14)</f>
        <v>006</v>
      </c>
      <c r="M32" t="str">
        <f>_xlfn.XLOOKUP($D32,城市信息!$B$1:$B$14,城市信息!$C$1:$C$14)</f>
        <v>王刚</v>
      </c>
      <c r="N32" t="str">
        <f>_xlfn.XLOOKUP($D32,城市信息!$B$1:$B$14,城市信息!$D$1:$D$14)</f>
        <v>二线</v>
      </c>
      <c r="O32">
        <f>_xlfn.XLOOKUP($D32,城市信息!$B$1:$B$14,城市信息!$E$1:$E$14)</f>
        <v>9107</v>
      </c>
      <c r="P32" cm="1">
        <f t="array" ref="P32:U32">_xlfn.XLOOKUP(A32&amp;B32,'[1]2.4自动化报表-8月获客数据-非乱码'!$A:$A&amp;'[1]2.4自动化报表-8月获客数据-非乱码'!$B:$B,'[1]2.4自动化报表-8月获客数据-非乱码'!$C:$H)</f>
        <v>1967</v>
      </c>
      <c r="Q32">
        <v>1918</v>
      </c>
      <c r="R32">
        <v>1846</v>
      </c>
      <c r="S32">
        <v>1113</v>
      </c>
      <c r="T32">
        <v>582</v>
      </c>
      <c r="U32">
        <v>697</v>
      </c>
    </row>
    <row r="33" spans="1:21" x14ac:dyDescent="0.3">
      <c r="A33" s="1">
        <v>44045</v>
      </c>
      <c r="B33" t="s">
        <v>29</v>
      </c>
      <c r="C33" t="s">
        <v>97</v>
      </c>
      <c r="D33" t="s">
        <v>64</v>
      </c>
      <c r="E33" t="s">
        <v>101</v>
      </c>
      <c r="F33" s="2">
        <v>47614</v>
      </c>
      <c r="G33" s="2">
        <v>4095</v>
      </c>
      <c r="H33">
        <v>0</v>
      </c>
      <c r="I33" t="str">
        <f>_xlfn.XLOOKUP($C33,战区信息!$A$1:$A$5,战区信息!$B$1:$B$5)</f>
        <v>003</v>
      </c>
      <c r="J33" t="str">
        <f>_xlfn.XLOOKUP($C33,战区信息!$A$1:$A$5,战区信息!$C$1:$C$5)</f>
        <v>田楠</v>
      </c>
      <c r="K33" t="str">
        <f>_xlfn.XLOOKUP($C33,战区信息!$A$1:$A$5,战区信息!$D$1:$D$5)</f>
        <v>二级战区</v>
      </c>
      <c r="L33" t="str">
        <f>_xlfn.XLOOKUP($D33,城市信息!$B$1:$B$14,城市信息!$A$1:$A$14)</f>
        <v>009</v>
      </c>
      <c r="M33" t="str">
        <f>_xlfn.XLOOKUP($D33,城市信息!$B$1:$B$14,城市信息!$C$1:$C$14)</f>
        <v>叶超</v>
      </c>
      <c r="N33" t="str">
        <f>_xlfn.XLOOKUP($D33,城市信息!$B$1:$B$14,城市信息!$D$1:$D$14)</f>
        <v>二线</v>
      </c>
      <c r="O33">
        <f>_xlfn.XLOOKUP($D33,城市信息!$B$1:$B$14,城市信息!$E$1:$E$14)</f>
        <v>9016</v>
      </c>
      <c r="P33" cm="1">
        <f t="array" ref="P33:U33">_xlfn.XLOOKUP(A33&amp;B33,'[1]2.4自动化报表-8月获客数据-非乱码'!$A:$A&amp;'[1]2.4自动化报表-8月获客数据-非乱码'!$B:$B,'[1]2.4自动化报表-8月获客数据-非乱码'!$C:$H)</f>
        <v>1690</v>
      </c>
      <c r="Q33">
        <v>1665</v>
      </c>
      <c r="R33">
        <v>1617</v>
      </c>
      <c r="S33">
        <v>1046</v>
      </c>
      <c r="T33">
        <v>613</v>
      </c>
      <c r="U33">
        <v>689</v>
      </c>
    </row>
    <row r="34" spans="1:21" x14ac:dyDescent="0.3">
      <c r="A34" s="1">
        <v>44045</v>
      </c>
      <c r="B34" t="s">
        <v>28</v>
      </c>
      <c r="C34" t="s">
        <v>97</v>
      </c>
      <c r="D34" t="s">
        <v>64</v>
      </c>
      <c r="E34" t="s">
        <v>102</v>
      </c>
      <c r="F34">
        <v>619</v>
      </c>
      <c r="G34">
        <v>14</v>
      </c>
      <c r="H34">
        <v>0</v>
      </c>
      <c r="I34" t="str">
        <f>_xlfn.XLOOKUP($C34,战区信息!$A$1:$A$5,战区信息!$B$1:$B$5)</f>
        <v>003</v>
      </c>
      <c r="J34" t="str">
        <f>_xlfn.XLOOKUP($C34,战区信息!$A$1:$A$5,战区信息!$C$1:$C$5)</f>
        <v>田楠</v>
      </c>
      <c r="K34" t="str">
        <f>_xlfn.XLOOKUP($C34,战区信息!$A$1:$A$5,战区信息!$D$1:$D$5)</f>
        <v>二级战区</v>
      </c>
      <c r="L34" t="str">
        <f>_xlfn.XLOOKUP($D34,城市信息!$B$1:$B$14,城市信息!$A$1:$A$14)</f>
        <v>009</v>
      </c>
      <c r="M34" t="str">
        <f>_xlfn.XLOOKUP($D34,城市信息!$B$1:$B$14,城市信息!$C$1:$C$14)</f>
        <v>叶超</v>
      </c>
      <c r="N34" t="str">
        <f>_xlfn.XLOOKUP($D34,城市信息!$B$1:$B$14,城市信息!$D$1:$D$14)</f>
        <v>二线</v>
      </c>
      <c r="O34">
        <f>_xlfn.XLOOKUP($D34,城市信息!$B$1:$B$14,城市信息!$E$1:$E$14)</f>
        <v>9016</v>
      </c>
      <c r="P34" cm="1">
        <f t="array" ref="P34:U34">_xlfn.XLOOKUP(A34&amp;B34,'[1]2.4自动化报表-8月获客数据-非乱码'!$A:$A&amp;'[1]2.4自动化报表-8月获客数据-非乱码'!$B:$B,'[1]2.4自动化报表-8月获客数据-非乱码'!$C:$H)</f>
        <v>672</v>
      </c>
      <c r="Q34">
        <v>662</v>
      </c>
      <c r="R34">
        <v>643</v>
      </c>
      <c r="S34">
        <v>443</v>
      </c>
      <c r="T34">
        <v>209</v>
      </c>
      <c r="U34">
        <v>692</v>
      </c>
    </row>
    <row r="35" spans="1:21" x14ac:dyDescent="0.3">
      <c r="A35" s="1">
        <v>44045</v>
      </c>
      <c r="B35" t="s">
        <v>27</v>
      </c>
      <c r="C35" t="s">
        <v>103</v>
      </c>
      <c r="D35" t="s">
        <v>63</v>
      </c>
      <c r="E35" t="s">
        <v>104</v>
      </c>
      <c r="F35" s="2">
        <v>59596</v>
      </c>
      <c r="G35" s="2">
        <v>6068</v>
      </c>
      <c r="H35">
        <v>0</v>
      </c>
      <c r="I35" t="str">
        <f>_xlfn.XLOOKUP($C35,战区信息!$A$1:$A$5,战区信息!$B$1:$B$5)</f>
        <v>002</v>
      </c>
      <c r="J35" t="str">
        <f>_xlfn.XLOOKUP($C35,战区信息!$A$1:$A$5,战区信息!$C$1:$C$5)</f>
        <v>高安平</v>
      </c>
      <c r="K35" t="str">
        <f>_xlfn.XLOOKUP($C35,战区信息!$A$1:$A$5,战区信息!$D$1:$D$5)</f>
        <v>二级战区</v>
      </c>
      <c r="L35" t="str">
        <f>_xlfn.XLOOKUP($D35,城市信息!$B$1:$B$14,城市信息!$A$1:$A$14)</f>
        <v>008</v>
      </c>
      <c r="M35" t="str">
        <f>_xlfn.XLOOKUP($D35,城市信息!$B$1:$B$14,城市信息!$C$1:$C$14)</f>
        <v>高弘壮</v>
      </c>
      <c r="N35" t="str">
        <f>_xlfn.XLOOKUP($D35,城市信息!$B$1:$B$14,城市信息!$D$1:$D$14)</f>
        <v>一线</v>
      </c>
      <c r="O35">
        <f>_xlfn.XLOOKUP($D35,城市信息!$B$1:$B$14,城市信息!$E$1:$E$14)</f>
        <v>11498</v>
      </c>
      <c r="P35" cm="1">
        <f t="array" ref="P35:U35">_xlfn.XLOOKUP(A35&amp;B35,'[1]2.4自动化报表-8月获客数据-非乱码'!$A:$A&amp;'[1]2.4自动化报表-8月获客数据-非乱码'!$B:$B,'[1]2.4自动化报表-8月获客数据-非乱码'!$C:$H)</f>
        <v>3120</v>
      </c>
      <c r="Q35">
        <v>3018</v>
      </c>
      <c r="R35">
        <v>2877</v>
      </c>
      <c r="S35">
        <v>1701</v>
      </c>
      <c r="T35">
        <v>900</v>
      </c>
      <c r="U35">
        <v>689</v>
      </c>
    </row>
    <row r="36" spans="1:21" x14ac:dyDescent="0.3">
      <c r="A36" s="1">
        <v>44045</v>
      </c>
      <c r="B36" t="s">
        <v>26</v>
      </c>
      <c r="C36" t="s">
        <v>103</v>
      </c>
      <c r="D36" t="s">
        <v>57</v>
      </c>
      <c r="E36" t="s">
        <v>105</v>
      </c>
      <c r="F36" s="2">
        <v>187047</v>
      </c>
      <c r="G36" s="2">
        <v>19711</v>
      </c>
      <c r="H36" s="2">
        <v>18110</v>
      </c>
      <c r="I36" t="str">
        <f>_xlfn.XLOOKUP($C36,战区信息!$A$1:$A$5,战区信息!$B$1:$B$5)</f>
        <v>002</v>
      </c>
      <c r="J36" t="str">
        <f>_xlfn.XLOOKUP($C36,战区信息!$A$1:$A$5,战区信息!$C$1:$C$5)</f>
        <v>高安平</v>
      </c>
      <c r="K36" t="str">
        <f>_xlfn.XLOOKUP($C36,战区信息!$A$1:$A$5,战区信息!$D$1:$D$5)</f>
        <v>二级战区</v>
      </c>
      <c r="L36" t="str">
        <f>_xlfn.XLOOKUP($D36,城市信息!$B$1:$B$14,城市信息!$A$1:$A$14)</f>
        <v>002</v>
      </c>
      <c r="M36" t="str">
        <f>_xlfn.XLOOKUP($D36,城市信息!$B$1:$B$14,城市信息!$C$1:$C$14)</f>
        <v>孙乒</v>
      </c>
      <c r="N36" t="str">
        <f>_xlfn.XLOOKUP($D36,城市信息!$B$1:$B$14,城市信息!$D$1:$D$14)</f>
        <v>一线</v>
      </c>
      <c r="O36">
        <f>_xlfn.XLOOKUP($D36,城市信息!$B$1:$B$14,城市信息!$E$1:$E$14)</f>
        <v>9854</v>
      </c>
      <c r="P36" cm="1">
        <f t="array" ref="P36:U36">_xlfn.XLOOKUP(A36&amp;B36,'[1]2.4自动化报表-8月获客数据-非乱码'!$A:$A&amp;'[1]2.4自动化报表-8月获客数据-非乱码'!$B:$B,'[1]2.4自动化报表-8月获客数据-非乱码'!$C:$H)</f>
        <v>5546</v>
      </c>
      <c r="Q36">
        <v>5423</v>
      </c>
      <c r="R36">
        <v>5189</v>
      </c>
      <c r="S36">
        <v>3213</v>
      </c>
      <c r="T36">
        <v>1845</v>
      </c>
      <c r="U36">
        <v>688</v>
      </c>
    </row>
    <row r="37" spans="1:21" x14ac:dyDescent="0.3">
      <c r="A37" s="1">
        <v>44045</v>
      </c>
      <c r="B37" t="s">
        <v>25</v>
      </c>
      <c r="C37" t="s">
        <v>103</v>
      </c>
      <c r="D37" t="s">
        <v>57</v>
      </c>
      <c r="E37" t="s">
        <v>106</v>
      </c>
      <c r="F37" s="2">
        <v>65547</v>
      </c>
      <c r="G37" s="2">
        <v>5724</v>
      </c>
      <c r="H37" s="2">
        <v>2026</v>
      </c>
      <c r="I37" t="str">
        <f>_xlfn.XLOOKUP($C37,战区信息!$A$1:$A$5,战区信息!$B$1:$B$5)</f>
        <v>002</v>
      </c>
      <c r="J37" t="str">
        <f>_xlfn.XLOOKUP($C37,战区信息!$A$1:$A$5,战区信息!$C$1:$C$5)</f>
        <v>高安平</v>
      </c>
      <c r="K37" t="str">
        <f>_xlfn.XLOOKUP($C37,战区信息!$A$1:$A$5,战区信息!$D$1:$D$5)</f>
        <v>二级战区</v>
      </c>
      <c r="L37" t="str">
        <f>_xlfn.XLOOKUP($D37,城市信息!$B$1:$B$14,城市信息!$A$1:$A$14)</f>
        <v>002</v>
      </c>
      <c r="M37" t="str">
        <f>_xlfn.XLOOKUP($D37,城市信息!$B$1:$B$14,城市信息!$C$1:$C$14)</f>
        <v>孙乒</v>
      </c>
      <c r="N37" t="str">
        <f>_xlfn.XLOOKUP($D37,城市信息!$B$1:$B$14,城市信息!$D$1:$D$14)</f>
        <v>一线</v>
      </c>
      <c r="O37">
        <f>_xlfn.XLOOKUP($D37,城市信息!$B$1:$B$14,城市信息!$E$1:$E$14)</f>
        <v>9854</v>
      </c>
      <c r="P37" cm="1">
        <f t="array" ref="P37:U37">_xlfn.XLOOKUP(A37&amp;B37,'[1]2.4自动化报表-8月获客数据-非乱码'!$A:$A&amp;'[1]2.4自动化报表-8月获客数据-非乱码'!$B:$B,'[1]2.4自动化报表-8月获客数据-非乱码'!$C:$H)</f>
        <v>3678</v>
      </c>
      <c r="Q37">
        <v>3584</v>
      </c>
      <c r="R37">
        <v>3410</v>
      </c>
      <c r="S37">
        <v>2031</v>
      </c>
      <c r="T37">
        <v>1145</v>
      </c>
      <c r="U37">
        <v>688</v>
      </c>
    </row>
    <row r="38" spans="1:21" x14ac:dyDescent="0.3">
      <c r="A38" s="1">
        <v>44045</v>
      </c>
      <c r="B38" t="s">
        <v>24</v>
      </c>
      <c r="C38" t="s">
        <v>103</v>
      </c>
      <c r="D38" t="s">
        <v>57</v>
      </c>
      <c r="E38" t="s">
        <v>107</v>
      </c>
      <c r="F38" s="2">
        <v>98232</v>
      </c>
      <c r="G38" s="2">
        <v>10203</v>
      </c>
      <c r="H38" s="2">
        <v>3851</v>
      </c>
      <c r="I38" t="str">
        <f>_xlfn.XLOOKUP($C38,战区信息!$A$1:$A$5,战区信息!$B$1:$B$5)</f>
        <v>002</v>
      </c>
      <c r="J38" t="str">
        <f>_xlfn.XLOOKUP($C38,战区信息!$A$1:$A$5,战区信息!$C$1:$C$5)</f>
        <v>高安平</v>
      </c>
      <c r="K38" t="str">
        <f>_xlfn.XLOOKUP($C38,战区信息!$A$1:$A$5,战区信息!$D$1:$D$5)</f>
        <v>二级战区</v>
      </c>
      <c r="L38" t="str">
        <f>_xlfn.XLOOKUP($D38,城市信息!$B$1:$B$14,城市信息!$A$1:$A$14)</f>
        <v>002</v>
      </c>
      <c r="M38" t="str">
        <f>_xlfn.XLOOKUP($D38,城市信息!$B$1:$B$14,城市信息!$C$1:$C$14)</f>
        <v>孙乒</v>
      </c>
      <c r="N38" t="str">
        <f>_xlfn.XLOOKUP($D38,城市信息!$B$1:$B$14,城市信息!$D$1:$D$14)</f>
        <v>一线</v>
      </c>
      <c r="O38">
        <f>_xlfn.XLOOKUP($D38,城市信息!$B$1:$B$14,城市信息!$E$1:$E$14)</f>
        <v>9854</v>
      </c>
      <c r="P38" cm="1">
        <f t="array" ref="P38:U38">_xlfn.XLOOKUP(A38&amp;B38,'[1]2.4自动化报表-8月获客数据-非乱码'!$A:$A&amp;'[1]2.4自动化报表-8月获客数据-非乱码'!$B:$B,'[1]2.4自动化报表-8月获客数据-非乱码'!$C:$H)</f>
        <v>3082</v>
      </c>
      <c r="Q38">
        <v>3035</v>
      </c>
      <c r="R38">
        <v>2913</v>
      </c>
      <c r="S38">
        <v>1766</v>
      </c>
      <c r="T38">
        <v>1032</v>
      </c>
      <c r="U38">
        <v>689</v>
      </c>
    </row>
    <row r="39" spans="1:21" x14ac:dyDescent="0.3">
      <c r="A39" s="1">
        <v>44045</v>
      </c>
      <c r="B39" t="s">
        <v>23</v>
      </c>
      <c r="C39" t="s">
        <v>108</v>
      </c>
      <c r="D39" t="s">
        <v>109</v>
      </c>
      <c r="E39" t="s">
        <v>110</v>
      </c>
      <c r="F39" s="2">
        <v>192012</v>
      </c>
      <c r="G39" s="2">
        <v>19324</v>
      </c>
      <c r="H39">
        <v>0</v>
      </c>
      <c r="I39" t="str">
        <f>_xlfn.XLOOKUP($C39,战区信息!$A$1:$A$5,战区信息!$B$1:$B$5)</f>
        <v>001</v>
      </c>
      <c r="J39" t="str">
        <f>_xlfn.XLOOKUP($C39,战区信息!$A$1:$A$5,战区信息!$C$1:$C$5)</f>
        <v>江永</v>
      </c>
      <c r="K39" t="str">
        <f>_xlfn.XLOOKUP($C39,战区信息!$A$1:$A$5,战区信息!$D$1:$D$5)</f>
        <v>一级战区</v>
      </c>
      <c r="L39" t="str">
        <f>_xlfn.XLOOKUP($D39,城市信息!$B$1:$B$14,城市信息!$A$1:$A$14)</f>
        <v>013</v>
      </c>
      <c r="M39" t="str">
        <f>_xlfn.XLOOKUP($D39,城市信息!$B$1:$B$14,城市信息!$C$1:$C$14)</f>
        <v>张建</v>
      </c>
      <c r="N39" t="str">
        <f>_xlfn.XLOOKUP($D39,城市信息!$B$1:$B$14,城市信息!$D$1:$D$14)</f>
        <v>二线</v>
      </c>
      <c r="O39">
        <f>_xlfn.XLOOKUP($D39,城市信息!$B$1:$B$14,城市信息!$E$1:$E$14)</f>
        <v>8800</v>
      </c>
      <c r="P39" cm="1">
        <f t="array" ref="P39:U39">_xlfn.XLOOKUP(A39&amp;B39,'[1]2.4自动化报表-8月获客数据-非乱码'!$A:$A&amp;'[1]2.4自动化报表-8月获客数据-非乱码'!$B:$B,'[1]2.4自动化报表-8月获客数据-非乱码'!$C:$H)</f>
        <v>5918</v>
      </c>
      <c r="Q39">
        <v>5701</v>
      </c>
      <c r="R39">
        <v>5429</v>
      </c>
      <c r="S39">
        <v>3309</v>
      </c>
      <c r="T39">
        <v>1714</v>
      </c>
      <c r="U39">
        <v>694</v>
      </c>
    </row>
    <row r="40" spans="1:21" x14ac:dyDescent="0.3">
      <c r="A40" s="1">
        <v>44045</v>
      </c>
      <c r="B40" t="s">
        <v>22</v>
      </c>
      <c r="C40" t="s">
        <v>108</v>
      </c>
      <c r="D40" t="s">
        <v>109</v>
      </c>
      <c r="E40" t="s">
        <v>111</v>
      </c>
      <c r="F40" s="2">
        <v>16226</v>
      </c>
      <c r="G40" s="2">
        <v>1309</v>
      </c>
      <c r="H40">
        <v>0</v>
      </c>
      <c r="I40" t="str">
        <f>_xlfn.XLOOKUP($C40,战区信息!$A$1:$A$5,战区信息!$B$1:$B$5)</f>
        <v>001</v>
      </c>
      <c r="J40" t="str">
        <f>_xlfn.XLOOKUP($C40,战区信息!$A$1:$A$5,战区信息!$C$1:$C$5)</f>
        <v>江永</v>
      </c>
      <c r="K40" t="str">
        <f>_xlfn.XLOOKUP($C40,战区信息!$A$1:$A$5,战区信息!$D$1:$D$5)</f>
        <v>一级战区</v>
      </c>
      <c r="L40" t="str">
        <f>_xlfn.XLOOKUP($D40,城市信息!$B$1:$B$14,城市信息!$A$1:$A$14)</f>
        <v>013</v>
      </c>
      <c r="M40" t="str">
        <f>_xlfn.XLOOKUP($D40,城市信息!$B$1:$B$14,城市信息!$C$1:$C$14)</f>
        <v>张建</v>
      </c>
      <c r="N40" t="str">
        <f>_xlfn.XLOOKUP($D40,城市信息!$B$1:$B$14,城市信息!$D$1:$D$14)</f>
        <v>二线</v>
      </c>
      <c r="O40">
        <f>_xlfn.XLOOKUP($D40,城市信息!$B$1:$B$14,城市信息!$E$1:$E$14)</f>
        <v>8800</v>
      </c>
      <c r="P40" cm="1">
        <f t="array" ref="P40:U40">_xlfn.XLOOKUP(A40&amp;B40,'[1]2.4自动化报表-8月获客数据-非乱码'!$A:$A&amp;'[1]2.4自动化报表-8月获客数据-非乱码'!$B:$B,'[1]2.4自动化报表-8月获客数据-非乱码'!$C:$H)</f>
        <v>361</v>
      </c>
      <c r="Q40">
        <v>355</v>
      </c>
      <c r="R40">
        <v>325</v>
      </c>
      <c r="S40">
        <v>193</v>
      </c>
      <c r="T40">
        <v>116</v>
      </c>
      <c r="U40">
        <v>691</v>
      </c>
    </row>
    <row r="41" spans="1:21" x14ac:dyDescent="0.3">
      <c r="A41" s="1">
        <v>44045</v>
      </c>
      <c r="B41" t="s">
        <v>21</v>
      </c>
      <c r="C41" t="s">
        <v>108</v>
      </c>
      <c r="D41" t="s">
        <v>109</v>
      </c>
      <c r="E41" t="s">
        <v>112</v>
      </c>
      <c r="F41" s="2">
        <v>238498</v>
      </c>
      <c r="G41" s="2">
        <v>19624</v>
      </c>
      <c r="H41">
        <v>0</v>
      </c>
      <c r="I41" t="str">
        <f>_xlfn.XLOOKUP($C41,战区信息!$A$1:$A$5,战区信息!$B$1:$B$5)</f>
        <v>001</v>
      </c>
      <c r="J41" t="str">
        <f>_xlfn.XLOOKUP($C41,战区信息!$A$1:$A$5,战区信息!$C$1:$C$5)</f>
        <v>江永</v>
      </c>
      <c r="K41" t="str">
        <f>_xlfn.XLOOKUP($C41,战区信息!$A$1:$A$5,战区信息!$D$1:$D$5)</f>
        <v>一级战区</v>
      </c>
      <c r="L41" t="str">
        <f>_xlfn.XLOOKUP($D41,城市信息!$B$1:$B$14,城市信息!$A$1:$A$14)</f>
        <v>013</v>
      </c>
      <c r="M41" t="str">
        <f>_xlfn.XLOOKUP($D41,城市信息!$B$1:$B$14,城市信息!$C$1:$C$14)</f>
        <v>张建</v>
      </c>
      <c r="N41" t="str">
        <f>_xlfn.XLOOKUP($D41,城市信息!$B$1:$B$14,城市信息!$D$1:$D$14)</f>
        <v>二线</v>
      </c>
      <c r="O41">
        <f>_xlfn.XLOOKUP($D41,城市信息!$B$1:$B$14,城市信息!$E$1:$E$14)</f>
        <v>8800</v>
      </c>
      <c r="P41" cm="1">
        <f t="array" ref="P41:U41">_xlfn.XLOOKUP(A41&amp;B41,'[1]2.4自动化报表-8月获客数据-非乱码'!$A:$A&amp;'[1]2.4自动化报表-8月获客数据-非乱码'!$B:$B,'[1]2.4自动化报表-8月获客数据-非乱码'!$C:$H)</f>
        <v>4955</v>
      </c>
      <c r="Q41">
        <v>4724</v>
      </c>
      <c r="R41">
        <v>4490</v>
      </c>
      <c r="S41">
        <v>2640</v>
      </c>
      <c r="T41">
        <v>1457</v>
      </c>
      <c r="U41">
        <v>696</v>
      </c>
    </row>
    <row r="42" spans="1:21" x14ac:dyDescent="0.3">
      <c r="A42" s="1">
        <v>44045</v>
      </c>
      <c r="B42" t="s">
        <v>20</v>
      </c>
      <c r="C42" t="s">
        <v>108</v>
      </c>
      <c r="D42" t="s">
        <v>56</v>
      </c>
      <c r="E42" t="s">
        <v>113</v>
      </c>
      <c r="F42" s="2">
        <v>193485</v>
      </c>
      <c r="G42" s="2">
        <v>19461</v>
      </c>
      <c r="H42">
        <v>0</v>
      </c>
      <c r="I42" t="str">
        <f>_xlfn.XLOOKUP($C42,战区信息!$A$1:$A$5,战区信息!$B$1:$B$5)</f>
        <v>001</v>
      </c>
      <c r="J42" t="str">
        <f>_xlfn.XLOOKUP($C42,战区信息!$A$1:$A$5,战区信息!$C$1:$C$5)</f>
        <v>江永</v>
      </c>
      <c r="K42" t="str">
        <f>_xlfn.XLOOKUP($C42,战区信息!$A$1:$A$5,战区信息!$D$1:$D$5)</f>
        <v>一级战区</v>
      </c>
      <c r="L42" t="str">
        <f>_xlfn.XLOOKUP($D42,城市信息!$B$1:$B$14,城市信息!$A$1:$A$14)</f>
        <v>001</v>
      </c>
      <c r="M42" t="str">
        <f>_xlfn.XLOOKUP($D42,城市信息!$B$1:$B$14,城市信息!$C$1:$C$14)</f>
        <v>吴刚</v>
      </c>
      <c r="N42" t="str">
        <f>_xlfn.XLOOKUP($D42,城市信息!$B$1:$B$14,城市信息!$D$1:$D$14)</f>
        <v>一线</v>
      </c>
      <c r="O42">
        <f>_xlfn.XLOOKUP($D42,城市信息!$B$1:$B$14,城市信息!$E$1:$E$14)</f>
        <v>12114</v>
      </c>
      <c r="P42" cm="1">
        <f t="array" ref="P42:U42">_xlfn.XLOOKUP(A42&amp;B42,'[1]2.4自动化报表-8月获客数据-非乱码'!$A:$A&amp;'[1]2.4自动化报表-8月获客数据-非乱码'!$B:$B,'[1]2.4自动化报表-8月获客数据-非乱码'!$C:$H)</f>
        <v>4503</v>
      </c>
      <c r="Q42">
        <v>4374</v>
      </c>
      <c r="R42">
        <v>4234</v>
      </c>
      <c r="S42">
        <v>2605</v>
      </c>
      <c r="T42">
        <v>1491</v>
      </c>
      <c r="U42">
        <v>694</v>
      </c>
    </row>
    <row r="43" spans="1:21" x14ac:dyDescent="0.3">
      <c r="A43" s="1">
        <v>44045</v>
      </c>
      <c r="B43" t="s">
        <v>19</v>
      </c>
      <c r="C43" t="s">
        <v>108</v>
      </c>
      <c r="D43" t="s">
        <v>56</v>
      </c>
      <c r="E43" t="s">
        <v>114</v>
      </c>
      <c r="F43" s="2">
        <v>31001</v>
      </c>
      <c r="G43" s="2">
        <v>1598</v>
      </c>
      <c r="H43">
        <v>0</v>
      </c>
      <c r="I43" t="str">
        <f>_xlfn.XLOOKUP($C43,战区信息!$A$1:$A$5,战区信息!$B$1:$B$5)</f>
        <v>001</v>
      </c>
      <c r="J43" t="str">
        <f>_xlfn.XLOOKUP($C43,战区信息!$A$1:$A$5,战区信息!$C$1:$C$5)</f>
        <v>江永</v>
      </c>
      <c r="K43" t="str">
        <f>_xlfn.XLOOKUP($C43,战区信息!$A$1:$A$5,战区信息!$D$1:$D$5)</f>
        <v>一级战区</v>
      </c>
      <c r="L43" t="str">
        <f>_xlfn.XLOOKUP($D43,城市信息!$B$1:$B$14,城市信息!$A$1:$A$14)</f>
        <v>001</v>
      </c>
      <c r="M43" t="str">
        <f>_xlfn.XLOOKUP($D43,城市信息!$B$1:$B$14,城市信息!$C$1:$C$14)</f>
        <v>吴刚</v>
      </c>
      <c r="N43" t="str">
        <f>_xlfn.XLOOKUP($D43,城市信息!$B$1:$B$14,城市信息!$D$1:$D$14)</f>
        <v>一线</v>
      </c>
      <c r="O43">
        <f>_xlfn.XLOOKUP($D43,城市信息!$B$1:$B$14,城市信息!$E$1:$E$14)</f>
        <v>12114</v>
      </c>
      <c r="P43" cm="1">
        <f t="array" ref="P43:U43">_xlfn.XLOOKUP(A43&amp;B43,'[1]2.4自动化报表-8月获客数据-非乱码'!$A:$A&amp;'[1]2.4自动化报表-8月获客数据-非乱码'!$B:$B,'[1]2.4自动化报表-8月获客数据-非乱码'!$C:$H)</f>
        <v>1939</v>
      </c>
      <c r="Q43">
        <v>1888</v>
      </c>
      <c r="R43">
        <v>1817</v>
      </c>
      <c r="S43">
        <v>1127</v>
      </c>
      <c r="T43">
        <v>722</v>
      </c>
      <c r="U43">
        <v>699</v>
      </c>
    </row>
    <row r="44" spans="1:21" x14ac:dyDescent="0.3">
      <c r="A44" s="1">
        <v>44045</v>
      </c>
      <c r="B44" t="s">
        <v>18</v>
      </c>
      <c r="C44" t="s">
        <v>108</v>
      </c>
      <c r="D44" t="s">
        <v>56</v>
      </c>
      <c r="E44" t="s">
        <v>115</v>
      </c>
      <c r="F44" s="2">
        <v>91723</v>
      </c>
      <c r="G44" s="2">
        <v>7551</v>
      </c>
      <c r="H44">
        <v>0</v>
      </c>
      <c r="I44" t="str">
        <f>_xlfn.XLOOKUP($C44,战区信息!$A$1:$A$5,战区信息!$B$1:$B$5)</f>
        <v>001</v>
      </c>
      <c r="J44" t="str">
        <f>_xlfn.XLOOKUP($C44,战区信息!$A$1:$A$5,战区信息!$C$1:$C$5)</f>
        <v>江永</v>
      </c>
      <c r="K44" t="str">
        <f>_xlfn.XLOOKUP($C44,战区信息!$A$1:$A$5,战区信息!$D$1:$D$5)</f>
        <v>一级战区</v>
      </c>
      <c r="L44" t="str">
        <f>_xlfn.XLOOKUP($D44,城市信息!$B$1:$B$14,城市信息!$A$1:$A$14)</f>
        <v>001</v>
      </c>
      <c r="M44" t="str">
        <f>_xlfn.XLOOKUP($D44,城市信息!$B$1:$B$14,城市信息!$C$1:$C$14)</f>
        <v>吴刚</v>
      </c>
      <c r="N44" t="str">
        <f>_xlfn.XLOOKUP($D44,城市信息!$B$1:$B$14,城市信息!$D$1:$D$14)</f>
        <v>一线</v>
      </c>
      <c r="O44">
        <f>_xlfn.XLOOKUP($D44,城市信息!$B$1:$B$14,城市信息!$E$1:$E$14)</f>
        <v>12114</v>
      </c>
      <c r="P44" cm="1">
        <f t="array" ref="P44:U44">_xlfn.XLOOKUP(A44&amp;B44,'[1]2.4自动化报表-8月获客数据-非乱码'!$A:$A&amp;'[1]2.4自动化报表-8月获客数据-非乱码'!$B:$B,'[1]2.4自动化报表-8月获客数据-非乱码'!$C:$H)</f>
        <v>3473</v>
      </c>
      <c r="Q44">
        <v>3417</v>
      </c>
      <c r="R44">
        <v>3275</v>
      </c>
      <c r="S44">
        <v>1979</v>
      </c>
      <c r="T44">
        <v>1047</v>
      </c>
      <c r="U44">
        <v>690</v>
      </c>
    </row>
    <row r="45" spans="1:21" x14ac:dyDescent="0.3">
      <c r="A45" s="1">
        <v>44045</v>
      </c>
      <c r="B45" t="s">
        <v>17</v>
      </c>
      <c r="C45" t="s">
        <v>108</v>
      </c>
      <c r="D45" t="s">
        <v>59</v>
      </c>
      <c r="E45" t="s">
        <v>116</v>
      </c>
      <c r="F45" s="2">
        <v>65322</v>
      </c>
      <c r="G45" s="2">
        <v>6842</v>
      </c>
      <c r="H45" s="2">
        <v>1160</v>
      </c>
      <c r="I45" t="str">
        <f>_xlfn.XLOOKUP($C45,战区信息!$A$1:$A$5,战区信息!$B$1:$B$5)</f>
        <v>001</v>
      </c>
      <c r="J45" t="str">
        <f>_xlfn.XLOOKUP($C45,战区信息!$A$1:$A$5,战区信息!$C$1:$C$5)</f>
        <v>江永</v>
      </c>
      <c r="K45" t="str">
        <f>_xlfn.XLOOKUP($C45,战区信息!$A$1:$A$5,战区信息!$D$1:$D$5)</f>
        <v>一级战区</v>
      </c>
      <c r="L45" t="str">
        <f>_xlfn.XLOOKUP($D45,城市信息!$B$1:$B$14,城市信息!$A$1:$A$14)</f>
        <v>004</v>
      </c>
      <c r="M45" t="str">
        <f>_xlfn.XLOOKUP($D45,城市信息!$B$1:$B$14,城市信息!$C$1:$C$14)</f>
        <v>苏川</v>
      </c>
      <c r="N45" t="str">
        <f>_xlfn.XLOOKUP($D45,城市信息!$B$1:$B$14,城市信息!$D$1:$D$14)</f>
        <v>二线</v>
      </c>
      <c r="O45">
        <f>_xlfn.XLOOKUP($D45,城市信息!$B$1:$B$14,城市信息!$E$1:$E$14)</f>
        <v>9912</v>
      </c>
      <c r="P45" cm="1">
        <f t="array" ref="P45:U45">_xlfn.XLOOKUP(A45&amp;B45,'[1]2.4自动化报表-8月获客数据-非乱码'!$A:$A&amp;'[1]2.4自动化报表-8月获客数据-非乱码'!$B:$B,'[1]2.4自动化报表-8月获客数据-非乱码'!$C:$H)</f>
        <v>2043</v>
      </c>
      <c r="Q45">
        <v>2008</v>
      </c>
      <c r="R45">
        <v>1945</v>
      </c>
      <c r="S45">
        <v>1115</v>
      </c>
      <c r="T45">
        <v>633</v>
      </c>
      <c r="U45">
        <v>695</v>
      </c>
    </row>
    <row r="46" spans="1:21" x14ac:dyDescent="0.3">
      <c r="A46" s="1">
        <v>44045</v>
      </c>
      <c r="B46" t="s">
        <v>16</v>
      </c>
      <c r="C46" t="s">
        <v>108</v>
      </c>
      <c r="D46" t="s">
        <v>59</v>
      </c>
      <c r="E46" t="s">
        <v>117</v>
      </c>
      <c r="F46">
        <v>90</v>
      </c>
      <c r="G46">
        <v>3</v>
      </c>
      <c r="H46">
        <v>0</v>
      </c>
      <c r="I46" t="str">
        <f>_xlfn.XLOOKUP($C46,战区信息!$A$1:$A$5,战区信息!$B$1:$B$5)</f>
        <v>001</v>
      </c>
      <c r="J46" t="str">
        <f>_xlfn.XLOOKUP($C46,战区信息!$A$1:$A$5,战区信息!$C$1:$C$5)</f>
        <v>江永</v>
      </c>
      <c r="K46" t="str">
        <f>_xlfn.XLOOKUP($C46,战区信息!$A$1:$A$5,战区信息!$D$1:$D$5)</f>
        <v>一级战区</v>
      </c>
      <c r="L46" t="str">
        <f>_xlfn.XLOOKUP($D46,城市信息!$B$1:$B$14,城市信息!$A$1:$A$14)</f>
        <v>004</v>
      </c>
      <c r="M46" t="str">
        <f>_xlfn.XLOOKUP($D46,城市信息!$B$1:$B$14,城市信息!$C$1:$C$14)</f>
        <v>苏川</v>
      </c>
      <c r="N46" t="str">
        <f>_xlfn.XLOOKUP($D46,城市信息!$B$1:$B$14,城市信息!$D$1:$D$14)</f>
        <v>二线</v>
      </c>
      <c r="O46">
        <f>_xlfn.XLOOKUP($D46,城市信息!$B$1:$B$14,城市信息!$E$1:$E$14)</f>
        <v>9912</v>
      </c>
      <c r="P46" cm="1">
        <f t="array" ref="P46:U46">_xlfn.XLOOKUP(A46&amp;B46,'[1]2.4自动化报表-8月获客数据-非乱码'!$A:$A&amp;'[1]2.4自动化报表-8月获客数据-非乱码'!$B:$B,'[1]2.4自动化报表-8月获客数据-非乱码'!$C:$H)</f>
        <v>998</v>
      </c>
      <c r="Q46">
        <v>974</v>
      </c>
      <c r="R46">
        <v>935</v>
      </c>
      <c r="S46">
        <v>513</v>
      </c>
      <c r="T46">
        <v>295</v>
      </c>
      <c r="U46">
        <v>694</v>
      </c>
    </row>
    <row r="47" spans="1:21" x14ac:dyDescent="0.3">
      <c r="A47" s="1">
        <v>44045</v>
      </c>
      <c r="B47" t="s">
        <v>15</v>
      </c>
      <c r="C47" t="s">
        <v>108</v>
      </c>
      <c r="D47" t="s">
        <v>59</v>
      </c>
      <c r="E47" t="s">
        <v>118</v>
      </c>
      <c r="F47" s="2">
        <v>22510</v>
      </c>
      <c r="G47" s="2">
        <v>2414</v>
      </c>
      <c r="H47">
        <v>0</v>
      </c>
      <c r="I47" t="str">
        <f>_xlfn.XLOOKUP($C47,战区信息!$A$1:$A$5,战区信息!$B$1:$B$5)</f>
        <v>001</v>
      </c>
      <c r="J47" t="str">
        <f>_xlfn.XLOOKUP($C47,战区信息!$A$1:$A$5,战区信息!$C$1:$C$5)</f>
        <v>江永</v>
      </c>
      <c r="K47" t="str">
        <f>_xlfn.XLOOKUP($C47,战区信息!$A$1:$A$5,战区信息!$D$1:$D$5)</f>
        <v>一级战区</v>
      </c>
      <c r="L47" t="str">
        <f>_xlfn.XLOOKUP($D47,城市信息!$B$1:$B$14,城市信息!$A$1:$A$14)</f>
        <v>004</v>
      </c>
      <c r="M47" t="str">
        <f>_xlfn.XLOOKUP($D47,城市信息!$B$1:$B$14,城市信息!$C$1:$C$14)</f>
        <v>苏川</v>
      </c>
      <c r="N47" t="str">
        <f>_xlfn.XLOOKUP($D47,城市信息!$B$1:$B$14,城市信息!$D$1:$D$14)</f>
        <v>二线</v>
      </c>
      <c r="O47">
        <f>_xlfn.XLOOKUP($D47,城市信息!$B$1:$B$14,城市信息!$E$1:$E$14)</f>
        <v>9912</v>
      </c>
      <c r="P47" cm="1">
        <f t="array" ref="P47:U47">_xlfn.XLOOKUP(A47&amp;B47,'[1]2.4自动化报表-8月获客数据-非乱码'!$A:$A&amp;'[1]2.4自动化报表-8月获客数据-非乱码'!$B:$B,'[1]2.4自动化报表-8月获客数据-非乱码'!$C:$H)</f>
        <v>1421</v>
      </c>
      <c r="Q47">
        <v>1387</v>
      </c>
      <c r="R47">
        <v>1330</v>
      </c>
      <c r="S47">
        <v>830</v>
      </c>
      <c r="T47">
        <v>383</v>
      </c>
      <c r="U47">
        <v>697</v>
      </c>
    </row>
    <row r="48" spans="1:21" x14ac:dyDescent="0.3">
      <c r="A48" s="1">
        <v>44045</v>
      </c>
      <c r="B48" t="s">
        <v>14</v>
      </c>
      <c r="C48" t="s">
        <v>108</v>
      </c>
      <c r="D48" t="s">
        <v>59</v>
      </c>
      <c r="E48" t="s">
        <v>119</v>
      </c>
      <c r="F48" s="2">
        <v>6500</v>
      </c>
      <c r="G48">
        <v>868</v>
      </c>
      <c r="H48">
        <v>0</v>
      </c>
      <c r="I48" t="str">
        <f>_xlfn.XLOOKUP($C48,战区信息!$A$1:$A$5,战区信息!$B$1:$B$5)</f>
        <v>001</v>
      </c>
      <c r="J48" t="str">
        <f>_xlfn.XLOOKUP($C48,战区信息!$A$1:$A$5,战区信息!$C$1:$C$5)</f>
        <v>江永</v>
      </c>
      <c r="K48" t="str">
        <f>_xlfn.XLOOKUP($C48,战区信息!$A$1:$A$5,战区信息!$D$1:$D$5)</f>
        <v>一级战区</v>
      </c>
      <c r="L48" t="str">
        <f>_xlfn.XLOOKUP($D48,城市信息!$B$1:$B$14,城市信息!$A$1:$A$14)</f>
        <v>004</v>
      </c>
      <c r="M48" t="str">
        <f>_xlfn.XLOOKUP($D48,城市信息!$B$1:$B$14,城市信息!$C$1:$C$14)</f>
        <v>苏川</v>
      </c>
      <c r="N48" t="str">
        <f>_xlfn.XLOOKUP($D48,城市信息!$B$1:$B$14,城市信息!$D$1:$D$14)</f>
        <v>二线</v>
      </c>
      <c r="O48">
        <f>_xlfn.XLOOKUP($D48,城市信息!$B$1:$B$14,城市信息!$E$1:$E$14)</f>
        <v>9912</v>
      </c>
      <c r="P48" cm="1">
        <f t="array" ref="P48:U48">_xlfn.XLOOKUP(A48&amp;B48,'[1]2.4自动化报表-8月获客数据-非乱码'!$A:$A&amp;'[1]2.4自动化报表-8月获客数据-非乱码'!$B:$B,'[1]2.4自动化报表-8月获客数据-非乱码'!$C:$H)</f>
        <v>482</v>
      </c>
      <c r="Q48">
        <v>475</v>
      </c>
      <c r="R48">
        <v>453</v>
      </c>
      <c r="S48">
        <v>298</v>
      </c>
      <c r="T48">
        <v>141</v>
      </c>
      <c r="U48">
        <v>695</v>
      </c>
    </row>
    <row r="49" spans="1:21" x14ac:dyDescent="0.3">
      <c r="A49" s="1">
        <v>44045</v>
      </c>
      <c r="B49" t="s">
        <v>13</v>
      </c>
      <c r="C49" t="s">
        <v>108</v>
      </c>
      <c r="D49" t="s">
        <v>60</v>
      </c>
      <c r="E49" t="s">
        <v>120</v>
      </c>
      <c r="F49" s="2">
        <v>164223</v>
      </c>
      <c r="G49" s="2">
        <v>15196</v>
      </c>
      <c r="H49" s="2">
        <v>30529</v>
      </c>
      <c r="I49" t="str">
        <f>_xlfn.XLOOKUP($C49,战区信息!$A$1:$A$5,战区信息!$B$1:$B$5)</f>
        <v>001</v>
      </c>
      <c r="J49" t="str">
        <f>_xlfn.XLOOKUP($C49,战区信息!$A$1:$A$5,战区信息!$C$1:$C$5)</f>
        <v>江永</v>
      </c>
      <c r="K49" t="str">
        <f>_xlfn.XLOOKUP($C49,战区信息!$A$1:$A$5,战区信息!$D$1:$D$5)</f>
        <v>一级战区</v>
      </c>
      <c r="L49" t="str">
        <f>_xlfn.XLOOKUP($D49,城市信息!$B$1:$B$14,城市信息!$A$1:$A$14)</f>
        <v>005</v>
      </c>
      <c r="M49" t="str">
        <f>_xlfn.XLOOKUP($D49,城市信息!$B$1:$B$14,城市信息!$C$1:$C$14)</f>
        <v>侯阳冰</v>
      </c>
      <c r="N49" t="str">
        <f>_xlfn.XLOOKUP($D49,城市信息!$B$1:$B$14,城市信息!$D$1:$D$14)</f>
        <v>二线</v>
      </c>
      <c r="O49">
        <f>_xlfn.XLOOKUP($D49,城市信息!$B$1:$B$14,城市信息!$E$1:$E$14)</f>
        <v>8694</v>
      </c>
      <c r="P49" cm="1">
        <f t="array" ref="P49:U49">_xlfn.XLOOKUP(A49&amp;B49,'[1]2.4自动化报表-8月获客数据-非乱码'!$A:$A&amp;'[1]2.4自动化报表-8月获客数据-非乱码'!$B:$B,'[1]2.4自动化报表-8月获客数据-非乱码'!$C:$H)</f>
        <v>5249</v>
      </c>
      <c r="Q49">
        <v>5123</v>
      </c>
      <c r="R49">
        <v>4884</v>
      </c>
      <c r="S49">
        <v>3073</v>
      </c>
      <c r="T49">
        <v>1440</v>
      </c>
      <c r="U49">
        <v>697</v>
      </c>
    </row>
    <row r="50" spans="1:21" x14ac:dyDescent="0.3">
      <c r="A50" s="1">
        <v>44045</v>
      </c>
      <c r="B50" t="s">
        <v>12</v>
      </c>
      <c r="C50" t="s">
        <v>108</v>
      </c>
      <c r="D50" t="s">
        <v>60</v>
      </c>
      <c r="E50" t="s">
        <v>121</v>
      </c>
      <c r="F50" s="2">
        <v>124005</v>
      </c>
      <c r="G50" s="2">
        <v>11592</v>
      </c>
      <c r="H50">
        <v>0</v>
      </c>
      <c r="I50" t="str">
        <f>_xlfn.XLOOKUP($C50,战区信息!$A$1:$A$5,战区信息!$B$1:$B$5)</f>
        <v>001</v>
      </c>
      <c r="J50" t="str">
        <f>_xlfn.XLOOKUP($C50,战区信息!$A$1:$A$5,战区信息!$C$1:$C$5)</f>
        <v>江永</v>
      </c>
      <c r="K50" t="str">
        <f>_xlfn.XLOOKUP($C50,战区信息!$A$1:$A$5,战区信息!$D$1:$D$5)</f>
        <v>一级战区</v>
      </c>
      <c r="L50" t="str">
        <f>_xlfn.XLOOKUP($D50,城市信息!$B$1:$B$14,城市信息!$A$1:$A$14)</f>
        <v>005</v>
      </c>
      <c r="M50" t="str">
        <f>_xlfn.XLOOKUP($D50,城市信息!$B$1:$B$14,城市信息!$C$1:$C$14)</f>
        <v>侯阳冰</v>
      </c>
      <c r="N50" t="str">
        <f>_xlfn.XLOOKUP($D50,城市信息!$B$1:$B$14,城市信息!$D$1:$D$14)</f>
        <v>二线</v>
      </c>
      <c r="O50">
        <f>_xlfn.XLOOKUP($D50,城市信息!$B$1:$B$14,城市信息!$E$1:$E$14)</f>
        <v>8694</v>
      </c>
      <c r="P50" cm="1">
        <f t="array" ref="P50:U50">_xlfn.XLOOKUP(A50&amp;B50,'[1]2.4自动化报表-8月获客数据-非乱码'!$A:$A&amp;'[1]2.4自动化报表-8月获客数据-非乱码'!$B:$B,'[1]2.4自动化报表-8月获客数据-非乱码'!$C:$H)</f>
        <v>1476</v>
      </c>
      <c r="Q50">
        <v>1448</v>
      </c>
      <c r="R50">
        <v>1379</v>
      </c>
      <c r="S50">
        <v>872</v>
      </c>
      <c r="T50">
        <v>445</v>
      </c>
      <c r="U50">
        <v>696</v>
      </c>
    </row>
    <row r="51" spans="1:21" x14ac:dyDescent="0.3">
      <c r="A51" s="1">
        <v>44045</v>
      </c>
      <c r="B51" t="s">
        <v>11</v>
      </c>
      <c r="C51" t="s">
        <v>108</v>
      </c>
      <c r="D51" t="s">
        <v>58</v>
      </c>
      <c r="E51" t="s">
        <v>122</v>
      </c>
      <c r="F51" s="2">
        <v>199074</v>
      </c>
      <c r="G51" s="2">
        <v>19076</v>
      </c>
      <c r="H51">
        <v>0</v>
      </c>
      <c r="I51" t="str">
        <f>_xlfn.XLOOKUP($C51,战区信息!$A$1:$A$5,战区信息!$B$1:$B$5)</f>
        <v>001</v>
      </c>
      <c r="J51" t="str">
        <f>_xlfn.XLOOKUP($C51,战区信息!$A$1:$A$5,战区信息!$C$1:$C$5)</f>
        <v>江永</v>
      </c>
      <c r="K51" t="str">
        <f>_xlfn.XLOOKUP($C51,战区信息!$A$1:$A$5,战区信息!$D$1:$D$5)</f>
        <v>一级战区</v>
      </c>
      <c r="L51" t="str">
        <f>_xlfn.XLOOKUP($D51,城市信息!$B$1:$B$14,城市信息!$A$1:$A$14)</f>
        <v>003</v>
      </c>
      <c r="M51" t="str">
        <f>_xlfn.XLOOKUP($D51,城市信息!$B$1:$B$14,城市信息!$C$1:$C$14)</f>
        <v>杜光亮</v>
      </c>
      <c r="N51" t="str">
        <f>_xlfn.XLOOKUP($D51,城市信息!$B$1:$B$14,城市信息!$D$1:$D$14)</f>
        <v>二线</v>
      </c>
      <c r="O51">
        <f>_xlfn.XLOOKUP($D51,城市信息!$B$1:$B$14,城市信息!$E$1:$E$14)</f>
        <v>10499</v>
      </c>
      <c r="P51" cm="1">
        <f t="array" ref="P51:U51">_xlfn.XLOOKUP(A51&amp;B51,'[1]2.4自动化报表-8月获客数据-非乱码'!$A:$A&amp;'[1]2.4自动化报表-8月获客数据-非乱码'!$B:$B,'[1]2.4自动化报表-8月获客数据-非乱码'!$C:$H)</f>
        <v>4999</v>
      </c>
      <c r="Q51">
        <v>4808</v>
      </c>
      <c r="R51">
        <v>4560</v>
      </c>
      <c r="S51">
        <v>2806</v>
      </c>
      <c r="T51">
        <v>1400</v>
      </c>
      <c r="U51">
        <v>702</v>
      </c>
    </row>
    <row r="52" spans="1:21" x14ac:dyDescent="0.3">
      <c r="A52" s="1">
        <v>44045</v>
      </c>
      <c r="B52" t="s">
        <v>10</v>
      </c>
      <c r="C52" t="s">
        <v>108</v>
      </c>
      <c r="D52" t="s">
        <v>58</v>
      </c>
      <c r="E52" t="s">
        <v>123</v>
      </c>
      <c r="F52" s="2">
        <v>30424</v>
      </c>
      <c r="G52" s="2">
        <v>2618</v>
      </c>
      <c r="H52">
        <v>0</v>
      </c>
      <c r="I52" t="str">
        <f>_xlfn.XLOOKUP($C52,战区信息!$A$1:$A$5,战区信息!$B$1:$B$5)</f>
        <v>001</v>
      </c>
      <c r="J52" t="str">
        <f>_xlfn.XLOOKUP($C52,战区信息!$A$1:$A$5,战区信息!$C$1:$C$5)</f>
        <v>江永</v>
      </c>
      <c r="K52" t="str">
        <f>_xlfn.XLOOKUP($C52,战区信息!$A$1:$A$5,战区信息!$D$1:$D$5)</f>
        <v>一级战区</v>
      </c>
      <c r="L52" t="str">
        <f>_xlfn.XLOOKUP($D52,城市信息!$B$1:$B$14,城市信息!$A$1:$A$14)</f>
        <v>003</v>
      </c>
      <c r="M52" t="str">
        <f>_xlfn.XLOOKUP($D52,城市信息!$B$1:$B$14,城市信息!$C$1:$C$14)</f>
        <v>杜光亮</v>
      </c>
      <c r="N52" t="str">
        <f>_xlfn.XLOOKUP($D52,城市信息!$B$1:$B$14,城市信息!$D$1:$D$14)</f>
        <v>二线</v>
      </c>
      <c r="O52">
        <f>_xlfn.XLOOKUP($D52,城市信息!$B$1:$B$14,城市信息!$E$1:$E$14)</f>
        <v>10499</v>
      </c>
      <c r="P52" cm="1">
        <f t="array" ref="P52:U52">_xlfn.XLOOKUP(A52&amp;B52,'[1]2.4自动化报表-8月获客数据-非乱码'!$A:$A&amp;'[1]2.4自动化报表-8月获客数据-非乱码'!$B:$B,'[1]2.4自动化报表-8月获客数据-非乱码'!$C:$H)</f>
        <v>1773</v>
      </c>
      <c r="Q52">
        <v>1738</v>
      </c>
      <c r="R52">
        <v>1690</v>
      </c>
      <c r="S52">
        <v>1017</v>
      </c>
      <c r="T52">
        <v>614</v>
      </c>
      <c r="U52">
        <v>701</v>
      </c>
    </row>
    <row r="53" spans="1:21" x14ac:dyDescent="0.3">
      <c r="A53" s="1">
        <v>44045</v>
      </c>
      <c r="B53" t="s">
        <v>9</v>
      </c>
      <c r="C53" t="s">
        <v>108</v>
      </c>
      <c r="D53" t="s">
        <v>58</v>
      </c>
      <c r="E53" t="s">
        <v>124</v>
      </c>
      <c r="F53" s="2">
        <v>295433</v>
      </c>
      <c r="G53" s="2">
        <v>30412</v>
      </c>
      <c r="H53" s="2">
        <v>11163</v>
      </c>
      <c r="I53" t="str">
        <f>_xlfn.XLOOKUP($C53,战区信息!$A$1:$A$5,战区信息!$B$1:$B$5)</f>
        <v>001</v>
      </c>
      <c r="J53" t="str">
        <f>_xlfn.XLOOKUP($C53,战区信息!$A$1:$A$5,战区信息!$C$1:$C$5)</f>
        <v>江永</v>
      </c>
      <c r="K53" t="str">
        <f>_xlfn.XLOOKUP($C53,战区信息!$A$1:$A$5,战区信息!$D$1:$D$5)</f>
        <v>一级战区</v>
      </c>
      <c r="L53" t="str">
        <f>_xlfn.XLOOKUP($D53,城市信息!$B$1:$B$14,城市信息!$A$1:$A$14)</f>
        <v>003</v>
      </c>
      <c r="M53" t="str">
        <f>_xlfn.XLOOKUP($D53,城市信息!$B$1:$B$14,城市信息!$C$1:$C$14)</f>
        <v>杜光亮</v>
      </c>
      <c r="N53" t="str">
        <f>_xlfn.XLOOKUP($D53,城市信息!$B$1:$B$14,城市信息!$D$1:$D$14)</f>
        <v>二线</v>
      </c>
      <c r="O53">
        <f>_xlfn.XLOOKUP($D53,城市信息!$B$1:$B$14,城市信息!$E$1:$E$14)</f>
        <v>10499</v>
      </c>
      <c r="P53" cm="1">
        <f t="array" ref="P53:U53">_xlfn.XLOOKUP(A53&amp;B53,'[1]2.4自动化报表-8月获客数据-非乱码'!$A:$A&amp;'[1]2.4自动化报表-8月获客数据-非乱码'!$B:$B,'[1]2.4自动化报表-8月获客数据-非乱码'!$C:$H)</f>
        <v>4690</v>
      </c>
      <c r="Q53">
        <v>4577</v>
      </c>
      <c r="R53">
        <v>4431</v>
      </c>
      <c r="S53">
        <v>2485</v>
      </c>
      <c r="T53">
        <v>1443</v>
      </c>
      <c r="U53">
        <v>694</v>
      </c>
    </row>
    <row r="54" spans="1:21" x14ac:dyDescent="0.3">
      <c r="A54" s="1">
        <v>44045</v>
      </c>
      <c r="B54" t="s">
        <v>8</v>
      </c>
      <c r="C54" t="s">
        <v>125</v>
      </c>
      <c r="D54" t="s">
        <v>66</v>
      </c>
      <c r="E54" t="s">
        <v>126</v>
      </c>
      <c r="F54" s="2">
        <v>81553</v>
      </c>
      <c r="G54" s="2">
        <v>7299</v>
      </c>
      <c r="H54" s="2">
        <v>6309</v>
      </c>
      <c r="I54" t="str">
        <f>_xlfn.XLOOKUP($C54,战区信息!$A$1:$A$5,战区信息!$B$1:$B$5)</f>
        <v>004</v>
      </c>
      <c r="J54" t="str">
        <f>_xlfn.XLOOKUP($C54,战区信息!$A$1:$A$5,战区信息!$C$1:$C$5)</f>
        <v>沈乐欣</v>
      </c>
      <c r="K54" t="str">
        <f>_xlfn.XLOOKUP($C54,战区信息!$A$1:$A$5,战区信息!$D$1:$D$5)</f>
        <v>三级战区</v>
      </c>
      <c r="L54" t="str">
        <f>_xlfn.XLOOKUP($D54,城市信息!$B$1:$B$14,城市信息!$A$1:$A$14)</f>
        <v>011</v>
      </c>
      <c r="M54" t="str">
        <f>_xlfn.XLOOKUP($D54,城市信息!$B$1:$B$14,城市信息!$C$1:$C$14)</f>
        <v>冯谦</v>
      </c>
      <c r="N54" t="str">
        <f>_xlfn.XLOOKUP($D54,城市信息!$B$1:$B$14,城市信息!$D$1:$D$14)</f>
        <v>一线</v>
      </c>
      <c r="O54">
        <f>_xlfn.XLOOKUP($D54,城市信息!$B$1:$B$14,城市信息!$E$1:$E$14)</f>
        <v>8244</v>
      </c>
      <c r="P54" cm="1">
        <f t="array" ref="P54:U54">_xlfn.XLOOKUP(A54&amp;B54,'[1]2.4自动化报表-8月获客数据-非乱码'!$A:$A&amp;'[1]2.4自动化报表-8月获客数据-非乱码'!$B:$B,'[1]2.4自动化报表-8月获客数据-非乱码'!$C:$H)</f>
        <v>1674</v>
      </c>
      <c r="Q54">
        <v>1659</v>
      </c>
      <c r="R54">
        <v>1612</v>
      </c>
      <c r="S54">
        <v>862</v>
      </c>
      <c r="T54">
        <v>550</v>
      </c>
      <c r="U54">
        <v>684</v>
      </c>
    </row>
    <row r="55" spans="1:21" x14ac:dyDescent="0.3">
      <c r="A55" s="1">
        <v>44045</v>
      </c>
      <c r="B55" t="s">
        <v>7</v>
      </c>
      <c r="C55" t="s">
        <v>125</v>
      </c>
      <c r="D55" t="s">
        <v>62</v>
      </c>
      <c r="E55" t="s">
        <v>127</v>
      </c>
      <c r="F55" s="2">
        <v>10000</v>
      </c>
      <c r="G55">
        <v>654</v>
      </c>
      <c r="H55">
        <v>0</v>
      </c>
      <c r="I55" t="str">
        <f>_xlfn.XLOOKUP($C55,战区信息!$A$1:$A$5,战区信息!$B$1:$B$5)</f>
        <v>004</v>
      </c>
      <c r="J55" t="str">
        <f>_xlfn.XLOOKUP($C55,战区信息!$A$1:$A$5,战区信息!$C$1:$C$5)</f>
        <v>沈乐欣</v>
      </c>
      <c r="K55" t="str">
        <f>_xlfn.XLOOKUP($C55,战区信息!$A$1:$A$5,战区信息!$D$1:$D$5)</f>
        <v>三级战区</v>
      </c>
      <c r="L55" t="str">
        <f>_xlfn.XLOOKUP($D55,城市信息!$B$1:$B$14,城市信息!$A$1:$A$14)</f>
        <v>007</v>
      </c>
      <c r="M55" t="str">
        <f>_xlfn.XLOOKUP($D55,城市信息!$B$1:$B$14,城市信息!$C$1:$C$14)</f>
        <v>范俊发</v>
      </c>
      <c r="N55" t="str">
        <f>_xlfn.XLOOKUP($D55,城市信息!$B$1:$B$14,城市信息!$D$1:$D$14)</f>
        <v>一线</v>
      </c>
      <c r="O55">
        <f>_xlfn.XLOOKUP($D55,城市信息!$B$1:$B$14,城市信息!$E$1:$E$14)</f>
        <v>12358</v>
      </c>
      <c r="P55" cm="1">
        <f t="array" ref="P55:U55">_xlfn.XLOOKUP(A55&amp;B55,'[1]2.4自动化报表-8月获客数据-非乱码'!$A:$A&amp;'[1]2.4自动化报表-8月获客数据-非乱码'!$B:$B,'[1]2.4自动化报表-8月获客数据-非乱码'!$C:$H)</f>
        <v>95</v>
      </c>
      <c r="Q55">
        <v>91</v>
      </c>
      <c r="R55">
        <v>85</v>
      </c>
      <c r="S55">
        <v>45</v>
      </c>
      <c r="T55">
        <v>25</v>
      </c>
      <c r="U55">
        <v>686</v>
      </c>
    </row>
    <row r="56" spans="1:21" x14ac:dyDescent="0.3">
      <c r="A56" s="1">
        <v>44045</v>
      </c>
      <c r="B56" t="s">
        <v>6</v>
      </c>
      <c r="C56" t="s">
        <v>125</v>
      </c>
      <c r="D56" t="s">
        <v>62</v>
      </c>
      <c r="E56" t="s">
        <v>128</v>
      </c>
      <c r="F56" s="2">
        <v>68963</v>
      </c>
      <c r="G56" s="2">
        <v>7460</v>
      </c>
      <c r="H56">
        <v>0</v>
      </c>
      <c r="I56" t="str">
        <f>_xlfn.XLOOKUP($C56,战区信息!$A$1:$A$5,战区信息!$B$1:$B$5)</f>
        <v>004</v>
      </c>
      <c r="J56" t="str">
        <f>_xlfn.XLOOKUP($C56,战区信息!$A$1:$A$5,战区信息!$C$1:$C$5)</f>
        <v>沈乐欣</v>
      </c>
      <c r="K56" t="str">
        <f>_xlfn.XLOOKUP($C56,战区信息!$A$1:$A$5,战区信息!$D$1:$D$5)</f>
        <v>三级战区</v>
      </c>
      <c r="L56" t="str">
        <f>_xlfn.XLOOKUP($D56,城市信息!$B$1:$B$14,城市信息!$A$1:$A$14)</f>
        <v>007</v>
      </c>
      <c r="M56" t="str">
        <f>_xlfn.XLOOKUP($D56,城市信息!$B$1:$B$14,城市信息!$C$1:$C$14)</f>
        <v>范俊发</v>
      </c>
      <c r="N56" t="str">
        <f>_xlfn.XLOOKUP($D56,城市信息!$B$1:$B$14,城市信息!$D$1:$D$14)</f>
        <v>一线</v>
      </c>
      <c r="O56">
        <f>_xlfn.XLOOKUP($D56,城市信息!$B$1:$B$14,城市信息!$E$1:$E$14)</f>
        <v>12358</v>
      </c>
      <c r="P56" cm="1">
        <f t="array" ref="P56:U56">_xlfn.XLOOKUP(A56&amp;B56,'[1]2.4自动化报表-8月获客数据-非乱码'!$A:$A&amp;'[1]2.4自动化报表-8月获客数据-非乱码'!$B:$B,'[1]2.4自动化报表-8月获客数据-非乱码'!$C:$H)</f>
        <v>1721</v>
      </c>
      <c r="Q56">
        <v>1698</v>
      </c>
      <c r="R56">
        <v>1663</v>
      </c>
      <c r="S56">
        <v>1003</v>
      </c>
      <c r="T56">
        <v>582</v>
      </c>
      <c r="U56">
        <v>688</v>
      </c>
    </row>
    <row r="57" spans="1:21" x14ac:dyDescent="0.3">
      <c r="A57" s="1">
        <v>44045</v>
      </c>
      <c r="B57" t="s">
        <v>5</v>
      </c>
      <c r="C57" t="s">
        <v>125</v>
      </c>
      <c r="D57" t="s">
        <v>62</v>
      </c>
      <c r="E57" t="s">
        <v>129</v>
      </c>
      <c r="F57" s="2">
        <v>72714</v>
      </c>
      <c r="G57" s="2">
        <v>7226</v>
      </c>
      <c r="H57">
        <v>0</v>
      </c>
      <c r="I57" t="str">
        <f>_xlfn.XLOOKUP($C57,战区信息!$A$1:$A$5,战区信息!$B$1:$B$5)</f>
        <v>004</v>
      </c>
      <c r="J57" t="str">
        <f>_xlfn.XLOOKUP($C57,战区信息!$A$1:$A$5,战区信息!$C$1:$C$5)</f>
        <v>沈乐欣</v>
      </c>
      <c r="K57" t="str">
        <f>_xlfn.XLOOKUP($C57,战区信息!$A$1:$A$5,战区信息!$D$1:$D$5)</f>
        <v>三级战区</v>
      </c>
      <c r="L57" t="str">
        <f>_xlfn.XLOOKUP($D57,城市信息!$B$1:$B$14,城市信息!$A$1:$A$14)</f>
        <v>007</v>
      </c>
      <c r="M57" t="str">
        <f>_xlfn.XLOOKUP($D57,城市信息!$B$1:$B$14,城市信息!$C$1:$C$14)</f>
        <v>范俊发</v>
      </c>
      <c r="N57" t="str">
        <f>_xlfn.XLOOKUP($D57,城市信息!$B$1:$B$14,城市信息!$D$1:$D$14)</f>
        <v>一线</v>
      </c>
      <c r="O57">
        <f>_xlfn.XLOOKUP($D57,城市信息!$B$1:$B$14,城市信息!$E$1:$E$14)</f>
        <v>12358</v>
      </c>
      <c r="P57" cm="1">
        <f t="array" ref="P57:U57">_xlfn.XLOOKUP(A57&amp;B57,'[1]2.4自动化报表-8月获客数据-非乱码'!$A:$A&amp;'[1]2.4自动化报表-8月获客数据-非乱码'!$B:$B,'[1]2.4自动化报表-8月获客数据-非乱码'!$C:$H)</f>
        <v>3206</v>
      </c>
      <c r="Q57">
        <v>3143</v>
      </c>
      <c r="R57">
        <v>3012</v>
      </c>
      <c r="S57">
        <v>1877</v>
      </c>
      <c r="T57">
        <v>962</v>
      </c>
      <c r="U57">
        <v>689</v>
      </c>
    </row>
    <row r="58" spans="1:21" x14ac:dyDescent="0.3">
      <c r="A58" s="1">
        <v>44046</v>
      </c>
      <c r="B58" t="s">
        <v>32</v>
      </c>
      <c r="C58" t="s">
        <v>97</v>
      </c>
      <c r="D58" t="s">
        <v>67</v>
      </c>
      <c r="E58" t="s">
        <v>98</v>
      </c>
      <c r="F58" s="2">
        <v>60722</v>
      </c>
      <c r="G58" s="2">
        <v>2061</v>
      </c>
      <c r="H58">
        <v>81</v>
      </c>
      <c r="I58" t="str">
        <f>_xlfn.XLOOKUP($C58,战区信息!$A$1:$A$5,战区信息!$B$1:$B$5)</f>
        <v>003</v>
      </c>
      <c r="J58" t="str">
        <f>_xlfn.XLOOKUP($C58,战区信息!$A$1:$A$5,战区信息!$C$1:$C$5)</f>
        <v>田楠</v>
      </c>
      <c r="K58" t="str">
        <f>_xlfn.XLOOKUP($C58,战区信息!$A$1:$A$5,战区信息!$D$1:$D$5)</f>
        <v>二级战区</v>
      </c>
      <c r="L58" t="str">
        <f>_xlfn.XLOOKUP($D58,城市信息!$B$1:$B$14,城市信息!$A$1:$A$14)</f>
        <v>012</v>
      </c>
      <c r="M58" t="str">
        <f>_xlfn.XLOOKUP($D58,城市信息!$B$1:$B$14,城市信息!$C$1:$C$14)</f>
        <v>于子默</v>
      </c>
      <c r="N58" t="str">
        <f>_xlfn.XLOOKUP($D58,城市信息!$B$1:$B$14,城市信息!$D$1:$D$14)</f>
        <v>二线</v>
      </c>
      <c r="O58">
        <f>_xlfn.XLOOKUP($D58,城市信息!$B$1:$B$14,城市信息!$E$1:$E$14)</f>
        <v>9713</v>
      </c>
      <c r="P58" cm="1">
        <f t="array" ref="P58:U58">_xlfn.XLOOKUP(A58&amp;B58,'[1]2.4自动化报表-8月获客数据-非乱码'!$A:$A&amp;'[1]2.4自动化报表-8月获客数据-非乱码'!$B:$B,'[1]2.4自动化报表-8月获客数据-非乱码'!$C:$H)</f>
        <v>1387</v>
      </c>
      <c r="Q58">
        <v>1375</v>
      </c>
      <c r="R58">
        <v>1327</v>
      </c>
      <c r="S58">
        <v>836</v>
      </c>
      <c r="T58">
        <v>439</v>
      </c>
      <c r="U58">
        <v>688</v>
      </c>
    </row>
    <row r="59" spans="1:21" x14ac:dyDescent="0.3">
      <c r="A59" s="1">
        <v>44046</v>
      </c>
      <c r="B59" t="s">
        <v>31</v>
      </c>
      <c r="C59" t="s">
        <v>97</v>
      </c>
      <c r="D59" t="s">
        <v>65</v>
      </c>
      <c r="E59" t="s">
        <v>99</v>
      </c>
      <c r="F59" s="2">
        <v>38171</v>
      </c>
      <c r="G59" s="2">
        <v>2249</v>
      </c>
      <c r="H59">
        <v>0</v>
      </c>
      <c r="I59" t="str">
        <f>_xlfn.XLOOKUP($C59,战区信息!$A$1:$A$5,战区信息!$B$1:$B$5)</f>
        <v>003</v>
      </c>
      <c r="J59" t="str">
        <f>_xlfn.XLOOKUP($C59,战区信息!$A$1:$A$5,战区信息!$C$1:$C$5)</f>
        <v>田楠</v>
      </c>
      <c r="K59" t="str">
        <f>_xlfn.XLOOKUP($C59,战区信息!$A$1:$A$5,战区信息!$D$1:$D$5)</f>
        <v>二级战区</v>
      </c>
      <c r="L59" t="str">
        <f>_xlfn.XLOOKUP($D59,城市信息!$B$1:$B$14,城市信息!$A$1:$A$14)</f>
        <v>010</v>
      </c>
      <c r="M59" t="str">
        <f>_xlfn.XLOOKUP($D59,城市信息!$B$1:$B$14,城市信息!$C$1:$C$14)</f>
        <v>黄鹏天</v>
      </c>
      <c r="N59" t="str">
        <f>_xlfn.XLOOKUP($D59,城市信息!$B$1:$B$14,城市信息!$D$1:$D$14)</f>
        <v>二线</v>
      </c>
      <c r="O59">
        <f>_xlfn.XLOOKUP($D59,城市信息!$B$1:$B$14,城市信息!$E$1:$E$14)</f>
        <v>8295</v>
      </c>
      <c r="P59" cm="1">
        <f t="array" ref="P59:U59">_xlfn.XLOOKUP(A59&amp;B59,'[1]2.4自动化报表-8月获客数据-非乱码'!$A:$A&amp;'[1]2.4自动化报表-8月获客数据-非乱码'!$B:$B,'[1]2.4自动化报表-8月获客数据-非乱码'!$C:$H)</f>
        <v>2311</v>
      </c>
      <c r="Q59">
        <v>2270</v>
      </c>
      <c r="R59">
        <v>2211</v>
      </c>
      <c r="S59">
        <v>1329</v>
      </c>
      <c r="T59">
        <v>788</v>
      </c>
      <c r="U59">
        <v>692</v>
      </c>
    </row>
    <row r="60" spans="1:21" x14ac:dyDescent="0.3">
      <c r="A60" s="1">
        <v>44046</v>
      </c>
      <c r="B60" t="s">
        <v>30</v>
      </c>
      <c r="C60" t="s">
        <v>97</v>
      </c>
      <c r="D60" t="s">
        <v>61</v>
      </c>
      <c r="E60" t="s">
        <v>100</v>
      </c>
      <c r="F60" s="2">
        <v>108502</v>
      </c>
      <c r="G60" s="2">
        <v>4083</v>
      </c>
      <c r="H60">
        <v>0</v>
      </c>
      <c r="I60" t="str">
        <f>_xlfn.XLOOKUP($C60,战区信息!$A$1:$A$5,战区信息!$B$1:$B$5)</f>
        <v>003</v>
      </c>
      <c r="J60" t="str">
        <f>_xlfn.XLOOKUP($C60,战区信息!$A$1:$A$5,战区信息!$C$1:$C$5)</f>
        <v>田楠</v>
      </c>
      <c r="K60" t="str">
        <f>_xlfn.XLOOKUP($C60,战区信息!$A$1:$A$5,战区信息!$D$1:$D$5)</f>
        <v>二级战区</v>
      </c>
      <c r="L60" t="str">
        <f>_xlfn.XLOOKUP($D60,城市信息!$B$1:$B$14,城市信息!$A$1:$A$14)</f>
        <v>006</v>
      </c>
      <c r="M60" t="str">
        <f>_xlfn.XLOOKUP($D60,城市信息!$B$1:$B$14,城市信息!$C$1:$C$14)</f>
        <v>王刚</v>
      </c>
      <c r="N60" t="str">
        <f>_xlfn.XLOOKUP($D60,城市信息!$B$1:$B$14,城市信息!$D$1:$D$14)</f>
        <v>二线</v>
      </c>
      <c r="O60">
        <f>_xlfn.XLOOKUP($D60,城市信息!$B$1:$B$14,城市信息!$E$1:$E$14)</f>
        <v>9107</v>
      </c>
      <c r="P60" cm="1">
        <f t="array" ref="P60:U60">_xlfn.XLOOKUP(A60&amp;B60,'[1]2.4自动化报表-8月获客数据-非乱码'!$A:$A&amp;'[1]2.4自动化报表-8月获客数据-非乱码'!$B:$B,'[1]2.4自动化报表-8月获客数据-非乱码'!$C:$H)</f>
        <v>1378</v>
      </c>
      <c r="Q60">
        <v>1349</v>
      </c>
      <c r="R60">
        <v>1304</v>
      </c>
      <c r="S60">
        <v>773</v>
      </c>
      <c r="T60">
        <v>450</v>
      </c>
      <c r="U60">
        <v>695</v>
      </c>
    </row>
    <row r="61" spans="1:21" x14ac:dyDescent="0.3">
      <c r="A61" s="1">
        <v>44046</v>
      </c>
      <c r="B61" t="s">
        <v>29</v>
      </c>
      <c r="C61" t="s">
        <v>97</v>
      </c>
      <c r="D61" t="s">
        <v>64</v>
      </c>
      <c r="E61" t="s">
        <v>101</v>
      </c>
      <c r="F61" s="2">
        <v>67167</v>
      </c>
      <c r="G61" s="2">
        <v>2262</v>
      </c>
      <c r="H61">
        <v>675</v>
      </c>
      <c r="I61" t="str">
        <f>_xlfn.XLOOKUP($C61,战区信息!$A$1:$A$5,战区信息!$B$1:$B$5)</f>
        <v>003</v>
      </c>
      <c r="J61" t="str">
        <f>_xlfn.XLOOKUP($C61,战区信息!$A$1:$A$5,战区信息!$C$1:$C$5)</f>
        <v>田楠</v>
      </c>
      <c r="K61" t="str">
        <f>_xlfn.XLOOKUP($C61,战区信息!$A$1:$A$5,战区信息!$D$1:$D$5)</f>
        <v>二级战区</v>
      </c>
      <c r="L61" t="str">
        <f>_xlfn.XLOOKUP($D61,城市信息!$B$1:$B$14,城市信息!$A$1:$A$14)</f>
        <v>009</v>
      </c>
      <c r="M61" t="str">
        <f>_xlfn.XLOOKUP($D61,城市信息!$B$1:$B$14,城市信息!$C$1:$C$14)</f>
        <v>叶超</v>
      </c>
      <c r="N61" t="str">
        <f>_xlfn.XLOOKUP($D61,城市信息!$B$1:$B$14,城市信息!$D$1:$D$14)</f>
        <v>二线</v>
      </c>
      <c r="O61">
        <f>_xlfn.XLOOKUP($D61,城市信息!$B$1:$B$14,城市信息!$E$1:$E$14)</f>
        <v>9016</v>
      </c>
      <c r="P61" cm="1">
        <f t="array" ref="P61:U61">_xlfn.XLOOKUP(A61&amp;B61,'[1]2.4自动化报表-8月获客数据-非乱码'!$A:$A&amp;'[1]2.4自动化报表-8月获客数据-非乱码'!$B:$B,'[1]2.4自动化报表-8月获客数据-非乱码'!$C:$H)</f>
        <v>2990</v>
      </c>
      <c r="Q61">
        <v>2919</v>
      </c>
      <c r="R61">
        <v>2820</v>
      </c>
      <c r="S61">
        <v>1821</v>
      </c>
      <c r="T61">
        <v>1015</v>
      </c>
      <c r="U61">
        <v>691</v>
      </c>
    </row>
    <row r="62" spans="1:21" x14ac:dyDescent="0.3">
      <c r="A62" s="1">
        <v>44046</v>
      </c>
      <c r="B62" t="s">
        <v>28</v>
      </c>
      <c r="C62" t="s">
        <v>97</v>
      </c>
      <c r="D62" t="s">
        <v>64</v>
      </c>
      <c r="E62" t="s">
        <v>102</v>
      </c>
      <c r="F62" s="2">
        <v>6001</v>
      </c>
      <c r="G62">
        <v>250</v>
      </c>
      <c r="H62">
        <v>0</v>
      </c>
      <c r="I62" t="str">
        <f>_xlfn.XLOOKUP($C62,战区信息!$A$1:$A$5,战区信息!$B$1:$B$5)</f>
        <v>003</v>
      </c>
      <c r="J62" t="str">
        <f>_xlfn.XLOOKUP($C62,战区信息!$A$1:$A$5,战区信息!$C$1:$C$5)</f>
        <v>田楠</v>
      </c>
      <c r="K62" t="str">
        <f>_xlfn.XLOOKUP($C62,战区信息!$A$1:$A$5,战区信息!$D$1:$D$5)</f>
        <v>二级战区</v>
      </c>
      <c r="L62" t="str">
        <f>_xlfn.XLOOKUP($D62,城市信息!$B$1:$B$14,城市信息!$A$1:$A$14)</f>
        <v>009</v>
      </c>
      <c r="M62" t="str">
        <f>_xlfn.XLOOKUP($D62,城市信息!$B$1:$B$14,城市信息!$C$1:$C$14)</f>
        <v>叶超</v>
      </c>
      <c r="N62" t="str">
        <f>_xlfn.XLOOKUP($D62,城市信息!$B$1:$B$14,城市信息!$D$1:$D$14)</f>
        <v>二线</v>
      </c>
      <c r="O62">
        <f>_xlfn.XLOOKUP($D62,城市信息!$B$1:$B$14,城市信息!$E$1:$E$14)</f>
        <v>9016</v>
      </c>
      <c r="P62" cm="1">
        <f t="array" ref="P62:U62">_xlfn.XLOOKUP(A62&amp;B62,'[1]2.4自动化报表-8月获客数据-非乱码'!$A:$A&amp;'[1]2.4自动化报表-8月获客数据-非乱码'!$B:$B,'[1]2.4自动化报表-8月获客数据-非乱码'!$C:$H)</f>
        <v>672</v>
      </c>
      <c r="Q62">
        <v>662</v>
      </c>
      <c r="R62">
        <v>643</v>
      </c>
      <c r="S62">
        <v>443</v>
      </c>
      <c r="T62">
        <v>209</v>
      </c>
      <c r="U62">
        <v>692</v>
      </c>
    </row>
    <row r="63" spans="1:21" x14ac:dyDescent="0.3">
      <c r="A63" s="1">
        <v>44046</v>
      </c>
      <c r="B63" t="s">
        <v>27</v>
      </c>
      <c r="C63" t="s">
        <v>103</v>
      </c>
      <c r="D63" t="s">
        <v>63</v>
      </c>
      <c r="E63" t="s">
        <v>104</v>
      </c>
      <c r="F63" s="2">
        <v>136256</v>
      </c>
      <c r="G63" s="2">
        <v>6707</v>
      </c>
      <c r="H63" s="2">
        <v>17904</v>
      </c>
      <c r="I63" t="str">
        <f>_xlfn.XLOOKUP($C63,战区信息!$A$1:$A$5,战区信息!$B$1:$B$5)</f>
        <v>002</v>
      </c>
      <c r="J63" t="str">
        <f>_xlfn.XLOOKUP($C63,战区信息!$A$1:$A$5,战区信息!$C$1:$C$5)</f>
        <v>高安平</v>
      </c>
      <c r="K63" t="str">
        <f>_xlfn.XLOOKUP($C63,战区信息!$A$1:$A$5,战区信息!$D$1:$D$5)</f>
        <v>二级战区</v>
      </c>
      <c r="L63" t="str">
        <f>_xlfn.XLOOKUP($D63,城市信息!$B$1:$B$14,城市信息!$A$1:$A$14)</f>
        <v>008</v>
      </c>
      <c r="M63" t="str">
        <f>_xlfn.XLOOKUP($D63,城市信息!$B$1:$B$14,城市信息!$C$1:$C$14)</f>
        <v>高弘壮</v>
      </c>
      <c r="N63" t="str">
        <f>_xlfn.XLOOKUP($D63,城市信息!$B$1:$B$14,城市信息!$D$1:$D$14)</f>
        <v>一线</v>
      </c>
      <c r="O63">
        <f>_xlfn.XLOOKUP($D63,城市信息!$B$1:$B$14,城市信息!$E$1:$E$14)</f>
        <v>11498</v>
      </c>
      <c r="P63" cm="1">
        <f t="array" ref="P63:U63">_xlfn.XLOOKUP(A63&amp;B63,'[1]2.4自动化报表-8月获客数据-非乱码'!$A:$A&amp;'[1]2.4自动化报表-8月获客数据-非乱码'!$B:$B,'[1]2.4自动化报表-8月获客数据-非乱码'!$C:$H)</f>
        <v>3120</v>
      </c>
      <c r="Q63">
        <v>3018</v>
      </c>
      <c r="R63">
        <v>2877</v>
      </c>
      <c r="S63">
        <v>1701</v>
      </c>
      <c r="T63">
        <v>900</v>
      </c>
      <c r="U63">
        <v>689</v>
      </c>
    </row>
    <row r="64" spans="1:21" x14ac:dyDescent="0.3">
      <c r="A64" s="1">
        <v>44046</v>
      </c>
      <c r="B64" t="s">
        <v>26</v>
      </c>
      <c r="C64" t="s">
        <v>103</v>
      </c>
      <c r="D64" t="s">
        <v>57</v>
      </c>
      <c r="E64" t="s">
        <v>105</v>
      </c>
      <c r="F64" s="2">
        <v>188843</v>
      </c>
      <c r="G64" s="2">
        <v>6765</v>
      </c>
      <c r="H64" s="2">
        <v>13793</v>
      </c>
      <c r="I64" t="str">
        <f>_xlfn.XLOOKUP($C64,战区信息!$A$1:$A$5,战区信息!$B$1:$B$5)</f>
        <v>002</v>
      </c>
      <c r="J64" t="str">
        <f>_xlfn.XLOOKUP($C64,战区信息!$A$1:$A$5,战区信息!$C$1:$C$5)</f>
        <v>高安平</v>
      </c>
      <c r="K64" t="str">
        <f>_xlfn.XLOOKUP($C64,战区信息!$A$1:$A$5,战区信息!$D$1:$D$5)</f>
        <v>二级战区</v>
      </c>
      <c r="L64" t="str">
        <f>_xlfn.XLOOKUP($D64,城市信息!$B$1:$B$14,城市信息!$A$1:$A$14)</f>
        <v>002</v>
      </c>
      <c r="M64" t="str">
        <f>_xlfn.XLOOKUP($D64,城市信息!$B$1:$B$14,城市信息!$C$1:$C$14)</f>
        <v>孙乒</v>
      </c>
      <c r="N64" t="str">
        <f>_xlfn.XLOOKUP($D64,城市信息!$B$1:$B$14,城市信息!$D$1:$D$14)</f>
        <v>一线</v>
      </c>
      <c r="O64">
        <f>_xlfn.XLOOKUP($D64,城市信息!$B$1:$B$14,城市信息!$E$1:$E$14)</f>
        <v>9854</v>
      </c>
      <c r="P64" cm="1">
        <f t="array" ref="P64:U64">_xlfn.XLOOKUP(A64&amp;B64,'[1]2.4自动化报表-8月获客数据-非乱码'!$A:$A&amp;'[1]2.4自动化报表-8月获客数据-非乱码'!$B:$B,'[1]2.4自动化报表-8月获客数据-非乱码'!$C:$H)</f>
        <v>5614</v>
      </c>
      <c r="Q64">
        <v>5491</v>
      </c>
      <c r="R64">
        <v>5254</v>
      </c>
      <c r="S64">
        <v>3240</v>
      </c>
      <c r="T64">
        <v>1861</v>
      </c>
      <c r="U64">
        <v>687</v>
      </c>
    </row>
    <row r="65" spans="1:21" x14ac:dyDescent="0.3">
      <c r="A65" s="1">
        <v>44046</v>
      </c>
      <c r="B65" t="s">
        <v>25</v>
      </c>
      <c r="C65" t="s">
        <v>103</v>
      </c>
      <c r="D65" t="s">
        <v>57</v>
      </c>
      <c r="E65" t="s">
        <v>106</v>
      </c>
      <c r="F65" s="2">
        <v>56634</v>
      </c>
      <c r="G65" s="2">
        <v>1821</v>
      </c>
      <c r="H65">
        <v>0</v>
      </c>
      <c r="I65" t="str">
        <f>_xlfn.XLOOKUP($C65,战区信息!$A$1:$A$5,战区信息!$B$1:$B$5)</f>
        <v>002</v>
      </c>
      <c r="J65" t="str">
        <f>_xlfn.XLOOKUP($C65,战区信息!$A$1:$A$5,战区信息!$C$1:$C$5)</f>
        <v>高安平</v>
      </c>
      <c r="K65" t="str">
        <f>_xlfn.XLOOKUP($C65,战区信息!$A$1:$A$5,战区信息!$D$1:$D$5)</f>
        <v>二级战区</v>
      </c>
      <c r="L65" t="str">
        <f>_xlfn.XLOOKUP($D65,城市信息!$B$1:$B$14,城市信息!$A$1:$A$14)</f>
        <v>002</v>
      </c>
      <c r="M65" t="str">
        <f>_xlfn.XLOOKUP($D65,城市信息!$B$1:$B$14,城市信息!$C$1:$C$14)</f>
        <v>孙乒</v>
      </c>
      <c r="N65" t="str">
        <f>_xlfn.XLOOKUP($D65,城市信息!$B$1:$B$14,城市信息!$D$1:$D$14)</f>
        <v>一线</v>
      </c>
      <c r="O65">
        <f>_xlfn.XLOOKUP($D65,城市信息!$B$1:$B$14,城市信息!$E$1:$E$14)</f>
        <v>9854</v>
      </c>
      <c r="P65" cm="1">
        <f t="array" ref="P65:U65">_xlfn.XLOOKUP(A65&amp;B65,'[1]2.4自动化报表-8月获客数据-非乱码'!$A:$A&amp;'[1]2.4自动化报表-8月获客数据-非乱码'!$B:$B,'[1]2.4自动化报表-8月获客数据-非乱码'!$C:$H)</f>
        <v>3506</v>
      </c>
      <c r="Q65">
        <v>3412</v>
      </c>
      <c r="R65">
        <v>3242</v>
      </c>
      <c r="S65">
        <v>1934</v>
      </c>
      <c r="T65">
        <v>1090</v>
      </c>
      <c r="U65">
        <v>688</v>
      </c>
    </row>
    <row r="66" spans="1:21" x14ac:dyDescent="0.3">
      <c r="A66" s="1">
        <v>44046</v>
      </c>
      <c r="B66" t="s">
        <v>24</v>
      </c>
      <c r="C66" t="s">
        <v>103</v>
      </c>
      <c r="D66" t="s">
        <v>57</v>
      </c>
      <c r="E66" t="s">
        <v>107</v>
      </c>
      <c r="F66" s="2">
        <v>107549</v>
      </c>
      <c r="G66" s="2">
        <v>4065</v>
      </c>
      <c r="H66" s="2">
        <v>2843</v>
      </c>
      <c r="I66" t="str">
        <f>_xlfn.XLOOKUP($C66,战区信息!$A$1:$A$5,战区信息!$B$1:$B$5)</f>
        <v>002</v>
      </c>
      <c r="J66" t="str">
        <f>_xlfn.XLOOKUP($C66,战区信息!$A$1:$A$5,战区信息!$C$1:$C$5)</f>
        <v>高安平</v>
      </c>
      <c r="K66" t="str">
        <f>_xlfn.XLOOKUP($C66,战区信息!$A$1:$A$5,战区信息!$D$1:$D$5)</f>
        <v>二级战区</v>
      </c>
      <c r="L66" t="str">
        <f>_xlfn.XLOOKUP($D66,城市信息!$B$1:$B$14,城市信息!$A$1:$A$14)</f>
        <v>002</v>
      </c>
      <c r="M66" t="str">
        <f>_xlfn.XLOOKUP($D66,城市信息!$B$1:$B$14,城市信息!$C$1:$C$14)</f>
        <v>孙乒</v>
      </c>
      <c r="N66" t="str">
        <f>_xlfn.XLOOKUP($D66,城市信息!$B$1:$B$14,城市信息!$D$1:$D$14)</f>
        <v>一线</v>
      </c>
      <c r="O66">
        <f>_xlfn.XLOOKUP($D66,城市信息!$B$1:$B$14,城市信息!$E$1:$E$14)</f>
        <v>9854</v>
      </c>
      <c r="P66" cm="1">
        <f t="array" ref="P66:U66">_xlfn.XLOOKUP(A66&amp;B66,'[1]2.4自动化报表-8月获客数据-非乱码'!$A:$A&amp;'[1]2.4自动化报表-8月获客数据-非乱码'!$B:$B,'[1]2.4自动化报表-8月获客数据-非乱码'!$C:$H)</f>
        <v>3815</v>
      </c>
      <c r="Q66">
        <v>3753</v>
      </c>
      <c r="R66">
        <v>3594</v>
      </c>
      <c r="S66">
        <v>2217</v>
      </c>
      <c r="T66">
        <v>1296</v>
      </c>
      <c r="U66">
        <v>690</v>
      </c>
    </row>
    <row r="67" spans="1:21" x14ac:dyDescent="0.3">
      <c r="A67" s="1">
        <v>44046</v>
      </c>
      <c r="B67" t="s">
        <v>23</v>
      </c>
      <c r="C67" t="s">
        <v>108</v>
      </c>
      <c r="D67" t="s">
        <v>109</v>
      </c>
      <c r="E67" t="s">
        <v>110</v>
      </c>
      <c r="F67" s="2">
        <v>177468</v>
      </c>
      <c r="G67" s="2">
        <v>6884</v>
      </c>
      <c r="H67" s="2">
        <v>11326</v>
      </c>
      <c r="I67" t="str">
        <f>_xlfn.XLOOKUP($C67,战区信息!$A$1:$A$5,战区信息!$B$1:$B$5)</f>
        <v>001</v>
      </c>
      <c r="J67" t="str">
        <f>_xlfn.XLOOKUP($C67,战区信息!$A$1:$A$5,战区信息!$C$1:$C$5)</f>
        <v>江永</v>
      </c>
      <c r="K67" t="str">
        <f>_xlfn.XLOOKUP($C67,战区信息!$A$1:$A$5,战区信息!$D$1:$D$5)</f>
        <v>一级战区</v>
      </c>
      <c r="L67" t="str">
        <f>_xlfn.XLOOKUP($D67,城市信息!$B$1:$B$14,城市信息!$A$1:$A$14)</f>
        <v>013</v>
      </c>
      <c r="M67" t="str">
        <f>_xlfn.XLOOKUP($D67,城市信息!$B$1:$B$14,城市信息!$C$1:$C$14)</f>
        <v>张建</v>
      </c>
      <c r="N67" t="str">
        <f>_xlfn.XLOOKUP($D67,城市信息!$B$1:$B$14,城市信息!$D$1:$D$14)</f>
        <v>二线</v>
      </c>
      <c r="O67">
        <f>_xlfn.XLOOKUP($D67,城市信息!$B$1:$B$14,城市信息!$E$1:$E$14)</f>
        <v>8800</v>
      </c>
      <c r="P67" cm="1">
        <f t="array" ref="P67:U67">_xlfn.XLOOKUP(A67&amp;B67,'[1]2.4自动化报表-8月获客数据-非乱码'!$A:$A&amp;'[1]2.4自动化报表-8月获客数据-非乱码'!$B:$B,'[1]2.4自动化报表-8月获客数据-非乱码'!$C:$H)</f>
        <v>4671</v>
      </c>
      <c r="Q67">
        <v>4540</v>
      </c>
      <c r="R67">
        <v>4352</v>
      </c>
      <c r="S67">
        <v>2591</v>
      </c>
      <c r="T67">
        <v>1313</v>
      </c>
      <c r="U67">
        <v>694</v>
      </c>
    </row>
    <row r="68" spans="1:21" x14ac:dyDescent="0.3">
      <c r="A68" s="1">
        <v>44046</v>
      </c>
      <c r="B68" t="s">
        <v>22</v>
      </c>
      <c r="C68" t="s">
        <v>108</v>
      </c>
      <c r="D68" t="s">
        <v>109</v>
      </c>
      <c r="E68" t="s">
        <v>111</v>
      </c>
      <c r="F68" s="2">
        <v>27001</v>
      </c>
      <c r="G68" s="2">
        <v>2436</v>
      </c>
      <c r="H68">
        <v>0</v>
      </c>
      <c r="I68" t="str">
        <f>_xlfn.XLOOKUP($C68,战区信息!$A$1:$A$5,战区信息!$B$1:$B$5)</f>
        <v>001</v>
      </c>
      <c r="J68" t="str">
        <f>_xlfn.XLOOKUP($C68,战区信息!$A$1:$A$5,战区信息!$C$1:$C$5)</f>
        <v>江永</v>
      </c>
      <c r="K68" t="str">
        <f>_xlfn.XLOOKUP($C68,战区信息!$A$1:$A$5,战区信息!$D$1:$D$5)</f>
        <v>一级战区</v>
      </c>
      <c r="L68" t="str">
        <f>_xlfn.XLOOKUP($D68,城市信息!$B$1:$B$14,城市信息!$A$1:$A$14)</f>
        <v>013</v>
      </c>
      <c r="M68" t="str">
        <f>_xlfn.XLOOKUP($D68,城市信息!$B$1:$B$14,城市信息!$C$1:$C$14)</f>
        <v>张建</v>
      </c>
      <c r="N68" t="str">
        <f>_xlfn.XLOOKUP($D68,城市信息!$B$1:$B$14,城市信息!$D$1:$D$14)</f>
        <v>二线</v>
      </c>
      <c r="O68">
        <f>_xlfn.XLOOKUP($D68,城市信息!$B$1:$B$14,城市信息!$E$1:$E$14)</f>
        <v>8800</v>
      </c>
      <c r="P68" cm="1">
        <f t="array" ref="P68:U68">_xlfn.XLOOKUP(A68&amp;B68,'[1]2.4自动化报表-8月获客数据-非乱码'!$A:$A&amp;'[1]2.4自动化报表-8月获客数据-非乱码'!$B:$B,'[1]2.4自动化报表-8月获客数据-非乱码'!$C:$H)</f>
        <v>51</v>
      </c>
      <c r="Q68">
        <v>49</v>
      </c>
      <c r="R68">
        <v>43</v>
      </c>
      <c r="S68">
        <v>31</v>
      </c>
      <c r="T68">
        <v>9</v>
      </c>
      <c r="U68">
        <v>698</v>
      </c>
    </row>
    <row r="69" spans="1:21" x14ac:dyDescent="0.3">
      <c r="A69" s="1">
        <v>44046</v>
      </c>
      <c r="B69" t="s">
        <v>21</v>
      </c>
      <c r="C69" t="s">
        <v>108</v>
      </c>
      <c r="D69" t="s">
        <v>109</v>
      </c>
      <c r="E69" t="s">
        <v>112</v>
      </c>
      <c r="F69" s="2">
        <v>126280</v>
      </c>
      <c r="G69" s="2">
        <v>5065</v>
      </c>
      <c r="H69">
        <v>0</v>
      </c>
      <c r="I69" t="str">
        <f>_xlfn.XLOOKUP($C69,战区信息!$A$1:$A$5,战区信息!$B$1:$B$5)</f>
        <v>001</v>
      </c>
      <c r="J69" t="str">
        <f>_xlfn.XLOOKUP($C69,战区信息!$A$1:$A$5,战区信息!$C$1:$C$5)</f>
        <v>江永</v>
      </c>
      <c r="K69" t="str">
        <f>_xlfn.XLOOKUP($C69,战区信息!$A$1:$A$5,战区信息!$D$1:$D$5)</f>
        <v>一级战区</v>
      </c>
      <c r="L69" t="str">
        <f>_xlfn.XLOOKUP($D69,城市信息!$B$1:$B$14,城市信息!$A$1:$A$14)</f>
        <v>013</v>
      </c>
      <c r="M69" t="str">
        <f>_xlfn.XLOOKUP($D69,城市信息!$B$1:$B$14,城市信息!$C$1:$C$14)</f>
        <v>张建</v>
      </c>
      <c r="N69" t="str">
        <f>_xlfn.XLOOKUP($D69,城市信息!$B$1:$B$14,城市信息!$D$1:$D$14)</f>
        <v>二线</v>
      </c>
      <c r="O69">
        <f>_xlfn.XLOOKUP($D69,城市信息!$B$1:$B$14,城市信息!$E$1:$E$14)</f>
        <v>8800</v>
      </c>
      <c r="P69" cm="1">
        <f t="array" ref="P69:U69">_xlfn.XLOOKUP(A69&amp;B69,'[1]2.4自动化报表-8月获客数据-非乱码'!$A:$A&amp;'[1]2.4自动化报表-8月获客数据-非乱码'!$B:$B,'[1]2.4自动化报表-8月获客数据-非乱码'!$C:$H)</f>
        <v>5895</v>
      </c>
      <c r="Q69">
        <v>5654</v>
      </c>
      <c r="R69">
        <v>5383</v>
      </c>
      <c r="S69">
        <v>3150</v>
      </c>
      <c r="T69">
        <v>1736</v>
      </c>
      <c r="U69">
        <v>696</v>
      </c>
    </row>
    <row r="70" spans="1:21" x14ac:dyDescent="0.3">
      <c r="A70" s="1">
        <v>44046</v>
      </c>
      <c r="B70" t="s">
        <v>20</v>
      </c>
      <c r="C70" t="s">
        <v>108</v>
      </c>
      <c r="D70" t="s">
        <v>56</v>
      </c>
      <c r="E70" t="s">
        <v>113</v>
      </c>
      <c r="F70" s="2">
        <v>231336</v>
      </c>
      <c r="G70" s="2">
        <v>10135</v>
      </c>
      <c r="H70" s="2">
        <v>10063</v>
      </c>
      <c r="I70" t="str">
        <f>_xlfn.XLOOKUP($C70,战区信息!$A$1:$A$5,战区信息!$B$1:$B$5)</f>
        <v>001</v>
      </c>
      <c r="J70" t="str">
        <f>_xlfn.XLOOKUP($C70,战区信息!$A$1:$A$5,战区信息!$C$1:$C$5)</f>
        <v>江永</v>
      </c>
      <c r="K70" t="str">
        <f>_xlfn.XLOOKUP($C70,战区信息!$A$1:$A$5,战区信息!$D$1:$D$5)</f>
        <v>一级战区</v>
      </c>
      <c r="L70" t="str">
        <f>_xlfn.XLOOKUP($D70,城市信息!$B$1:$B$14,城市信息!$A$1:$A$14)</f>
        <v>001</v>
      </c>
      <c r="M70" t="str">
        <f>_xlfn.XLOOKUP($D70,城市信息!$B$1:$B$14,城市信息!$C$1:$C$14)</f>
        <v>吴刚</v>
      </c>
      <c r="N70" t="str">
        <f>_xlfn.XLOOKUP($D70,城市信息!$B$1:$B$14,城市信息!$D$1:$D$14)</f>
        <v>一线</v>
      </c>
      <c r="O70">
        <f>_xlfn.XLOOKUP($D70,城市信息!$B$1:$B$14,城市信息!$E$1:$E$14)</f>
        <v>12114</v>
      </c>
      <c r="P70" cm="1">
        <f t="array" ref="P70:U70">_xlfn.XLOOKUP(A70&amp;B70,'[1]2.4自动化报表-8月获客数据-非乱码'!$A:$A&amp;'[1]2.4自动化报表-8月获客数据-非乱码'!$B:$B,'[1]2.4自动化报表-8月获客数据-非乱码'!$C:$H)</f>
        <v>5415</v>
      </c>
      <c r="Q70">
        <v>5253</v>
      </c>
      <c r="R70">
        <v>5063</v>
      </c>
      <c r="S70">
        <v>3076</v>
      </c>
      <c r="T70">
        <v>1711</v>
      </c>
      <c r="U70">
        <v>694</v>
      </c>
    </row>
    <row r="71" spans="1:21" x14ac:dyDescent="0.3">
      <c r="A71" s="1">
        <v>44046</v>
      </c>
      <c r="B71" t="s">
        <v>19</v>
      </c>
      <c r="C71" t="s">
        <v>108</v>
      </c>
      <c r="D71" t="s">
        <v>56</v>
      </c>
      <c r="E71" t="s">
        <v>114</v>
      </c>
      <c r="F71" s="2">
        <v>36002</v>
      </c>
      <c r="G71" s="2">
        <v>1597</v>
      </c>
      <c r="H71">
        <v>0</v>
      </c>
      <c r="I71" t="str">
        <f>_xlfn.XLOOKUP($C71,战区信息!$A$1:$A$5,战区信息!$B$1:$B$5)</f>
        <v>001</v>
      </c>
      <c r="J71" t="str">
        <f>_xlfn.XLOOKUP($C71,战区信息!$A$1:$A$5,战区信息!$C$1:$C$5)</f>
        <v>江永</v>
      </c>
      <c r="K71" t="str">
        <f>_xlfn.XLOOKUP($C71,战区信息!$A$1:$A$5,战区信息!$D$1:$D$5)</f>
        <v>一级战区</v>
      </c>
      <c r="L71" t="str">
        <f>_xlfn.XLOOKUP($D71,城市信息!$B$1:$B$14,城市信息!$A$1:$A$14)</f>
        <v>001</v>
      </c>
      <c r="M71" t="str">
        <f>_xlfn.XLOOKUP($D71,城市信息!$B$1:$B$14,城市信息!$C$1:$C$14)</f>
        <v>吴刚</v>
      </c>
      <c r="N71" t="str">
        <f>_xlfn.XLOOKUP($D71,城市信息!$B$1:$B$14,城市信息!$D$1:$D$14)</f>
        <v>一线</v>
      </c>
      <c r="O71">
        <f>_xlfn.XLOOKUP($D71,城市信息!$B$1:$B$14,城市信息!$E$1:$E$14)</f>
        <v>12114</v>
      </c>
      <c r="P71" cm="1">
        <f t="array" ref="P71:U71">_xlfn.XLOOKUP(A71&amp;B71,'[1]2.4自动化报表-8月获客数据-非乱码'!$A:$A&amp;'[1]2.4自动化报表-8月获客数据-非乱码'!$B:$B,'[1]2.4自动化报表-8月获客数据-非乱码'!$C:$H)</f>
        <v>2199</v>
      </c>
      <c r="Q71">
        <v>2160</v>
      </c>
      <c r="R71">
        <v>2085</v>
      </c>
      <c r="S71">
        <v>1198</v>
      </c>
      <c r="T71">
        <v>730</v>
      </c>
      <c r="U71">
        <v>693</v>
      </c>
    </row>
    <row r="72" spans="1:21" x14ac:dyDescent="0.3">
      <c r="A72" s="1">
        <v>44046</v>
      </c>
      <c r="B72" t="s">
        <v>18</v>
      </c>
      <c r="C72" t="s">
        <v>108</v>
      </c>
      <c r="D72" t="s">
        <v>56</v>
      </c>
      <c r="E72" t="s">
        <v>115</v>
      </c>
      <c r="F72" s="2">
        <v>65183</v>
      </c>
      <c r="G72" s="2">
        <v>2207</v>
      </c>
      <c r="H72" s="2">
        <v>1839</v>
      </c>
      <c r="I72" t="str">
        <f>_xlfn.XLOOKUP($C72,战区信息!$A$1:$A$5,战区信息!$B$1:$B$5)</f>
        <v>001</v>
      </c>
      <c r="J72" t="str">
        <f>_xlfn.XLOOKUP($C72,战区信息!$A$1:$A$5,战区信息!$C$1:$C$5)</f>
        <v>江永</v>
      </c>
      <c r="K72" t="str">
        <f>_xlfn.XLOOKUP($C72,战区信息!$A$1:$A$5,战区信息!$D$1:$D$5)</f>
        <v>一级战区</v>
      </c>
      <c r="L72" t="str">
        <f>_xlfn.XLOOKUP($D72,城市信息!$B$1:$B$14,城市信息!$A$1:$A$14)</f>
        <v>001</v>
      </c>
      <c r="M72" t="str">
        <f>_xlfn.XLOOKUP($D72,城市信息!$B$1:$B$14,城市信息!$C$1:$C$14)</f>
        <v>吴刚</v>
      </c>
      <c r="N72" t="str">
        <f>_xlfn.XLOOKUP($D72,城市信息!$B$1:$B$14,城市信息!$D$1:$D$14)</f>
        <v>一线</v>
      </c>
      <c r="O72">
        <f>_xlfn.XLOOKUP($D72,城市信息!$B$1:$B$14,城市信息!$E$1:$E$14)</f>
        <v>12114</v>
      </c>
      <c r="P72" cm="1">
        <f t="array" ref="P72:U72">_xlfn.XLOOKUP(A72&amp;B72,'[1]2.4自动化报表-8月获客数据-非乱码'!$A:$A&amp;'[1]2.4自动化报表-8月获客数据-非乱码'!$B:$B,'[1]2.4自动化报表-8月获客数据-非乱码'!$C:$H)</f>
        <v>2215</v>
      </c>
      <c r="Q72">
        <v>2183</v>
      </c>
      <c r="R72">
        <v>2092</v>
      </c>
      <c r="S72">
        <v>1238</v>
      </c>
      <c r="T72">
        <v>672</v>
      </c>
      <c r="U72">
        <v>691</v>
      </c>
    </row>
    <row r="73" spans="1:21" x14ac:dyDescent="0.3">
      <c r="A73" s="1">
        <v>44046</v>
      </c>
      <c r="B73" t="s">
        <v>17</v>
      </c>
      <c r="C73" t="s">
        <v>108</v>
      </c>
      <c r="D73" t="s">
        <v>59</v>
      </c>
      <c r="E73" t="s">
        <v>116</v>
      </c>
      <c r="F73" s="2">
        <v>165889</v>
      </c>
      <c r="G73" s="2">
        <v>6650</v>
      </c>
      <c r="H73" s="2">
        <v>7000</v>
      </c>
      <c r="I73" t="str">
        <f>_xlfn.XLOOKUP($C73,战区信息!$A$1:$A$5,战区信息!$B$1:$B$5)</f>
        <v>001</v>
      </c>
      <c r="J73" t="str">
        <f>_xlfn.XLOOKUP($C73,战区信息!$A$1:$A$5,战区信息!$C$1:$C$5)</f>
        <v>江永</v>
      </c>
      <c r="K73" t="str">
        <f>_xlfn.XLOOKUP($C73,战区信息!$A$1:$A$5,战区信息!$D$1:$D$5)</f>
        <v>一级战区</v>
      </c>
      <c r="L73" t="str">
        <f>_xlfn.XLOOKUP($D73,城市信息!$B$1:$B$14,城市信息!$A$1:$A$14)</f>
        <v>004</v>
      </c>
      <c r="M73" t="str">
        <f>_xlfn.XLOOKUP($D73,城市信息!$B$1:$B$14,城市信息!$C$1:$C$14)</f>
        <v>苏川</v>
      </c>
      <c r="N73" t="str">
        <f>_xlfn.XLOOKUP($D73,城市信息!$B$1:$B$14,城市信息!$D$1:$D$14)</f>
        <v>二线</v>
      </c>
      <c r="O73">
        <f>_xlfn.XLOOKUP($D73,城市信息!$B$1:$B$14,城市信息!$E$1:$E$14)</f>
        <v>9912</v>
      </c>
      <c r="P73" cm="1">
        <f t="array" ref="P73:U73">_xlfn.XLOOKUP(A73&amp;B73,'[1]2.4自动化报表-8月获客数据-非乱码'!$A:$A&amp;'[1]2.4自动化报表-8月获客数据-非乱码'!$B:$B,'[1]2.4自动化报表-8月获客数据-非乱码'!$C:$H)</f>
        <v>3110</v>
      </c>
      <c r="Q73">
        <v>3054</v>
      </c>
      <c r="R73">
        <v>2947</v>
      </c>
      <c r="S73">
        <v>1708</v>
      </c>
      <c r="T73">
        <v>955</v>
      </c>
      <c r="U73">
        <v>697</v>
      </c>
    </row>
    <row r="74" spans="1:21" x14ac:dyDescent="0.3">
      <c r="A74" s="1">
        <v>44046</v>
      </c>
      <c r="B74" t="s">
        <v>16</v>
      </c>
      <c r="C74" t="s">
        <v>108</v>
      </c>
      <c r="D74" t="s">
        <v>59</v>
      </c>
      <c r="E74" t="s">
        <v>117</v>
      </c>
      <c r="F74" s="2">
        <v>36010</v>
      </c>
      <c r="G74" s="2">
        <v>1051</v>
      </c>
      <c r="H74">
        <v>0</v>
      </c>
      <c r="I74" t="str">
        <f>_xlfn.XLOOKUP($C74,战区信息!$A$1:$A$5,战区信息!$B$1:$B$5)</f>
        <v>001</v>
      </c>
      <c r="J74" t="str">
        <f>_xlfn.XLOOKUP($C74,战区信息!$A$1:$A$5,战区信息!$C$1:$C$5)</f>
        <v>江永</v>
      </c>
      <c r="K74" t="str">
        <f>_xlfn.XLOOKUP($C74,战区信息!$A$1:$A$5,战区信息!$D$1:$D$5)</f>
        <v>一级战区</v>
      </c>
      <c r="L74" t="str">
        <f>_xlfn.XLOOKUP($D74,城市信息!$B$1:$B$14,城市信息!$A$1:$A$14)</f>
        <v>004</v>
      </c>
      <c r="M74" t="str">
        <f>_xlfn.XLOOKUP($D74,城市信息!$B$1:$B$14,城市信息!$C$1:$C$14)</f>
        <v>苏川</v>
      </c>
      <c r="N74" t="str">
        <f>_xlfn.XLOOKUP($D74,城市信息!$B$1:$B$14,城市信息!$D$1:$D$14)</f>
        <v>二线</v>
      </c>
      <c r="O74">
        <f>_xlfn.XLOOKUP($D74,城市信息!$B$1:$B$14,城市信息!$E$1:$E$14)</f>
        <v>9912</v>
      </c>
      <c r="P74" cm="1">
        <f t="array" ref="P74:U74">_xlfn.XLOOKUP(A74&amp;B74,'[1]2.4自动化报表-8月获客数据-非乱码'!$A:$A&amp;'[1]2.4自动化报表-8月获客数据-非乱码'!$B:$B,'[1]2.4自动化报表-8月获客数据-非乱码'!$C:$H)</f>
        <v>2105</v>
      </c>
      <c r="Q74">
        <v>2042</v>
      </c>
      <c r="R74">
        <v>1946</v>
      </c>
      <c r="S74">
        <v>1120</v>
      </c>
      <c r="T74">
        <v>651</v>
      </c>
      <c r="U74">
        <v>696</v>
      </c>
    </row>
    <row r="75" spans="1:21" x14ac:dyDescent="0.3">
      <c r="A75" s="1">
        <v>44046</v>
      </c>
      <c r="B75" t="s">
        <v>15</v>
      </c>
      <c r="C75" t="s">
        <v>108</v>
      </c>
      <c r="D75" t="s">
        <v>59</v>
      </c>
      <c r="E75" t="s">
        <v>118</v>
      </c>
      <c r="F75" s="2">
        <v>20011</v>
      </c>
      <c r="G75">
        <v>698</v>
      </c>
      <c r="H75">
        <v>0</v>
      </c>
      <c r="I75" t="str">
        <f>_xlfn.XLOOKUP($C75,战区信息!$A$1:$A$5,战区信息!$B$1:$B$5)</f>
        <v>001</v>
      </c>
      <c r="J75" t="str">
        <f>_xlfn.XLOOKUP($C75,战区信息!$A$1:$A$5,战区信息!$C$1:$C$5)</f>
        <v>江永</v>
      </c>
      <c r="K75" t="str">
        <f>_xlfn.XLOOKUP($C75,战区信息!$A$1:$A$5,战区信息!$D$1:$D$5)</f>
        <v>一级战区</v>
      </c>
      <c r="L75" t="str">
        <f>_xlfn.XLOOKUP($D75,城市信息!$B$1:$B$14,城市信息!$A$1:$A$14)</f>
        <v>004</v>
      </c>
      <c r="M75" t="str">
        <f>_xlfn.XLOOKUP($D75,城市信息!$B$1:$B$14,城市信息!$C$1:$C$14)</f>
        <v>苏川</v>
      </c>
      <c r="N75" t="str">
        <f>_xlfn.XLOOKUP($D75,城市信息!$B$1:$B$14,城市信息!$D$1:$D$14)</f>
        <v>二线</v>
      </c>
      <c r="O75">
        <f>_xlfn.XLOOKUP($D75,城市信息!$B$1:$B$14,城市信息!$E$1:$E$14)</f>
        <v>9912</v>
      </c>
      <c r="P75" cm="1">
        <f t="array" ref="P75:U75">_xlfn.XLOOKUP(A75&amp;B75,'[1]2.4自动化报表-8月获客数据-非乱码'!$A:$A&amp;'[1]2.4自动化报表-8月获客数据-非乱码'!$B:$B,'[1]2.4自动化报表-8月获客数据-非乱码'!$C:$H)</f>
        <v>1448</v>
      </c>
      <c r="Q75">
        <v>1428</v>
      </c>
      <c r="R75">
        <v>1383</v>
      </c>
      <c r="S75">
        <v>818</v>
      </c>
      <c r="T75">
        <v>446</v>
      </c>
      <c r="U75">
        <v>698</v>
      </c>
    </row>
    <row r="76" spans="1:21" x14ac:dyDescent="0.3">
      <c r="A76" s="1">
        <v>44046</v>
      </c>
      <c r="B76" t="s">
        <v>14</v>
      </c>
      <c r="C76" t="s">
        <v>108</v>
      </c>
      <c r="D76" t="s">
        <v>59</v>
      </c>
      <c r="E76" t="s">
        <v>119</v>
      </c>
      <c r="F76" s="2">
        <v>46102</v>
      </c>
      <c r="G76" s="2">
        <v>1115</v>
      </c>
      <c r="H76">
        <v>336</v>
      </c>
      <c r="I76" t="str">
        <f>_xlfn.XLOOKUP($C76,战区信息!$A$1:$A$5,战区信息!$B$1:$B$5)</f>
        <v>001</v>
      </c>
      <c r="J76" t="str">
        <f>_xlfn.XLOOKUP($C76,战区信息!$A$1:$A$5,战区信息!$C$1:$C$5)</f>
        <v>江永</v>
      </c>
      <c r="K76" t="str">
        <f>_xlfn.XLOOKUP($C76,战区信息!$A$1:$A$5,战区信息!$D$1:$D$5)</f>
        <v>一级战区</v>
      </c>
      <c r="L76" t="str">
        <f>_xlfn.XLOOKUP($D76,城市信息!$B$1:$B$14,城市信息!$A$1:$A$14)</f>
        <v>004</v>
      </c>
      <c r="M76" t="str">
        <f>_xlfn.XLOOKUP($D76,城市信息!$B$1:$B$14,城市信息!$C$1:$C$14)</f>
        <v>苏川</v>
      </c>
      <c r="N76" t="str">
        <f>_xlfn.XLOOKUP($D76,城市信息!$B$1:$B$14,城市信息!$D$1:$D$14)</f>
        <v>二线</v>
      </c>
      <c r="O76">
        <f>_xlfn.XLOOKUP($D76,城市信息!$B$1:$B$14,城市信息!$E$1:$E$14)</f>
        <v>9912</v>
      </c>
      <c r="P76" cm="1">
        <f t="array" ref="P76:U76">_xlfn.XLOOKUP(A76&amp;B76,'[1]2.4自动化报表-8月获客数据-非乱码'!$A:$A&amp;'[1]2.4自动化报表-8月获客数据-非乱码'!$B:$B,'[1]2.4自动化报表-8月获客数据-非乱码'!$C:$H)</f>
        <v>1211</v>
      </c>
      <c r="Q76">
        <v>1179</v>
      </c>
      <c r="R76">
        <v>1125</v>
      </c>
      <c r="S76">
        <v>697</v>
      </c>
      <c r="T76">
        <v>370</v>
      </c>
      <c r="U76">
        <v>693</v>
      </c>
    </row>
    <row r="77" spans="1:21" x14ac:dyDescent="0.3">
      <c r="A77" s="1">
        <v>44046</v>
      </c>
      <c r="B77" t="s">
        <v>13</v>
      </c>
      <c r="C77" t="s">
        <v>108</v>
      </c>
      <c r="D77" t="s">
        <v>60</v>
      </c>
      <c r="E77" t="s">
        <v>120</v>
      </c>
      <c r="F77" s="2">
        <v>90397</v>
      </c>
      <c r="G77" s="2">
        <v>3629</v>
      </c>
      <c r="H77" s="2">
        <v>1248</v>
      </c>
      <c r="I77" t="str">
        <f>_xlfn.XLOOKUP($C77,战区信息!$A$1:$A$5,战区信息!$B$1:$B$5)</f>
        <v>001</v>
      </c>
      <c r="J77" t="str">
        <f>_xlfn.XLOOKUP($C77,战区信息!$A$1:$A$5,战区信息!$C$1:$C$5)</f>
        <v>江永</v>
      </c>
      <c r="K77" t="str">
        <f>_xlfn.XLOOKUP($C77,战区信息!$A$1:$A$5,战区信息!$D$1:$D$5)</f>
        <v>一级战区</v>
      </c>
      <c r="L77" t="str">
        <f>_xlfn.XLOOKUP($D77,城市信息!$B$1:$B$14,城市信息!$A$1:$A$14)</f>
        <v>005</v>
      </c>
      <c r="M77" t="str">
        <f>_xlfn.XLOOKUP($D77,城市信息!$B$1:$B$14,城市信息!$C$1:$C$14)</f>
        <v>侯阳冰</v>
      </c>
      <c r="N77" t="str">
        <f>_xlfn.XLOOKUP($D77,城市信息!$B$1:$B$14,城市信息!$D$1:$D$14)</f>
        <v>二线</v>
      </c>
      <c r="O77">
        <f>_xlfn.XLOOKUP($D77,城市信息!$B$1:$B$14,城市信息!$E$1:$E$14)</f>
        <v>8694</v>
      </c>
      <c r="P77" cm="1">
        <f t="array" ref="P77:U77">_xlfn.XLOOKUP(A77&amp;B77,'[1]2.4自动化报表-8月获客数据-非乱码'!$A:$A&amp;'[1]2.4自动化报表-8月获客数据-非乱码'!$B:$B,'[1]2.4自动化报表-8月获客数据-非乱码'!$C:$H)</f>
        <v>3905</v>
      </c>
      <c r="Q77">
        <v>3806</v>
      </c>
      <c r="R77">
        <v>3617</v>
      </c>
      <c r="S77">
        <v>2215</v>
      </c>
      <c r="T77">
        <v>1131</v>
      </c>
      <c r="U77">
        <v>695</v>
      </c>
    </row>
    <row r="78" spans="1:21" x14ac:dyDescent="0.3">
      <c r="A78" s="1">
        <v>44046</v>
      </c>
      <c r="B78" t="s">
        <v>12</v>
      </c>
      <c r="C78" t="s">
        <v>108</v>
      </c>
      <c r="D78" t="s">
        <v>60</v>
      </c>
      <c r="E78" t="s">
        <v>121</v>
      </c>
      <c r="F78" s="2">
        <v>48777</v>
      </c>
      <c r="G78" s="2">
        <v>2046</v>
      </c>
      <c r="H78">
        <v>0</v>
      </c>
      <c r="I78" t="str">
        <f>_xlfn.XLOOKUP($C78,战区信息!$A$1:$A$5,战区信息!$B$1:$B$5)</f>
        <v>001</v>
      </c>
      <c r="J78" t="str">
        <f>_xlfn.XLOOKUP($C78,战区信息!$A$1:$A$5,战区信息!$C$1:$C$5)</f>
        <v>江永</v>
      </c>
      <c r="K78" t="str">
        <f>_xlfn.XLOOKUP($C78,战区信息!$A$1:$A$5,战区信息!$D$1:$D$5)</f>
        <v>一级战区</v>
      </c>
      <c r="L78" t="str">
        <f>_xlfn.XLOOKUP($D78,城市信息!$B$1:$B$14,城市信息!$A$1:$A$14)</f>
        <v>005</v>
      </c>
      <c r="M78" t="str">
        <f>_xlfn.XLOOKUP($D78,城市信息!$B$1:$B$14,城市信息!$C$1:$C$14)</f>
        <v>侯阳冰</v>
      </c>
      <c r="N78" t="str">
        <f>_xlfn.XLOOKUP($D78,城市信息!$B$1:$B$14,城市信息!$D$1:$D$14)</f>
        <v>二线</v>
      </c>
      <c r="O78">
        <f>_xlfn.XLOOKUP($D78,城市信息!$B$1:$B$14,城市信息!$E$1:$E$14)</f>
        <v>8694</v>
      </c>
      <c r="P78" cm="1">
        <f t="array" ref="P78:U78">_xlfn.XLOOKUP(A78&amp;B78,'[1]2.4自动化报表-8月获客数据-非乱码'!$A:$A&amp;'[1]2.4自动化报表-8月获客数据-非乱码'!$B:$B,'[1]2.4自动化报表-8月获客数据-非乱码'!$C:$H)</f>
        <v>767</v>
      </c>
      <c r="Q78">
        <v>752</v>
      </c>
      <c r="R78">
        <v>730</v>
      </c>
      <c r="S78">
        <v>456</v>
      </c>
      <c r="T78">
        <v>248</v>
      </c>
      <c r="U78">
        <v>695</v>
      </c>
    </row>
    <row r="79" spans="1:21" x14ac:dyDescent="0.3">
      <c r="A79" s="1">
        <v>44046</v>
      </c>
      <c r="B79" t="s">
        <v>11</v>
      </c>
      <c r="C79" t="s">
        <v>108</v>
      </c>
      <c r="D79" t="s">
        <v>58</v>
      </c>
      <c r="E79" t="s">
        <v>122</v>
      </c>
      <c r="F79" s="2">
        <v>116776</v>
      </c>
      <c r="G79" s="2">
        <v>4149</v>
      </c>
      <c r="H79">
        <v>0</v>
      </c>
      <c r="I79" t="str">
        <f>_xlfn.XLOOKUP($C79,战区信息!$A$1:$A$5,战区信息!$B$1:$B$5)</f>
        <v>001</v>
      </c>
      <c r="J79" t="str">
        <f>_xlfn.XLOOKUP($C79,战区信息!$A$1:$A$5,战区信息!$C$1:$C$5)</f>
        <v>江永</v>
      </c>
      <c r="K79" t="str">
        <f>_xlfn.XLOOKUP($C79,战区信息!$A$1:$A$5,战区信息!$D$1:$D$5)</f>
        <v>一级战区</v>
      </c>
      <c r="L79" t="str">
        <f>_xlfn.XLOOKUP($D79,城市信息!$B$1:$B$14,城市信息!$A$1:$A$14)</f>
        <v>003</v>
      </c>
      <c r="M79" t="str">
        <f>_xlfn.XLOOKUP($D79,城市信息!$B$1:$B$14,城市信息!$C$1:$C$14)</f>
        <v>杜光亮</v>
      </c>
      <c r="N79" t="str">
        <f>_xlfn.XLOOKUP($D79,城市信息!$B$1:$B$14,城市信息!$D$1:$D$14)</f>
        <v>二线</v>
      </c>
      <c r="O79">
        <f>_xlfn.XLOOKUP($D79,城市信息!$B$1:$B$14,城市信息!$E$1:$E$14)</f>
        <v>10499</v>
      </c>
      <c r="P79" cm="1">
        <f t="array" ref="P79:U79">_xlfn.XLOOKUP(A79&amp;B79,'[1]2.4自动化报表-8月获客数据-非乱码'!$A:$A&amp;'[1]2.4自动化报表-8月获客数据-非乱码'!$B:$B,'[1]2.4自动化报表-8月获客数据-非乱码'!$C:$H)</f>
        <v>4079</v>
      </c>
      <c r="Q79">
        <v>3919</v>
      </c>
      <c r="R79">
        <v>3727</v>
      </c>
      <c r="S79">
        <v>2271</v>
      </c>
      <c r="T79">
        <v>1169</v>
      </c>
      <c r="U79">
        <v>701</v>
      </c>
    </row>
    <row r="80" spans="1:21" x14ac:dyDescent="0.3">
      <c r="A80" s="1">
        <v>44046</v>
      </c>
      <c r="B80" t="s">
        <v>10</v>
      </c>
      <c r="C80" t="s">
        <v>108</v>
      </c>
      <c r="D80" t="s">
        <v>58</v>
      </c>
      <c r="E80" t="s">
        <v>123</v>
      </c>
      <c r="F80" s="2">
        <v>105241</v>
      </c>
      <c r="G80" s="2">
        <v>4346</v>
      </c>
      <c r="H80">
        <v>0</v>
      </c>
      <c r="I80" t="str">
        <f>_xlfn.XLOOKUP($C80,战区信息!$A$1:$A$5,战区信息!$B$1:$B$5)</f>
        <v>001</v>
      </c>
      <c r="J80" t="str">
        <f>_xlfn.XLOOKUP($C80,战区信息!$A$1:$A$5,战区信息!$C$1:$C$5)</f>
        <v>江永</v>
      </c>
      <c r="K80" t="str">
        <f>_xlfn.XLOOKUP($C80,战区信息!$A$1:$A$5,战区信息!$D$1:$D$5)</f>
        <v>一级战区</v>
      </c>
      <c r="L80" t="str">
        <f>_xlfn.XLOOKUP($D80,城市信息!$B$1:$B$14,城市信息!$A$1:$A$14)</f>
        <v>003</v>
      </c>
      <c r="M80" t="str">
        <f>_xlfn.XLOOKUP($D80,城市信息!$B$1:$B$14,城市信息!$C$1:$C$14)</f>
        <v>杜光亮</v>
      </c>
      <c r="N80" t="str">
        <f>_xlfn.XLOOKUP($D80,城市信息!$B$1:$B$14,城市信息!$D$1:$D$14)</f>
        <v>二线</v>
      </c>
      <c r="O80">
        <f>_xlfn.XLOOKUP($D80,城市信息!$B$1:$B$14,城市信息!$E$1:$E$14)</f>
        <v>10499</v>
      </c>
      <c r="P80" cm="1">
        <f t="array" ref="P80:U80">_xlfn.XLOOKUP(A80&amp;B80,'[1]2.4自动化报表-8月获客数据-非乱码'!$A:$A&amp;'[1]2.4自动化报表-8月获客数据-非乱码'!$B:$B,'[1]2.4自动化报表-8月获客数据-非乱码'!$C:$H)</f>
        <v>1773</v>
      </c>
      <c r="Q80">
        <v>1738</v>
      </c>
      <c r="R80">
        <v>1690</v>
      </c>
      <c r="S80">
        <v>1017</v>
      </c>
      <c r="T80">
        <v>614</v>
      </c>
      <c r="U80">
        <v>701</v>
      </c>
    </row>
    <row r="81" spans="1:21" x14ac:dyDescent="0.3">
      <c r="A81" s="1">
        <v>44046</v>
      </c>
      <c r="B81" t="s">
        <v>9</v>
      </c>
      <c r="C81" t="s">
        <v>108</v>
      </c>
      <c r="D81" t="s">
        <v>58</v>
      </c>
      <c r="E81" t="s">
        <v>124</v>
      </c>
      <c r="F81" s="2">
        <v>121596</v>
      </c>
      <c r="G81" s="2">
        <v>5569</v>
      </c>
      <c r="H81" s="2">
        <v>2050</v>
      </c>
      <c r="I81" t="str">
        <f>_xlfn.XLOOKUP($C81,战区信息!$A$1:$A$5,战区信息!$B$1:$B$5)</f>
        <v>001</v>
      </c>
      <c r="J81" t="str">
        <f>_xlfn.XLOOKUP($C81,战区信息!$A$1:$A$5,战区信息!$C$1:$C$5)</f>
        <v>江永</v>
      </c>
      <c r="K81" t="str">
        <f>_xlfn.XLOOKUP($C81,战区信息!$A$1:$A$5,战区信息!$D$1:$D$5)</f>
        <v>一级战区</v>
      </c>
      <c r="L81" t="str">
        <f>_xlfn.XLOOKUP($D81,城市信息!$B$1:$B$14,城市信息!$A$1:$A$14)</f>
        <v>003</v>
      </c>
      <c r="M81" t="str">
        <f>_xlfn.XLOOKUP($D81,城市信息!$B$1:$B$14,城市信息!$C$1:$C$14)</f>
        <v>杜光亮</v>
      </c>
      <c r="N81" t="str">
        <f>_xlfn.XLOOKUP($D81,城市信息!$B$1:$B$14,城市信息!$D$1:$D$14)</f>
        <v>二线</v>
      </c>
      <c r="O81">
        <f>_xlfn.XLOOKUP($D81,城市信息!$B$1:$B$14,城市信息!$E$1:$E$14)</f>
        <v>10499</v>
      </c>
      <c r="P81" cm="1">
        <f t="array" ref="P81:U81">_xlfn.XLOOKUP(A81&amp;B81,'[1]2.4自动化报表-8月获客数据-非乱码'!$A:$A&amp;'[1]2.4自动化报表-8月获客数据-非乱码'!$B:$B,'[1]2.4自动化报表-8月获客数据-非乱码'!$C:$H)</f>
        <v>3678</v>
      </c>
      <c r="Q81">
        <v>3607</v>
      </c>
      <c r="R81">
        <v>3486</v>
      </c>
      <c r="S81">
        <v>1935</v>
      </c>
      <c r="T81">
        <v>1107</v>
      </c>
      <c r="U81">
        <v>692</v>
      </c>
    </row>
    <row r="82" spans="1:21" x14ac:dyDescent="0.3">
      <c r="A82" s="1">
        <v>44046</v>
      </c>
      <c r="B82" t="s">
        <v>8</v>
      </c>
      <c r="C82" t="s">
        <v>125</v>
      </c>
      <c r="D82" t="s">
        <v>66</v>
      </c>
      <c r="E82" t="s">
        <v>126</v>
      </c>
      <c r="F82" s="2">
        <v>28761</v>
      </c>
      <c r="G82" s="2">
        <v>1901</v>
      </c>
      <c r="H82">
        <v>0</v>
      </c>
      <c r="I82" t="str">
        <f>_xlfn.XLOOKUP($C82,战区信息!$A$1:$A$5,战区信息!$B$1:$B$5)</f>
        <v>004</v>
      </c>
      <c r="J82" t="str">
        <f>_xlfn.XLOOKUP($C82,战区信息!$A$1:$A$5,战区信息!$C$1:$C$5)</f>
        <v>沈乐欣</v>
      </c>
      <c r="K82" t="str">
        <f>_xlfn.XLOOKUP($C82,战区信息!$A$1:$A$5,战区信息!$D$1:$D$5)</f>
        <v>三级战区</v>
      </c>
      <c r="L82" t="str">
        <f>_xlfn.XLOOKUP($D82,城市信息!$B$1:$B$14,城市信息!$A$1:$A$14)</f>
        <v>011</v>
      </c>
      <c r="M82" t="str">
        <f>_xlfn.XLOOKUP($D82,城市信息!$B$1:$B$14,城市信息!$C$1:$C$14)</f>
        <v>冯谦</v>
      </c>
      <c r="N82" t="str">
        <f>_xlfn.XLOOKUP($D82,城市信息!$B$1:$B$14,城市信息!$D$1:$D$14)</f>
        <v>一线</v>
      </c>
      <c r="O82">
        <f>_xlfn.XLOOKUP($D82,城市信息!$B$1:$B$14,城市信息!$E$1:$E$14)</f>
        <v>8244</v>
      </c>
      <c r="P82" cm="1">
        <f t="array" ref="P82:U82">_xlfn.XLOOKUP(A82&amp;B82,'[1]2.4自动化报表-8月获客数据-非乱码'!$A:$A&amp;'[1]2.4自动化报表-8月获客数据-非乱码'!$B:$B,'[1]2.4自动化报表-8月获客数据-非乱码'!$C:$H)</f>
        <v>1289</v>
      </c>
      <c r="Q82">
        <v>1277</v>
      </c>
      <c r="R82">
        <v>1240</v>
      </c>
      <c r="S82">
        <v>697</v>
      </c>
      <c r="T82">
        <v>467</v>
      </c>
      <c r="U82">
        <v>686</v>
      </c>
    </row>
    <row r="83" spans="1:21" x14ac:dyDescent="0.3">
      <c r="A83" s="1">
        <v>44046</v>
      </c>
      <c r="B83" t="s">
        <v>7</v>
      </c>
      <c r="C83" t="s">
        <v>125</v>
      </c>
      <c r="D83" t="s">
        <v>62</v>
      </c>
      <c r="E83" t="s">
        <v>127</v>
      </c>
      <c r="F83" s="2">
        <v>12000</v>
      </c>
      <c r="G83">
        <v>500</v>
      </c>
      <c r="H83">
        <v>0</v>
      </c>
      <c r="I83" t="str">
        <f>_xlfn.XLOOKUP($C83,战区信息!$A$1:$A$5,战区信息!$B$1:$B$5)</f>
        <v>004</v>
      </c>
      <c r="J83" t="str">
        <f>_xlfn.XLOOKUP($C83,战区信息!$A$1:$A$5,战区信息!$C$1:$C$5)</f>
        <v>沈乐欣</v>
      </c>
      <c r="K83" t="str">
        <f>_xlfn.XLOOKUP($C83,战区信息!$A$1:$A$5,战区信息!$D$1:$D$5)</f>
        <v>三级战区</v>
      </c>
      <c r="L83" t="str">
        <f>_xlfn.XLOOKUP($D83,城市信息!$B$1:$B$14,城市信息!$A$1:$A$14)</f>
        <v>007</v>
      </c>
      <c r="M83" t="str">
        <f>_xlfn.XLOOKUP($D83,城市信息!$B$1:$B$14,城市信息!$C$1:$C$14)</f>
        <v>范俊发</v>
      </c>
      <c r="N83" t="str">
        <f>_xlfn.XLOOKUP($D83,城市信息!$B$1:$B$14,城市信息!$D$1:$D$14)</f>
        <v>一线</v>
      </c>
      <c r="O83">
        <f>_xlfn.XLOOKUP($D83,城市信息!$B$1:$B$14,城市信息!$E$1:$E$14)</f>
        <v>12358</v>
      </c>
      <c r="P83" cm="1">
        <f t="array" ref="P83:U83">_xlfn.XLOOKUP(A83&amp;B83,'[1]2.4自动化报表-8月获客数据-非乱码'!$A:$A&amp;'[1]2.4自动化报表-8月获客数据-非乱码'!$B:$B,'[1]2.4自动化报表-8月获客数据-非乱码'!$C:$H)</f>
        <v>95</v>
      </c>
      <c r="Q83">
        <v>91</v>
      </c>
      <c r="R83">
        <v>85</v>
      </c>
      <c r="S83">
        <v>45</v>
      </c>
      <c r="T83">
        <v>25</v>
      </c>
      <c r="U83">
        <v>686</v>
      </c>
    </row>
    <row r="84" spans="1:21" x14ac:dyDescent="0.3">
      <c r="A84" s="1">
        <v>44046</v>
      </c>
      <c r="B84" t="s">
        <v>6</v>
      </c>
      <c r="C84" t="s">
        <v>125</v>
      </c>
      <c r="D84" t="s">
        <v>62</v>
      </c>
      <c r="E84" t="s">
        <v>128</v>
      </c>
      <c r="F84" s="2">
        <v>12431</v>
      </c>
      <c r="G84">
        <v>427</v>
      </c>
      <c r="H84">
        <v>0</v>
      </c>
      <c r="I84" t="str">
        <f>_xlfn.XLOOKUP($C84,战区信息!$A$1:$A$5,战区信息!$B$1:$B$5)</f>
        <v>004</v>
      </c>
      <c r="J84" t="str">
        <f>_xlfn.XLOOKUP($C84,战区信息!$A$1:$A$5,战区信息!$C$1:$C$5)</f>
        <v>沈乐欣</v>
      </c>
      <c r="K84" t="str">
        <f>_xlfn.XLOOKUP($C84,战区信息!$A$1:$A$5,战区信息!$D$1:$D$5)</f>
        <v>三级战区</v>
      </c>
      <c r="L84" t="str">
        <f>_xlfn.XLOOKUP($D84,城市信息!$B$1:$B$14,城市信息!$A$1:$A$14)</f>
        <v>007</v>
      </c>
      <c r="M84" t="str">
        <f>_xlfn.XLOOKUP($D84,城市信息!$B$1:$B$14,城市信息!$C$1:$C$14)</f>
        <v>范俊发</v>
      </c>
      <c r="N84" t="str">
        <f>_xlfn.XLOOKUP($D84,城市信息!$B$1:$B$14,城市信息!$D$1:$D$14)</f>
        <v>一线</v>
      </c>
      <c r="O84">
        <f>_xlfn.XLOOKUP($D84,城市信息!$B$1:$B$14,城市信息!$E$1:$E$14)</f>
        <v>12358</v>
      </c>
      <c r="P84" cm="1">
        <f t="array" ref="P84:U84">_xlfn.XLOOKUP(A84&amp;B84,'[1]2.4自动化报表-8月获客数据-非乱码'!$A:$A&amp;'[1]2.4自动化报表-8月获客数据-非乱码'!$B:$B,'[1]2.4自动化报表-8月获客数据-非乱码'!$C:$H)</f>
        <v>1721</v>
      </c>
      <c r="Q84">
        <v>1698</v>
      </c>
      <c r="R84">
        <v>1663</v>
      </c>
      <c r="S84">
        <v>1003</v>
      </c>
      <c r="T84">
        <v>582</v>
      </c>
      <c r="U84">
        <v>688</v>
      </c>
    </row>
    <row r="85" spans="1:21" x14ac:dyDescent="0.3">
      <c r="A85" s="1">
        <v>44046</v>
      </c>
      <c r="B85" t="s">
        <v>5</v>
      </c>
      <c r="C85" t="s">
        <v>125</v>
      </c>
      <c r="D85" t="s">
        <v>62</v>
      </c>
      <c r="E85" t="s">
        <v>129</v>
      </c>
      <c r="F85" s="2">
        <v>8894</v>
      </c>
      <c r="G85">
        <v>504</v>
      </c>
      <c r="H85">
        <v>0</v>
      </c>
      <c r="I85" t="str">
        <f>_xlfn.XLOOKUP($C85,战区信息!$A$1:$A$5,战区信息!$B$1:$B$5)</f>
        <v>004</v>
      </c>
      <c r="J85" t="str">
        <f>_xlfn.XLOOKUP($C85,战区信息!$A$1:$A$5,战区信息!$C$1:$C$5)</f>
        <v>沈乐欣</v>
      </c>
      <c r="K85" t="str">
        <f>_xlfn.XLOOKUP($C85,战区信息!$A$1:$A$5,战区信息!$D$1:$D$5)</f>
        <v>三级战区</v>
      </c>
      <c r="L85" t="str">
        <f>_xlfn.XLOOKUP($D85,城市信息!$B$1:$B$14,城市信息!$A$1:$A$14)</f>
        <v>007</v>
      </c>
      <c r="M85" t="str">
        <f>_xlfn.XLOOKUP($D85,城市信息!$B$1:$B$14,城市信息!$C$1:$C$14)</f>
        <v>范俊发</v>
      </c>
      <c r="N85" t="str">
        <f>_xlfn.XLOOKUP($D85,城市信息!$B$1:$B$14,城市信息!$D$1:$D$14)</f>
        <v>一线</v>
      </c>
      <c r="O85">
        <f>_xlfn.XLOOKUP($D85,城市信息!$B$1:$B$14,城市信息!$E$1:$E$14)</f>
        <v>12358</v>
      </c>
      <c r="P85" cm="1">
        <f t="array" ref="P85:U85">_xlfn.XLOOKUP(A85&amp;B85,'[1]2.4自动化报表-8月获客数据-非乱码'!$A:$A&amp;'[1]2.4自动化报表-8月获客数据-非乱码'!$B:$B,'[1]2.4自动化报表-8月获客数据-非乱码'!$C:$H)</f>
        <v>510</v>
      </c>
      <c r="Q85">
        <v>499</v>
      </c>
      <c r="R85">
        <v>480</v>
      </c>
      <c r="S85">
        <v>303</v>
      </c>
      <c r="T85">
        <v>179</v>
      </c>
      <c r="U85">
        <v>685</v>
      </c>
    </row>
    <row r="86" spans="1:21" x14ac:dyDescent="0.3">
      <c r="A86" s="1">
        <v>44047</v>
      </c>
      <c r="B86" t="s">
        <v>32</v>
      </c>
      <c r="C86" t="s">
        <v>97</v>
      </c>
      <c r="D86" t="s">
        <v>67</v>
      </c>
      <c r="E86" t="s">
        <v>98</v>
      </c>
      <c r="F86" s="2">
        <v>17538</v>
      </c>
      <c r="G86">
        <v>872</v>
      </c>
      <c r="H86" s="2">
        <v>1486</v>
      </c>
      <c r="I86" t="str">
        <f>_xlfn.XLOOKUP($C86,战区信息!$A$1:$A$5,战区信息!$B$1:$B$5)</f>
        <v>003</v>
      </c>
      <c r="J86" t="str">
        <f>_xlfn.XLOOKUP($C86,战区信息!$A$1:$A$5,战区信息!$C$1:$C$5)</f>
        <v>田楠</v>
      </c>
      <c r="K86" t="str">
        <f>_xlfn.XLOOKUP($C86,战区信息!$A$1:$A$5,战区信息!$D$1:$D$5)</f>
        <v>二级战区</v>
      </c>
      <c r="L86" t="str">
        <f>_xlfn.XLOOKUP($D86,城市信息!$B$1:$B$14,城市信息!$A$1:$A$14)</f>
        <v>012</v>
      </c>
      <c r="M86" t="str">
        <f>_xlfn.XLOOKUP($D86,城市信息!$B$1:$B$14,城市信息!$C$1:$C$14)</f>
        <v>于子默</v>
      </c>
      <c r="N86" t="str">
        <f>_xlfn.XLOOKUP($D86,城市信息!$B$1:$B$14,城市信息!$D$1:$D$14)</f>
        <v>二线</v>
      </c>
      <c r="O86">
        <f>_xlfn.XLOOKUP($D86,城市信息!$B$1:$B$14,城市信息!$E$1:$E$14)</f>
        <v>9713</v>
      </c>
      <c r="P86" cm="1">
        <f t="array" ref="P86:U86">_xlfn.XLOOKUP(A86&amp;B86,'[1]2.4自动化报表-8月获客数据-非乱码'!$A:$A&amp;'[1]2.4自动化报表-8月获客数据-非乱码'!$B:$B,'[1]2.4自动化报表-8月获客数据-非乱码'!$C:$H)</f>
        <v>1387</v>
      </c>
      <c r="Q86">
        <v>1375</v>
      </c>
      <c r="R86">
        <v>1327</v>
      </c>
      <c r="S86">
        <v>836</v>
      </c>
      <c r="T86">
        <v>439</v>
      </c>
      <c r="U86">
        <v>688</v>
      </c>
    </row>
    <row r="87" spans="1:21" x14ac:dyDescent="0.3">
      <c r="A87" s="1">
        <v>44047</v>
      </c>
      <c r="B87" t="s">
        <v>31</v>
      </c>
      <c r="C87" t="s">
        <v>97</v>
      </c>
      <c r="D87" t="s">
        <v>65</v>
      </c>
      <c r="E87" t="s">
        <v>99</v>
      </c>
      <c r="F87" s="2">
        <v>13451</v>
      </c>
      <c r="G87">
        <v>465</v>
      </c>
      <c r="H87" s="2">
        <v>1840</v>
      </c>
      <c r="I87" t="str">
        <f>_xlfn.XLOOKUP($C87,战区信息!$A$1:$A$5,战区信息!$B$1:$B$5)</f>
        <v>003</v>
      </c>
      <c r="J87" t="str">
        <f>_xlfn.XLOOKUP($C87,战区信息!$A$1:$A$5,战区信息!$C$1:$C$5)</f>
        <v>田楠</v>
      </c>
      <c r="K87" t="str">
        <f>_xlfn.XLOOKUP($C87,战区信息!$A$1:$A$5,战区信息!$D$1:$D$5)</f>
        <v>二级战区</v>
      </c>
      <c r="L87" t="str">
        <f>_xlfn.XLOOKUP($D87,城市信息!$B$1:$B$14,城市信息!$A$1:$A$14)</f>
        <v>010</v>
      </c>
      <c r="M87" t="str">
        <f>_xlfn.XLOOKUP($D87,城市信息!$B$1:$B$14,城市信息!$C$1:$C$14)</f>
        <v>黄鹏天</v>
      </c>
      <c r="N87" t="str">
        <f>_xlfn.XLOOKUP($D87,城市信息!$B$1:$B$14,城市信息!$D$1:$D$14)</f>
        <v>二线</v>
      </c>
      <c r="O87">
        <f>_xlfn.XLOOKUP($D87,城市信息!$B$1:$B$14,城市信息!$E$1:$E$14)</f>
        <v>8295</v>
      </c>
      <c r="P87" cm="1">
        <f t="array" ref="P87:U87">_xlfn.XLOOKUP(A87&amp;B87,'[1]2.4自动化报表-8月获客数据-非乱码'!$A:$A&amp;'[1]2.4自动化报表-8月获客数据-非乱码'!$B:$B,'[1]2.4自动化报表-8月获客数据-非乱码'!$C:$H)</f>
        <v>3016</v>
      </c>
      <c r="Q87">
        <v>2962</v>
      </c>
      <c r="R87">
        <v>2862</v>
      </c>
      <c r="S87">
        <v>1722</v>
      </c>
      <c r="T87">
        <v>974</v>
      </c>
      <c r="U87">
        <v>692</v>
      </c>
    </row>
    <row r="88" spans="1:21" x14ac:dyDescent="0.3">
      <c r="A88" s="1">
        <v>44047</v>
      </c>
      <c r="B88" t="s">
        <v>30</v>
      </c>
      <c r="C88" t="s">
        <v>97</v>
      </c>
      <c r="D88" t="s">
        <v>61</v>
      </c>
      <c r="E88" t="s">
        <v>100</v>
      </c>
      <c r="F88" s="2">
        <v>182416</v>
      </c>
      <c r="G88" s="2">
        <v>6816</v>
      </c>
      <c r="H88">
        <v>0</v>
      </c>
      <c r="I88" t="str">
        <f>_xlfn.XLOOKUP($C88,战区信息!$A$1:$A$5,战区信息!$B$1:$B$5)</f>
        <v>003</v>
      </c>
      <c r="J88" t="str">
        <f>_xlfn.XLOOKUP($C88,战区信息!$A$1:$A$5,战区信息!$C$1:$C$5)</f>
        <v>田楠</v>
      </c>
      <c r="K88" t="str">
        <f>_xlfn.XLOOKUP($C88,战区信息!$A$1:$A$5,战区信息!$D$1:$D$5)</f>
        <v>二级战区</v>
      </c>
      <c r="L88" t="str">
        <f>_xlfn.XLOOKUP($D88,城市信息!$B$1:$B$14,城市信息!$A$1:$A$14)</f>
        <v>006</v>
      </c>
      <c r="M88" t="str">
        <f>_xlfn.XLOOKUP($D88,城市信息!$B$1:$B$14,城市信息!$C$1:$C$14)</f>
        <v>王刚</v>
      </c>
      <c r="N88" t="str">
        <f>_xlfn.XLOOKUP($D88,城市信息!$B$1:$B$14,城市信息!$D$1:$D$14)</f>
        <v>二线</v>
      </c>
      <c r="O88">
        <f>_xlfn.XLOOKUP($D88,城市信息!$B$1:$B$14,城市信息!$E$1:$E$14)</f>
        <v>9107</v>
      </c>
      <c r="P88" cm="1">
        <f t="array" ref="P88:U88">_xlfn.XLOOKUP(A88&amp;B88,'[1]2.4自动化报表-8月获客数据-非乱码'!$A:$A&amp;'[1]2.4自动化报表-8月获客数据-非乱码'!$B:$B,'[1]2.4自动化报表-8月获客数据-非乱码'!$C:$H)</f>
        <v>2650</v>
      </c>
      <c r="Q88">
        <v>2593</v>
      </c>
      <c r="R88">
        <v>2493</v>
      </c>
      <c r="S88">
        <v>1521</v>
      </c>
      <c r="T88">
        <v>781</v>
      </c>
      <c r="U88">
        <v>698</v>
      </c>
    </row>
    <row r="89" spans="1:21" x14ac:dyDescent="0.3">
      <c r="A89" s="1">
        <v>44047</v>
      </c>
      <c r="B89" t="s">
        <v>29</v>
      </c>
      <c r="C89" t="s">
        <v>97</v>
      </c>
      <c r="D89" t="s">
        <v>64</v>
      </c>
      <c r="E89" t="s">
        <v>101</v>
      </c>
      <c r="F89" s="2">
        <v>40516</v>
      </c>
      <c r="G89" s="2">
        <v>2692</v>
      </c>
      <c r="H89">
        <v>0</v>
      </c>
      <c r="I89" t="str">
        <f>_xlfn.XLOOKUP($C89,战区信息!$A$1:$A$5,战区信息!$B$1:$B$5)</f>
        <v>003</v>
      </c>
      <c r="J89" t="str">
        <f>_xlfn.XLOOKUP($C89,战区信息!$A$1:$A$5,战区信息!$C$1:$C$5)</f>
        <v>田楠</v>
      </c>
      <c r="K89" t="str">
        <f>_xlfn.XLOOKUP($C89,战区信息!$A$1:$A$5,战区信息!$D$1:$D$5)</f>
        <v>二级战区</v>
      </c>
      <c r="L89" t="str">
        <f>_xlfn.XLOOKUP($D89,城市信息!$B$1:$B$14,城市信息!$A$1:$A$14)</f>
        <v>009</v>
      </c>
      <c r="M89" t="str">
        <f>_xlfn.XLOOKUP($D89,城市信息!$B$1:$B$14,城市信息!$C$1:$C$14)</f>
        <v>叶超</v>
      </c>
      <c r="N89" t="str">
        <f>_xlfn.XLOOKUP($D89,城市信息!$B$1:$B$14,城市信息!$D$1:$D$14)</f>
        <v>二线</v>
      </c>
      <c r="O89">
        <f>_xlfn.XLOOKUP($D89,城市信息!$B$1:$B$14,城市信息!$E$1:$E$14)</f>
        <v>9016</v>
      </c>
      <c r="P89" cm="1">
        <f t="array" ref="P89:U89">_xlfn.XLOOKUP(A89&amp;B89,'[1]2.4自动化报表-8月获客数据-非乱码'!$A:$A&amp;'[1]2.4自动化报表-8月获客数据-非乱码'!$B:$B,'[1]2.4自动化报表-8月获客数据-非乱码'!$C:$H)</f>
        <v>2179</v>
      </c>
      <c r="Q89">
        <v>2129</v>
      </c>
      <c r="R89">
        <v>2053</v>
      </c>
      <c r="S89">
        <v>1330</v>
      </c>
      <c r="T89">
        <v>782</v>
      </c>
      <c r="U89">
        <v>692</v>
      </c>
    </row>
    <row r="90" spans="1:21" x14ac:dyDescent="0.3">
      <c r="A90" s="1">
        <v>44047</v>
      </c>
      <c r="B90" t="s">
        <v>28</v>
      </c>
      <c r="C90" t="s">
        <v>97</v>
      </c>
      <c r="D90" t="s">
        <v>64</v>
      </c>
      <c r="E90" t="s">
        <v>102</v>
      </c>
      <c r="F90" s="2">
        <v>1001</v>
      </c>
      <c r="G90">
        <v>42</v>
      </c>
      <c r="H90">
        <v>0</v>
      </c>
      <c r="I90" t="str">
        <f>_xlfn.XLOOKUP($C90,战区信息!$A$1:$A$5,战区信息!$B$1:$B$5)</f>
        <v>003</v>
      </c>
      <c r="J90" t="str">
        <f>_xlfn.XLOOKUP($C90,战区信息!$A$1:$A$5,战区信息!$C$1:$C$5)</f>
        <v>田楠</v>
      </c>
      <c r="K90" t="str">
        <f>_xlfn.XLOOKUP($C90,战区信息!$A$1:$A$5,战区信息!$D$1:$D$5)</f>
        <v>二级战区</v>
      </c>
      <c r="L90" t="str">
        <f>_xlfn.XLOOKUP($D90,城市信息!$B$1:$B$14,城市信息!$A$1:$A$14)</f>
        <v>009</v>
      </c>
      <c r="M90" t="str">
        <f>_xlfn.XLOOKUP($D90,城市信息!$B$1:$B$14,城市信息!$C$1:$C$14)</f>
        <v>叶超</v>
      </c>
      <c r="N90" t="str">
        <f>_xlfn.XLOOKUP($D90,城市信息!$B$1:$B$14,城市信息!$D$1:$D$14)</f>
        <v>二线</v>
      </c>
      <c r="O90">
        <f>_xlfn.XLOOKUP($D90,城市信息!$B$1:$B$14,城市信息!$E$1:$E$14)</f>
        <v>9016</v>
      </c>
      <c r="P90" cm="1">
        <f t="array" ref="P90:U90">_xlfn.XLOOKUP(A90&amp;B90,'[1]2.4自动化报表-8月获客数据-非乱码'!$A:$A&amp;'[1]2.4自动化报表-8月获客数据-非乱码'!$B:$B,'[1]2.4自动化报表-8月获客数据-非乱码'!$C:$H)</f>
        <v>672</v>
      </c>
      <c r="Q90">
        <v>662</v>
      </c>
      <c r="R90">
        <v>643</v>
      </c>
      <c r="S90">
        <v>443</v>
      </c>
      <c r="T90">
        <v>209</v>
      </c>
      <c r="U90">
        <v>692</v>
      </c>
    </row>
    <row r="91" spans="1:21" x14ac:dyDescent="0.3">
      <c r="A91" s="1">
        <v>44047</v>
      </c>
      <c r="B91" t="s">
        <v>27</v>
      </c>
      <c r="C91" t="s">
        <v>103</v>
      </c>
      <c r="D91" t="s">
        <v>63</v>
      </c>
      <c r="E91" t="s">
        <v>104</v>
      </c>
      <c r="F91" s="2">
        <v>44611</v>
      </c>
      <c r="G91" s="2">
        <v>1278</v>
      </c>
      <c r="H91">
        <v>0</v>
      </c>
      <c r="I91" t="str">
        <f>_xlfn.XLOOKUP($C91,战区信息!$A$1:$A$5,战区信息!$B$1:$B$5)</f>
        <v>002</v>
      </c>
      <c r="J91" t="str">
        <f>_xlfn.XLOOKUP($C91,战区信息!$A$1:$A$5,战区信息!$C$1:$C$5)</f>
        <v>高安平</v>
      </c>
      <c r="K91" t="str">
        <f>_xlfn.XLOOKUP($C91,战区信息!$A$1:$A$5,战区信息!$D$1:$D$5)</f>
        <v>二级战区</v>
      </c>
      <c r="L91" t="str">
        <f>_xlfn.XLOOKUP($D91,城市信息!$B$1:$B$14,城市信息!$A$1:$A$14)</f>
        <v>008</v>
      </c>
      <c r="M91" t="str">
        <f>_xlfn.XLOOKUP($D91,城市信息!$B$1:$B$14,城市信息!$C$1:$C$14)</f>
        <v>高弘壮</v>
      </c>
      <c r="N91" t="str">
        <f>_xlfn.XLOOKUP($D91,城市信息!$B$1:$B$14,城市信息!$D$1:$D$14)</f>
        <v>一线</v>
      </c>
      <c r="O91">
        <f>_xlfn.XLOOKUP($D91,城市信息!$B$1:$B$14,城市信息!$E$1:$E$14)</f>
        <v>11498</v>
      </c>
      <c r="P91" cm="1">
        <f t="array" ref="P91:U91">_xlfn.XLOOKUP(A91&amp;B91,'[1]2.4自动化报表-8月获客数据-非乱码'!$A:$A&amp;'[1]2.4自动化报表-8月获客数据-非乱码'!$B:$B,'[1]2.4自动化报表-8月获客数据-非乱码'!$C:$H)</f>
        <v>3120</v>
      </c>
      <c r="Q91">
        <v>3018</v>
      </c>
      <c r="R91">
        <v>2877</v>
      </c>
      <c r="S91">
        <v>1701</v>
      </c>
      <c r="T91">
        <v>900</v>
      </c>
      <c r="U91">
        <v>689</v>
      </c>
    </row>
    <row r="92" spans="1:21" x14ac:dyDescent="0.3">
      <c r="A92" s="1">
        <v>44047</v>
      </c>
      <c r="B92" t="s">
        <v>26</v>
      </c>
      <c r="C92" t="s">
        <v>103</v>
      </c>
      <c r="D92" t="s">
        <v>57</v>
      </c>
      <c r="E92" t="s">
        <v>105</v>
      </c>
      <c r="F92" s="2">
        <v>100406</v>
      </c>
      <c r="G92" s="2">
        <v>2974</v>
      </c>
      <c r="H92">
        <v>0</v>
      </c>
      <c r="I92" t="str">
        <f>_xlfn.XLOOKUP($C92,战区信息!$A$1:$A$5,战区信息!$B$1:$B$5)</f>
        <v>002</v>
      </c>
      <c r="J92" t="str">
        <f>_xlfn.XLOOKUP($C92,战区信息!$A$1:$A$5,战区信息!$C$1:$C$5)</f>
        <v>高安平</v>
      </c>
      <c r="K92" t="str">
        <f>_xlfn.XLOOKUP($C92,战区信息!$A$1:$A$5,战区信息!$D$1:$D$5)</f>
        <v>二级战区</v>
      </c>
      <c r="L92" t="str">
        <f>_xlfn.XLOOKUP($D92,城市信息!$B$1:$B$14,城市信息!$A$1:$A$14)</f>
        <v>002</v>
      </c>
      <c r="M92" t="str">
        <f>_xlfn.XLOOKUP($D92,城市信息!$B$1:$B$14,城市信息!$C$1:$C$14)</f>
        <v>孙乒</v>
      </c>
      <c r="N92" t="str">
        <f>_xlfn.XLOOKUP($D92,城市信息!$B$1:$B$14,城市信息!$D$1:$D$14)</f>
        <v>一线</v>
      </c>
      <c r="O92">
        <f>_xlfn.XLOOKUP($D92,城市信息!$B$1:$B$14,城市信息!$E$1:$E$14)</f>
        <v>9854</v>
      </c>
      <c r="P92" cm="1">
        <f t="array" ref="P92:U92">_xlfn.XLOOKUP(A92&amp;B92,'[1]2.4自动化报表-8月获客数据-非乱码'!$A:$A&amp;'[1]2.4自动化报表-8月获客数据-非乱码'!$B:$B,'[1]2.4自动化报表-8月获客数据-非乱码'!$C:$H)</f>
        <v>4228</v>
      </c>
      <c r="Q92">
        <v>4116</v>
      </c>
      <c r="R92">
        <v>3936</v>
      </c>
      <c r="S92">
        <v>2504</v>
      </c>
      <c r="T92">
        <v>1441</v>
      </c>
      <c r="U92">
        <v>688</v>
      </c>
    </row>
    <row r="93" spans="1:21" x14ac:dyDescent="0.3">
      <c r="A93" s="1">
        <v>44047</v>
      </c>
      <c r="B93" t="s">
        <v>25</v>
      </c>
      <c r="C93" t="s">
        <v>103</v>
      </c>
      <c r="D93" t="s">
        <v>57</v>
      </c>
      <c r="E93" t="s">
        <v>106</v>
      </c>
      <c r="F93" s="2">
        <v>47292</v>
      </c>
      <c r="G93" s="2">
        <v>1497</v>
      </c>
      <c r="H93">
        <v>0</v>
      </c>
      <c r="I93" t="str">
        <f>_xlfn.XLOOKUP($C93,战区信息!$A$1:$A$5,战区信息!$B$1:$B$5)</f>
        <v>002</v>
      </c>
      <c r="J93" t="str">
        <f>_xlfn.XLOOKUP($C93,战区信息!$A$1:$A$5,战区信息!$C$1:$C$5)</f>
        <v>高安平</v>
      </c>
      <c r="K93" t="str">
        <f>_xlfn.XLOOKUP($C93,战区信息!$A$1:$A$5,战区信息!$D$1:$D$5)</f>
        <v>二级战区</v>
      </c>
      <c r="L93" t="str">
        <f>_xlfn.XLOOKUP($D93,城市信息!$B$1:$B$14,城市信息!$A$1:$A$14)</f>
        <v>002</v>
      </c>
      <c r="M93" t="str">
        <f>_xlfn.XLOOKUP($D93,城市信息!$B$1:$B$14,城市信息!$C$1:$C$14)</f>
        <v>孙乒</v>
      </c>
      <c r="N93" t="str">
        <f>_xlfn.XLOOKUP($D93,城市信息!$B$1:$B$14,城市信息!$D$1:$D$14)</f>
        <v>一线</v>
      </c>
      <c r="O93">
        <f>_xlfn.XLOOKUP($D93,城市信息!$B$1:$B$14,城市信息!$E$1:$E$14)</f>
        <v>9854</v>
      </c>
      <c r="P93" cm="1">
        <f t="array" ref="P93:U93">_xlfn.XLOOKUP(A93&amp;B93,'[1]2.4自动化报表-8月获客数据-非乱码'!$A:$A&amp;'[1]2.4自动化报表-8月获客数据-非乱码'!$B:$B,'[1]2.4自动化报表-8月获客数据-非乱码'!$C:$H)</f>
        <v>2330</v>
      </c>
      <c r="Q93">
        <v>2272</v>
      </c>
      <c r="R93">
        <v>2170</v>
      </c>
      <c r="S93">
        <v>1284</v>
      </c>
      <c r="T93">
        <v>740</v>
      </c>
      <c r="U93">
        <v>686</v>
      </c>
    </row>
    <row r="94" spans="1:21" x14ac:dyDescent="0.3">
      <c r="A94" s="1">
        <v>44047</v>
      </c>
      <c r="B94" t="s">
        <v>24</v>
      </c>
      <c r="C94" t="s">
        <v>103</v>
      </c>
      <c r="D94" t="s">
        <v>57</v>
      </c>
      <c r="E94" t="s">
        <v>107</v>
      </c>
      <c r="F94" s="2">
        <v>94514</v>
      </c>
      <c r="G94" s="2">
        <v>4373</v>
      </c>
      <c r="H94">
        <v>0</v>
      </c>
      <c r="I94" t="str">
        <f>_xlfn.XLOOKUP($C94,战区信息!$A$1:$A$5,战区信息!$B$1:$B$5)</f>
        <v>002</v>
      </c>
      <c r="J94" t="str">
        <f>_xlfn.XLOOKUP($C94,战区信息!$A$1:$A$5,战区信息!$C$1:$C$5)</f>
        <v>高安平</v>
      </c>
      <c r="K94" t="str">
        <f>_xlfn.XLOOKUP($C94,战区信息!$A$1:$A$5,战区信息!$D$1:$D$5)</f>
        <v>二级战区</v>
      </c>
      <c r="L94" t="str">
        <f>_xlfn.XLOOKUP($D94,城市信息!$B$1:$B$14,城市信息!$A$1:$A$14)</f>
        <v>002</v>
      </c>
      <c r="M94" t="str">
        <f>_xlfn.XLOOKUP($D94,城市信息!$B$1:$B$14,城市信息!$C$1:$C$14)</f>
        <v>孙乒</v>
      </c>
      <c r="N94" t="str">
        <f>_xlfn.XLOOKUP($D94,城市信息!$B$1:$B$14,城市信息!$D$1:$D$14)</f>
        <v>一线</v>
      </c>
      <c r="O94">
        <f>_xlfn.XLOOKUP($D94,城市信息!$B$1:$B$14,城市信息!$E$1:$E$14)</f>
        <v>9854</v>
      </c>
      <c r="P94" cm="1">
        <f t="array" ref="P94:U94">_xlfn.XLOOKUP(A94&amp;B94,'[1]2.4自动化报表-8月获客数据-非乱码'!$A:$A&amp;'[1]2.4自动化报表-8月获客数据-非乱码'!$B:$B,'[1]2.4自动化报表-8月获客数据-非乱码'!$C:$H)</f>
        <v>3815</v>
      </c>
      <c r="Q94">
        <v>3753</v>
      </c>
      <c r="R94">
        <v>3594</v>
      </c>
      <c r="S94">
        <v>2217</v>
      </c>
      <c r="T94">
        <v>1296</v>
      </c>
      <c r="U94">
        <v>690</v>
      </c>
    </row>
    <row r="95" spans="1:21" x14ac:dyDescent="0.3">
      <c r="A95" s="1">
        <v>44047</v>
      </c>
      <c r="B95" t="s">
        <v>23</v>
      </c>
      <c r="C95" t="s">
        <v>108</v>
      </c>
      <c r="D95" t="s">
        <v>109</v>
      </c>
      <c r="E95" t="s">
        <v>110</v>
      </c>
      <c r="F95" s="2">
        <v>49042</v>
      </c>
      <c r="G95" s="2">
        <v>1561</v>
      </c>
      <c r="H95">
        <v>0</v>
      </c>
      <c r="I95" t="str">
        <f>_xlfn.XLOOKUP($C95,战区信息!$A$1:$A$5,战区信息!$B$1:$B$5)</f>
        <v>001</v>
      </c>
      <c r="J95" t="str">
        <f>_xlfn.XLOOKUP($C95,战区信息!$A$1:$A$5,战区信息!$C$1:$C$5)</f>
        <v>江永</v>
      </c>
      <c r="K95" t="str">
        <f>_xlfn.XLOOKUP($C95,战区信息!$A$1:$A$5,战区信息!$D$1:$D$5)</f>
        <v>一级战区</v>
      </c>
      <c r="L95" t="str">
        <f>_xlfn.XLOOKUP($D95,城市信息!$B$1:$B$14,城市信息!$A$1:$A$14)</f>
        <v>013</v>
      </c>
      <c r="M95" t="str">
        <f>_xlfn.XLOOKUP($D95,城市信息!$B$1:$B$14,城市信息!$C$1:$C$14)</f>
        <v>张建</v>
      </c>
      <c r="N95" t="str">
        <f>_xlfn.XLOOKUP($D95,城市信息!$B$1:$B$14,城市信息!$D$1:$D$14)</f>
        <v>二线</v>
      </c>
      <c r="O95">
        <f>_xlfn.XLOOKUP($D95,城市信息!$B$1:$B$14,城市信息!$E$1:$E$14)</f>
        <v>8800</v>
      </c>
      <c r="P95" cm="1">
        <f t="array" ref="P95:U95">_xlfn.XLOOKUP(A95&amp;B95,'[1]2.4自动化报表-8月获客数据-非乱码'!$A:$A&amp;'[1]2.4自动化报表-8月获客数据-非乱码'!$B:$B,'[1]2.4自动化报表-8月获客数据-非乱码'!$C:$H)</f>
        <v>3863</v>
      </c>
      <c r="Q95">
        <v>3728</v>
      </c>
      <c r="R95">
        <v>3560</v>
      </c>
      <c r="S95">
        <v>2147</v>
      </c>
      <c r="T95">
        <v>1073</v>
      </c>
      <c r="U95">
        <v>694</v>
      </c>
    </row>
    <row r="96" spans="1:21" x14ac:dyDescent="0.3">
      <c r="A96" s="1">
        <v>44047</v>
      </c>
      <c r="B96" t="s">
        <v>22</v>
      </c>
      <c r="C96" t="s">
        <v>108</v>
      </c>
      <c r="D96" t="s">
        <v>109</v>
      </c>
      <c r="E96" t="s">
        <v>111</v>
      </c>
      <c r="F96" s="2">
        <v>6417</v>
      </c>
      <c r="G96">
        <v>128</v>
      </c>
      <c r="H96">
        <v>0</v>
      </c>
      <c r="I96" t="str">
        <f>_xlfn.XLOOKUP($C96,战区信息!$A$1:$A$5,战区信息!$B$1:$B$5)</f>
        <v>001</v>
      </c>
      <c r="J96" t="str">
        <f>_xlfn.XLOOKUP($C96,战区信息!$A$1:$A$5,战区信息!$C$1:$C$5)</f>
        <v>江永</v>
      </c>
      <c r="K96" t="str">
        <f>_xlfn.XLOOKUP($C96,战区信息!$A$1:$A$5,战区信息!$D$1:$D$5)</f>
        <v>一级战区</v>
      </c>
      <c r="L96" t="str">
        <f>_xlfn.XLOOKUP($D96,城市信息!$B$1:$B$14,城市信息!$A$1:$A$14)</f>
        <v>013</v>
      </c>
      <c r="M96" t="str">
        <f>_xlfn.XLOOKUP($D96,城市信息!$B$1:$B$14,城市信息!$C$1:$C$14)</f>
        <v>张建</v>
      </c>
      <c r="N96" t="str">
        <f>_xlfn.XLOOKUP($D96,城市信息!$B$1:$B$14,城市信息!$D$1:$D$14)</f>
        <v>二线</v>
      </c>
      <c r="O96">
        <f>_xlfn.XLOOKUP($D96,城市信息!$B$1:$B$14,城市信息!$E$1:$E$14)</f>
        <v>8800</v>
      </c>
      <c r="P96" cm="1">
        <f t="array" ref="P96:U96">_xlfn.XLOOKUP(A96&amp;B96,'[1]2.4自动化报表-8月获客数据-非乱码'!$A:$A&amp;'[1]2.4自动化报表-8月获客数据-非乱码'!$B:$B,'[1]2.4自动化报表-8月获客数据-非乱码'!$C:$H)</f>
        <v>215</v>
      </c>
      <c r="Q96">
        <v>212</v>
      </c>
      <c r="R96">
        <v>193</v>
      </c>
      <c r="S96">
        <v>108</v>
      </c>
      <c r="T96">
        <v>56</v>
      </c>
      <c r="U96">
        <v>689</v>
      </c>
    </row>
    <row r="97" spans="1:21" x14ac:dyDescent="0.3">
      <c r="A97" s="1">
        <v>44047</v>
      </c>
      <c r="B97" t="s">
        <v>21</v>
      </c>
      <c r="C97" t="s">
        <v>108</v>
      </c>
      <c r="D97" t="s">
        <v>109</v>
      </c>
      <c r="E97" t="s">
        <v>112</v>
      </c>
      <c r="F97" s="2">
        <v>105608</v>
      </c>
      <c r="G97" s="2">
        <v>5371</v>
      </c>
      <c r="H97">
        <v>930</v>
      </c>
      <c r="I97" t="str">
        <f>_xlfn.XLOOKUP($C97,战区信息!$A$1:$A$5,战区信息!$B$1:$B$5)</f>
        <v>001</v>
      </c>
      <c r="J97" t="str">
        <f>_xlfn.XLOOKUP($C97,战区信息!$A$1:$A$5,战区信息!$C$1:$C$5)</f>
        <v>江永</v>
      </c>
      <c r="K97" t="str">
        <f>_xlfn.XLOOKUP($C97,战区信息!$A$1:$A$5,战区信息!$D$1:$D$5)</f>
        <v>一级战区</v>
      </c>
      <c r="L97" t="str">
        <f>_xlfn.XLOOKUP($D97,城市信息!$B$1:$B$14,城市信息!$A$1:$A$14)</f>
        <v>013</v>
      </c>
      <c r="M97" t="str">
        <f>_xlfn.XLOOKUP($D97,城市信息!$B$1:$B$14,城市信息!$C$1:$C$14)</f>
        <v>张建</v>
      </c>
      <c r="N97" t="str">
        <f>_xlfn.XLOOKUP($D97,城市信息!$B$1:$B$14,城市信息!$D$1:$D$14)</f>
        <v>二线</v>
      </c>
      <c r="O97">
        <f>_xlfn.XLOOKUP($D97,城市信息!$B$1:$B$14,城市信息!$E$1:$E$14)</f>
        <v>8800</v>
      </c>
      <c r="P97" cm="1">
        <f t="array" ref="P97:U97">_xlfn.XLOOKUP(A97&amp;B97,'[1]2.4自动化报表-8月获客数据-非乱码'!$A:$A&amp;'[1]2.4自动化报表-8月获客数据-非乱码'!$B:$B,'[1]2.4自动化报表-8月获客数据-非乱码'!$C:$H)</f>
        <v>5148</v>
      </c>
      <c r="Q97">
        <v>4982</v>
      </c>
      <c r="R97">
        <v>4744</v>
      </c>
      <c r="S97">
        <v>2745</v>
      </c>
      <c r="T97">
        <v>1531</v>
      </c>
      <c r="U97">
        <v>695</v>
      </c>
    </row>
    <row r="98" spans="1:21" x14ac:dyDescent="0.3">
      <c r="A98" s="1">
        <v>44047</v>
      </c>
      <c r="B98" t="s">
        <v>20</v>
      </c>
      <c r="C98" t="s">
        <v>108</v>
      </c>
      <c r="D98" t="s">
        <v>56</v>
      </c>
      <c r="E98" t="s">
        <v>113</v>
      </c>
      <c r="F98" s="2">
        <v>57019</v>
      </c>
      <c r="G98" s="2">
        <v>1657</v>
      </c>
      <c r="H98" s="2">
        <v>1603</v>
      </c>
      <c r="I98" t="str">
        <f>_xlfn.XLOOKUP($C98,战区信息!$A$1:$A$5,战区信息!$B$1:$B$5)</f>
        <v>001</v>
      </c>
      <c r="J98" t="str">
        <f>_xlfn.XLOOKUP($C98,战区信息!$A$1:$A$5,战区信息!$C$1:$C$5)</f>
        <v>江永</v>
      </c>
      <c r="K98" t="str">
        <f>_xlfn.XLOOKUP($C98,战区信息!$A$1:$A$5,战区信息!$D$1:$D$5)</f>
        <v>一级战区</v>
      </c>
      <c r="L98" t="str">
        <f>_xlfn.XLOOKUP($D98,城市信息!$B$1:$B$14,城市信息!$A$1:$A$14)</f>
        <v>001</v>
      </c>
      <c r="M98" t="str">
        <f>_xlfn.XLOOKUP($D98,城市信息!$B$1:$B$14,城市信息!$C$1:$C$14)</f>
        <v>吴刚</v>
      </c>
      <c r="N98" t="str">
        <f>_xlfn.XLOOKUP($D98,城市信息!$B$1:$B$14,城市信息!$D$1:$D$14)</f>
        <v>一线</v>
      </c>
      <c r="O98">
        <f>_xlfn.XLOOKUP($D98,城市信息!$B$1:$B$14,城市信息!$E$1:$E$14)</f>
        <v>12114</v>
      </c>
      <c r="P98" cm="1">
        <f t="array" ref="P98:U98">_xlfn.XLOOKUP(A98&amp;B98,'[1]2.4自动化报表-8月获客数据-非乱码'!$A:$A&amp;'[1]2.4自动化报表-8月获客数据-非乱码'!$B:$B,'[1]2.4自动化报表-8月获客数据-非乱码'!$C:$H)</f>
        <v>4753</v>
      </c>
      <c r="Q98">
        <v>4636</v>
      </c>
      <c r="R98">
        <v>4471</v>
      </c>
      <c r="S98">
        <v>2754</v>
      </c>
      <c r="T98">
        <v>1532</v>
      </c>
      <c r="U98">
        <v>695</v>
      </c>
    </row>
    <row r="99" spans="1:21" x14ac:dyDescent="0.3">
      <c r="A99" s="1">
        <v>44047</v>
      </c>
      <c r="B99" t="s">
        <v>19</v>
      </c>
      <c r="C99" t="s">
        <v>108</v>
      </c>
      <c r="D99" t="s">
        <v>56</v>
      </c>
      <c r="E99" t="s">
        <v>114</v>
      </c>
      <c r="F99" s="2">
        <v>125629</v>
      </c>
      <c r="G99" s="2">
        <v>5152</v>
      </c>
      <c r="H99" s="2">
        <v>1501</v>
      </c>
      <c r="I99" t="str">
        <f>_xlfn.XLOOKUP($C99,战区信息!$A$1:$A$5,战区信息!$B$1:$B$5)</f>
        <v>001</v>
      </c>
      <c r="J99" t="str">
        <f>_xlfn.XLOOKUP($C99,战区信息!$A$1:$A$5,战区信息!$C$1:$C$5)</f>
        <v>江永</v>
      </c>
      <c r="K99" t="str">
        <f>_xlfn.XLOOKUP($C99,战区信息!$A$1:$A$5,战区信息!$D$1:$D$5)</f>
        <v>一级战区</v>
      </c>
      <c r="L99" t="str">
        <f>_xlfn.XLOOKUP($D99,城市信息!$B$1:$B$14,城市信息!$A$1:$A$14)</f>
        <v>001</v>
      </c>
      <c r="M99" t="str">
        <f>_xlfn.XLOOKUP($D99,城市信息!$B$1:$B$14,城市信息!$C$1:$C$14)</f>
        <v>吴刚</v>
      </c>
      <c r="N99" t="str">
        <f>_xlfn.XLOOKUP($D99,城市信息!$B$1:$B$14,城市信息!$D$1:$D$14)</f>
        <v>一线</v>
      </c>
      <c r="O99">
        <f>_xlfn.XLOOKUP($D99,城市信息!$B$1:$B$14,城市信息!$E$1:$E$14)</f>
        <v>12114</v>
      </c>
      <c r="P99" cm="1">
        <f t="array" ref="P99:U99">_xlfn.XLOOKUP(A99&amp;B99,'[1]2.4自动化报表-8月获客数据-非乱码'!$A:$A&amp;'[1]2.4自动化报表-8月获客数据-非乱码'!$B:$B,'[1]2.4自动化报表-8月获客数据-非乱码'!$C:$H)</f>
        <v>2925</v>
      </c>
      <c r="Q99">
        <v>2858</v>
      </c>
      <c r="R99">
        <v>2747</v>
      </c>
      <c r="S99">
        <v>1612</v>
      </c>
      <c r="T99">
        <v>968</v>
      </c>
      <c r="U99">
        <v>696</v>
      </c>
    </row>
    <row r="100" spans="1:21" x14ac:dyDescent="0.3">
      <c r="A100" s="1">
        <v>44047</v>
      </c>
      <c r="B100" t="s">
        <v>18</v>
      </c>
      <c r="C100" t="s">
        <v>108</v>
      </c>
      <c r="D100" t="s">
        <v>56</v>
      </c>
      <c r="E100" t="s">
        <v>115</v>
      </c>
      <c r="F100" s="2">
        <v>31043</v>
      </c>
      <c r="G100" s="2">
        <v>2171</v>
      </c>
      <c r="H100">
        <v>950</v>
      </c>
      <c r="I100" t="str">
        <f>_xlfn.XLOOKUP($C100,战区信息!$A$1:$A$5,战区信息!$B$1:$B$5)</f>
        <v>001</v>
      </c>
      <c r="J100" t="str">
        <f>_xlfn.XLOOKUP($C100,战区信息!$A$1:$A$5,战区信息!$C$1:$C$5)</f>
        <v>江永</v>
      </c>
      <c r="K100" t="str">
        <f>_xlfn.XLOOKUP($C100,战区信息!$A$1:$A$5,战区信息!$D$1:$D$5)</f>
        <v>一级战区</v>
      </c>
      <c r="L100" t="str">
        <f>_xlfn.XLOOKUP($D100,城市信息!$B$1:$B$14,城市信息!$A$1:$A$14)</f>
        <v>001</v>
      </c>
      <c r="M100" t="str">
        <f>_xlfn.XLOOKUP($D100,城市信息!$B$1:$B$14,城市信息!$C$1:$C$14)</f>
        <v>吴刚</v>
      </c>
      <c r="N100" t="str">
        <f>_xlfn.XLOOKUP($D100,城市信息!$B$1:$B$14,城市信息!$D$1:$D$14)</f>
        <v>一线</v>
      </c>
      <c r="O100">
        <f>_xlfn.XLOOKUP($D100,城市信息!$B$1:$B$14,城市信息!$E$1:$E$14)</f>
        <v>12114</v>
      </c>
      <c r="P100" cm="1">
        <f t="array" ref="P100:U100">_xlfn.XLOOKUP(A100&amp;B100,'[1]2.4自动化报表-8月获客数据-非乱码'!$A:$A&amp;'[1]2.4自动化报表-8月获客数据-非乱码'!$B:$B,'[1]2.4自动化报表-8月获客数据-非乱码'!$C:$H)</f>
        <v>2848</v>
      </c>
      <c r="Q100">
        <v>2808</v>
      </c>
      <c r="R100">
        <v>2692</v>
      </c>
      <c r="S100">
        <v>1578</v>
      </c>
      <c r="T100">
        <v>861</v>
      </c>
      <c r="U100">
        <v>690</v>
      </c>
    </row>
    <row r="101" spans="1:21" x14ac:dyDescent="0.3">
      <c r="A101" s="1">
        <v>44047</v>
      </c>
      <c r="B101" t="s">
        <v>17</v>
      </c>
      <c r="C101" t="s">
        <v>108</v>
      </c>
      <c r="D101" t="s">
        <v>59</v>
      </c>
      <c r="E101" t="s">
        <v>116</v>
      </c>
      <c r="F101" s="2">
        <v>81135</v>
      </c>
      <c r="G101" s="2">
        <v>3389</v>
      </c>
      <c r="H101">
        <v>0</v>
      </c>
      <c r="I101" t="str">
        <f>_xlfn.XLOOKUP($C101,战区信息!$A$1:$A$5,战区信息!$B$1:$B$5)</f>
        <v>001</v>
      </c>
      <c r="J101" t="str">
        <f>_xlfn.XLOOKUP($C101,战区信息!$A$1:$A$5,战区信息!$C$1:$C$5)</f>
        <v>江永</v>
      </c>
      <c r="K101" t="str">
        <f>_xlfn.XLOOKUP($C101,战区信息!$A$1:$A$5,战区信息!$D$1:$D$5)</f>
        <v>一级战区</v>
      </c>
      <c r="L101" t="str">
        <f>_xlfn.XLOOKUP($D101,城市信息!$B$1:$B$14,城市信息!$A$1:$A$14)</f>
        <v>004</v>
      </c>
      <c r="M101" t="str">
        <f>_xlfn.XLOOKUP($D101,城市信息!$B$1:$B$14,城市信息!$C$1:$C$14)</f>
        <v>苏川</v>
      </c>
      <c r="N101" t="str">
        <f>_xlfn.XLOOKUP($D101,城市信息!$B$1:$B$14,城市信息!$D$1:$D$14)</f>
        <v>二线</v>
      </c>
      <c r="O101">
        <f>_xlfn.XLOOKUP($D101,城市信息!$B$1:$B$14,城市信息!$E$1:$E$14)</f>
        <v>9912</v>
      </c>
      <c r="P101" cm="1">
        <f t="array" ref="P101:U101">_xlfn.XLOOKUP(A101&amp;B101,'[1]2.4自动化报表-8月获客数据-非乱码'!$A:$A&amp;'[1]2.4自动化报表-8月获客数据-非乱码'!$B:$B,'[1]2.4自动化报表-8月获客数据-非乱码'!$C:$H)</f>
        <v>1818</v>
      </c>
      <c r="Q101">
        <v>1785</v>
      </c>
      <c r="R101">
        <v>1728</v>
      </c>
      <c r="S101">
        <v>1015</v>
      </c>
      <c r="T101">
        <v>588</v>
      </c>
      <c r="U101">
        <v>697</v>
      </c>
    </row>
    <row r="102" spans="1:21" x14ac:dyDescent="0.3">
      <c r="A102" s="1">
        <v>44047</v>
      </c>
      <c r="B102" t="s">
        <v>16</v>
      </c>
      <c r="C102" t="s">
        <v>108</v>
      </c>
      <c r="D102" t="s">
        <v>59</v>
      </c>
      <c r="E102" t="s">
        <v>117</v>
      </c>
      <c r="F102" s="2">
        <v>20001</v>
      </c>
      <c r="G102">
        <v>775</v>
      </c>
      <c r="H102">
        <v>0</v>
      </c>
      <c r="I102" t="str">
        <f>_xlfn.XLOOKUP($C102,战区信息!$A$1:$A$5,战区信息!$B$1:$B$5)</f>
        <v>001</v>
      </c>
      <c r="J102" t="str">
        <f>_xlfn.XLOOKUP($C102,战区信息!$A$1:$A$5,战区信息!$C$1:$C$5)</f>
        <v>江永</v>
      </c>
      <c r="K102" t="str">
        <f>_xlfn.XLOOKUP($C102,战区信息!$A$1:$A$5,战区信息!$D$1:$D$5)</f>
        <v>一级战区</v>
      </c>
      <c r="L102" t="str">
        <f>_xlfn.XLOOKUP($D102,城市信息!$B$1:$B$14,城市信息!$A$1:$A$14)</f>
        <v>004</v>
      </c>
      <c r="M102" t="str">
        <f>_xlfn.XLOOKUP($D102,城市信息!$B$1:$B$14,城市信息!$C$1:$C$14)</f>
        <v>苏川</v>
      </c>
      <c r="N102" t="str">
        <f>_xlfn.XLOOKUP($D102,城市信息!$B$1:$B$14,城市信息!$D$1:$D$14)</f>
        <v>二线</v>
      </c>
      <c r="O102">
        <f>_xlfn.XLOOKUP($D102,城市信息!$B$1:$B$14,城市信息!$E$1:$E$14)</f>
        <v>9912</v>
      </c>
      <c r="P102" cm="1">
        <f t="array" ref="P102:U102">_xlfn.XLOOKUP(A102&amp;B102,'[1]2.4自动化报表-8月获客数据-非乱码'!$A:$A&amp;'[1]2.4自动化报表-8月获客数据-非乱码'!$B:$B,'[1]2.4自动化报表-8月获客数据-非乱码'!$C:$H)</f>
        <v>1107</v>
      </c>
      <c r="Q102">
        <v>1068</v>
      </c>
      <c r="R102">
        <v>1011</v>
      </c>
      <c r="S102">
        <v>607</v>
      </c>
      <c r="T102">
        <v>356</v>
      </c>
      <c r="U102">
        <v>699</v>
      </c>
    </row>
    <row r="103" spans="1:21" x14ac:dyDescent="0.3">
      <c r="A103" s="1">
        <v>44047</v>
      </c>
      <c r="B103" t="s">
        <v>15</v>
      </c>
      <c r="C103" t="s">
        <v>108</v>
      </c>
      <c r="D103" t="s">
        <v>59</v>
      </c>
      <c r="E103" t="s">
        <v>118</v>
      </c>
      <c r="F103" s="2">
        <v>30009</v>
      </c>
      <c r="G103">
        <v>863</v>
      </c>
      <c r="H103">
        <v>0</v>
      </c>
      <c r="I103" t="str">
        <f>_xlfn.XLOOKUP($C103,战区信息!$A$1:$A$5,战区信息!$B$1:$B$5)</f>
        <v>001</v>
      </c>
      <c r="J103" t="str">
        <f>_xlfn.XLOOKUP($C103,战区信息!$A$1:$A$5,战区信息!$C$1:$C$5)</f>
        <v>江永</v>
      </c>
      <c r="K103" t="str">
        <f>_xlfn.XLOOKUP($C103,战区信息!$A$1:$A$5,战区信息!$D$1:$D$5)</f>
        <v>一级战区</v>
      </c>
      <c r="L103" t="str">
        <f>_xlfn.XLOOKUP($D103,城市信息!$B$1:$B$14,城市信息!$A$1:$A$14)</f>
        <v>004</v>
      </c>
      <c r="M103" t="str">
        <f>_xlfn.XLOOKUP($D103,城市信息!$B$1:$B$14,城市信息!$C$1:$C$14)</f>
        <v>苏川</v>
      </c>
      <c r="N103" t="str">
        <f>_xlfn.XLOOKUP($D103,城市信息!$B$1:$B$14,城市信息!$D$1:$D$14)</f>
        <v>二线</v>
      </c>
      <c r="O103">
        <f>_xlfn.XLOOKUP($D103,城市信息!$B$1:$B$14,城市信息!$E$1:$E$14)</f>
        <v>9912</v>
      </c>
      <c r="P103" cm="1">
        <f t="array" ref="P103:U103">_xlfn.XLOOKUP(A103&amp;B103,'[1]2.4自动化报表-8月获客数据-非乱码'!$A:$A&amp;'[1]2.4自动化报表-8月获客数据-非乱码'!$B:$B,'[1]2.4自动化报表-8月获客数据-非乱码'!$C:$H)</f>
        <v>2157</v>
      </c>
      <c r="Q103">
        <v>2115</v>
      </c>
      <c r="R103">
        <v>2033</v>
      </c>
      <c r="S103">
        <v>1261</v>
      </c>
      <c r="T103">
        <v>631</v>
      </c>
      <c r="U103">
        <v>698</v>
      </c>
    </row>
    <row r="104" spans="1:21" x14ac:dyDescent="0.3">
      <c r="A104" s="1">
        <v>44047</v>
      </c>
      <c r="B104" t="s">
        <v>14</v>
      </c>
      <c r="C104" t="s">
        <v>108</v>
      </c>
      <c r="D104" t="s">
        <v>59</v>
      </c>
      <c r="E104" t="s">
        <v>119</v>
      </c>
      <c r="F104" s="2">
        <v>7000</v>
      </c>
      <c r="G104">
        <v>291</v>
      </c>
      <c r="H104" s="2">
        <v>5870</v>
      </c>
      <c r="I104" t="str">
        <f>_xlfn.XLOOKUP($C104,战区信息!$A$1:$A$5,战区信息!$B$1:$B$5)</f>
        <v>001</v>
      </c>
      <c r="J104" t="str">
        <f>_xlfn.XLOOKUP($C104,战区信息!$A$1:$A$5,战区信息!$C$1:$C$5)</f>
        <v>江永</v>
      </c>
      <c r="K104" t="str">
        <f>_xlfn.XLOOKUP($C104,战区信息!$A$1:$A$5,战区信息!$D$1:$D$5)</f>
        <v>一级战区</v>
      </c>
      <c r="L104" t="str">
        <f>_xlfn.XLOOKUP($D104,城市信息!$B$1:$B$14,城市信息!$A$1:$A$14)</f>
        <v>004</v>
      </c>
      <c r="M104" t="str">
        <f>_xlfn.XLOOKUP($D104,城市信息!$B$1:$B$14,城市信息!$C$1:$C$14)</f>
        <v>苏川</v>
      </c>
      <c r="N104" t="str">
        <f>_xlfn.XLOOKUP($D104,城市信息!$B$1:$B$14,城市信息!$D$1:$D$14)</f>
        <v>二线</v>
      </c>
      <c r="O104">
        <f>_xlfn.XLOOKUP($D104,城市信息!$B$1:$B$14,城市信息!$E$1:$E$14)</f>
        <v>9912</v>
      </c>
      <c r="P104" cm="1">
        <f t="array" ref="P104:U104">_xlfn.XLOOKUP(A104&amp;B104,'[1]2.4自动化报表-8月获客数据-非乱码'!$A:$A&amp;'[1]2.4自动化报表-8月获客数据-非乱码'!$B:$B,'[1]2.4自动化报表-8月获客数据-非乱码'!$C:$H)</f>
        <v>819</v>
      </c>
      <c r="Q104">
        <v>789</v>
      </c>
      <c r="R104">
        <v>755</v>
      </c>
      <c r="S104">
        <v>486</v>
      </c>
      <c r="T104">
        <v>237</v>
      </c>
      <c r="U104">
        <v>705</v>
      </c>
    </row>
    <row r="105" spans="1:21" x14ac:dyDescent="0.3">
      <c r="A105" s="1">
        <v>44047</v>
      </c>
      <c r="B105" t="s">
        <v>13</v>
      </c>
      <c r="C105" t="s">
        <v>108</v>
      </c>
      <c r="D105" t="s">
        <v>60</v>
      </c>
      <c r="E105" t="s">
        <v>120</v>
      </c>
      <c r="F105" s="2">
        <v>124817</v>
      </c>
      <c r="G105" s="2">
        <v>6971</v>
      </c>
      <c r="H105">
        <v>0</v>
      </c>
      <c r="I105" t="str">
        <f>_xlfn.XLOOKUP($C105,战区信息!$A$1:$A$5,战区信息!$B$1:$B$5)</f>
        <v>001</v>
      </c>
      <c r="J105" t="str">
        <f>_xlfn.XLOOKUP($C105,战区信息!$A$1:$A$5,战区信息!$C$1:$C$5)</f>
        <v>江永</v>
      </c>
      <c r="K105" t="str">
        <f>_xlfn.XLOOKUP($C105,战区信息!$A$1:$A$5,战区信息!$D$1:$D$5)</f>
        <v>一级战区</v>
      </c>
      <c r="L105" t="str">
        <f>_xlfn.XLOOKUP($D105,城市信息!$B$1:$B$14,城市信息!$A$1:$A$14)</f>
        <v>005</v>
      </c>
      <c r="M105" t="str">
        <f>_xlfn.XLOOKUP($D105,城市信息!$B$1:$B$14,城市信息!$C$1:$C$14)</f>
        <v>侯阳冰</v>
      </c>
      <c r="N105" t="str">
        <f>_xlfn.XLOOKUP($D105,城市信息!$B$1:$B$14,城市信息!$D$1:$D$14)</f>
        <v>二线</v>
      </c>
      <c r="O105">
        <f>_xlfn.XLOOKUP($D105,城市信息!$B$1:$B$14,城市信息!$E$1:$E$14)</f>
        <v>8694</v>
      </c>
      <c r="P105" cm="1">
        <f t="array" ref="P105:U105">_xlfn.XLOOKUP(A105&amp;B105,'[1]2.4自动化报表-8月获客数据-非乱码'!$A:$A&amp;'[1]2.4自动化报表-8月获客数据-非乱码'!$B:$B,'[1]2.4自动化报表-8月获客数据-非乱码'!$C:$H)</f>
        <v>3202</v>
      </c>
      <c r="Q105">
        <v>3131</v>
      </c>
      <c r="R105">
        <v>2989</v>
      </c>
      <c r="S105">
        <v>1894</v>
      </c>
      <c r="T105">
        <v>978</v>
      </c>
      <c r="U105">
        <v>698</v>
      </c>
    </row>
    <row r="106" spans="1:21" x14ac:dyDescent="0.3">
      <c r="A106" s="1">
        <v>44047</v>
      </c>
      <c r="B106" t="s">
        <v>12</v>
      </c>
      <c r="C106" t="s">
        <v>108</v>
      </c>
      <c r="D106" t="s">
        <v>60</v>
      </c>
      <c r="E106" t="s">
        <v>121</v>
      </c>
      <c r="F106" s="2">
        <v>78002</v>
      </c>
      <c r="G106" s="2">
        <v>4071</v>
      </c>
      <c r="H106">
        <v>0</v>
      </c>
      <c r="I106" t="str">
        <f>_xlfn.XLOOKUP($C106,战区信息!$A$1:$A$5,战区信息!$B$1:$B$5)</f>
        <v>001</v>
      </c>
      <c r="J106" t="str">
        <f>_xlfn.XLOOKUP($C106,战区信息!$A$1:$A$5,战区信息!$C$1:$C$5)</f>
        <v>江永</v>
      </c>
      <c r="K106" t="str">
        <f>_xlfn.XLOOKUP($C106,战区信息!$A$1:$A$5,战区信息!$D$1:$D$5)</f>
        <v>一级战区</v>
      </c>
      <c r="L106" t="str">
        <f>_xlfn.XLOOKUP($D106,城市信息!$B$1:$B$14,城市信息!$A$1:$A$14)</f>
        <v>005</v>
      </c>
      <c r="M106" t="str">
        <f>_xlfn.XLOOKUP($D106,城市信息!$B$1:$B$14,城市信息!$C$1:$C$14)</f>
        <v>侯阳冰</v>
      </c>
      <c r="N106" t="str">
        <f>_xlfn.XLOOKUP($D106,城市信息!$B$1:$B$14,城市信息!$D$1:$D$14)</f>
        <v>二线</v>
      </c>
      <c r="O106">
        <f>_xlfn.XLOOKUP($D106,城市信息!$B$1:$B$14,城市信息!$E$1:$E$14)</f>
        <v>8694</v>
      </c>
      <c r="P106" cm="1">
        <f t="array" ref="P106:U106">_xlfn.XLOOKUP(A106&amp;B106,'[1]2.4自动化报表-8月获客数据-非乱码'!$A:$A&amp;'[1]2.4自动化报表-8月获客数据-非乱码'!$B:$B,'[1]2.4自动化报表-8月获客数据-非乱码'!$C:$H)</f>
        <v>831</v>
      </c>
      <c r="Q106">
        <v>818</v>
      </c>
      <c r="R106">
        <v>766</v>
      </c>
      <c r="S106">
        <v>494</v>
      </c>
      <c r="T106">
        <v>234</v>
      </c>
      <c r="U106">
        <v>697</v>
      </c>
    </row>
    <row r="107" spans="1:21" x14ac:dyDescent="0.3">
      <c r="A107" s="1">
        <v>44047</v>
      </c>
      <c r="B107" t="s">
        <v>11</v>
      </c>
      <c r="C107" t="s">
        <v>108</v>
      </c>
      <c r="D107" t="s">
        <v>58</v>
      </c>
      <c r="E107" t="s">
        <v>122</v>
      </c>
      <c r="F107" s="2">
        <v>100711</v>
      </c>
      <c r="G107" s="2">
        <v>5051</v>
      </c>
      <c r="H107">
        <v>0</v>
      </c>
      <c r="I107" t="str">
        <f>_xlfn.XLOOKUP($C107,战区信息!$A$1:$A$5,战区信息!$B$1:$B$5)</f>
        <v>001</v>
      </c>
      <c r="J107" t="str">
        <f>_xlfn.XLOOKUP($C107,战区信息!$A$1:$A$5,战区信息!$C$1:$C$5)</f>
        <v>江永</v>
      </c>
      <c r="K107" t="str">
        <f>_xlfn.XLOOKUP($C107,战区信息!$A$1:$A$5,战区信息!$D$1:$D$5)</f>
        <v>一级战区</v>
      </c>
      <c r="L107" t="str">
        <f>_xlfn.XLOOKUP($D107,城市信息!$B$1:$B$14,城市信息!$A$1:$A$14)</f>
        <v>003</v>
      </c>
      <c r="M107" t="str">
        <f>_xlfn.XLOOKUP($D107,城市信息!$B$1:$B$14,城市信息!$C$1:$C$14)</f>
        <v>杜光亮</v>
      </c>
      <c r="N107" t="str">
        <f>_xlfn.XLOOKUP($D107,城市信息!$B$1:$B$14,城市信息!$D$1:$D$14)</f>
        <v>二线</v>
      </c>
      <c r="O107">
        <f>_xlfn.XLOOKUP($D107,城市信息!$B$1:$B$14,城市信息!$E$1:$E$14)</f>
        <v>10499</v>
      </c>
      <c r="P107" cm="1">
        <f t="array" ref="P107:U107">_xlfn.XLOOKUP(A107&amp;B107,'[1]2.4自动化报表-8月获客数据-非乱码'!$A:$A&amp;'[1]2.4自动化报表-8月获客数据-非乱码'!$B:$B,'[1]2.4自动化报表-8月获客数据-非乱码'!$C:$H)</f>
        <v>4955</v>
      </c>
      <c r="Q107">
        <v>4765</v>
      </c>
      <c r="R107">
        <v>4525</v>
      </c>
      <c r="S107">
        <v>2708</v>
      </c>
      <c r="T107">
        <v>1266</v>
      </c>
      <c r="U107">
        <v>699</v>
      </c>
    </row>
    <row r="108" spans="1:21" x14ac:dyDescent="0.3">
      <c r="A108" s="1">
        <v>44047</v>
      </c>
      <c r="B108" t="s">
        <v>10</v>
      </c>
      <c r="C108" t="s">
        <v>108</v>
      </c>
      <c r="D108" t="s">
        <v>58</v>
      </c>
      <c r="E108" t="s">
        <v>123</v>
      </c>
      <c r="F108" s="2">
        <v>23118</v>
      </c>
      <c r="G108">
        <v>947</v>
      </c>
      <c r="H108">
        <v>0</v>
      </c>
      <c r="I108" t="str">
        <f>_xlfn.XLOOKUP($C108,战区信息!$A$1:$A$5,战区信息!$B$1:$B$5)</f>
        <v>001</v>
      </c>
      <c r="J108" t="str">
        <f>_xlfn.XLOOKUP($C108,战区信息!$A$1:$A$5,战区信息!$C$1:$C$5)</f>
        <v>江永</v>
      </c>
      <c r="K108" t="str">
        <f>_xlfn.XLOOKUP($C108,战区信息!$A$1:$A$5,战区信息!$D$1:$D$5)</f>
        <v>一级战区</v>
      </c>
      <c r="L108" t="str">
        <f>_xlfn.XLOOKUP($D108,城市信息!$B$1:$B$14,城市信息!$A$1:$A$14)</f>
        <v>003</v>
      </c>
      <c r="M108" t="str">
        <f>_xlfn.XLOOKUP($D108,城市信息!$B$1:$B$14,城市信息!$C$1:$C$14)</f>
        <v>杜光亮</v>
      </c>
      <c r="N108" t="str">
        <f>_xlfn.XLOOKUP($D108,城市信息!$B$1:$B$14,城市信息!$D$1:$D$14)</f>
        <v>二线</v>
      </c>
      <c r="O108">
        <f>_xlfn.XLOOKUP($D108,城市信息!$B$1:$B$14,城市信息!$E$1:$E$14)</f>
        <v>10499</v>
      </c>
      <c r="P108" cm="1">
        <f t="array" ref="P108:U108">_xlfn.XLOOKUP(A108&amp;B108,'[1]2.4自动化报表-8月获客数据-非乱码'!$A:$A&amp;'[1]2.4自动化报表-8月获客数据-非乱码'!$B:$B,'[1]2.4自动化报表-8月获客数据-非乱码'!$C:$H)</f>
        <v>1773</v>
      </c>
      <c r="Q108">
        <v>1738</v>
      </c>
      <c r="R108">
        <v>1690</v>
      </c>
      <c r="S108">
        <v>1017</v>
      </c>
      <c r="T108">
        <v>614</v>
      </c>
      <c r="U108">
        <v>701</v>
      </c>
    </row>
    <row r="109" spans="1:21" x14ac:dyDescent="0.3">
      <c r="A109" s="1">
        <v>44047</v>
      </c>
      <c r="B109" t="s">
        <v>9</v>
      </c>
      <c r="C109" t="s">
        <v>108</v>
      </c>
      <c r="D109" t="s">
        <v>58</v>
      </c>
      <c r="E109" t="s">
        <v>124</v>
      </c>
      <c r="F109" s="2">
        <v>176641</v>
      </c>
      <c r="G109" s="2">
        <v>7133</v>
      </c>
      <c r="H109">
        <v>0</v>
      </c>
      <c r="I109" t="str">
        <f>_xlfn.XLOOKUP($C109,战区信息!$A$1:$A$5,战区信息!$B$1:$B$5)</f>
        <v>001</v>
      </c>
      <c r="J109" t="str">
        <f>_xlfn.XLOOKUP($C109,战区信息!$A$1:$A$5,战区信息!$C$1:$C$5)</f>
        <v>江永</v>
      </c>
      <c r="K109" t="str">
        <f>_xlfn.XLOOKUP($C109,战区信息!$A$1:$A$5,战区信息!$D$1:$D$5)</f>
        <v>一级战区</v>
      </c>
      <c r="L109" t="str">
        <f>_xlfn.XLOOKUP($D109,城市信息!$B$1:$B$14,城市信息!$A$1:$A$14)</f>
        <v>003</v>
      </c>
      <c r="M109" t="str">
        <f>_xlfn.XLOOKUP($D109,城市信息!$B$1:$B$14,城市信息!$C$1:$C$14)</f>
        <v>杜光亮</v>
      </c>
      <c r="N109" t="str">
        <f>_xlfn.XLOOKUP($D109,城市信息!$B$1:$B$14,城市信息!$D$1:$D$14)</f>
        <v>二线</v>
      </c>
      <c r="O109">
        <f>_xlfn.XLOOKUP($D109,城市信息!$B$1:$B$14,城市信息!$E$1:$E$14)</f>
        <v>10499</v>
      </c>
      <c r="P109" cm="1">
        <f t="array" ref="P109:U109">_xlfn.XLOOKUP(A109&amp;B109,'[1]2.4自动化报表-8月获客数据-非乱码'!$A:$A&amp;'[1]2.4自动化报表-8月获客数据-非乱码'!$B:$B,'[1]2.4自动化报表-8月获客数据-非乱码'!$C:$H)</f>
        <v>4233</v>
      </c>
      <c r="Q109">
        <v>4139</v>
      </c>
      <c r="R109">
        <v>4008</v>
      </c>
      <c r="S109">
        <v>2209</v>
      </c>
      <c r="T109">
        <v>1288</v>
      </c>
      <c r="U109">
        <v>694</v>
      </c>
    </row>
    <row r="110" spans="1:21" x14ac:dyDescent="0.3">
      <c r="A110" s="1">
        <v>44047</v>
      </c>
      <c r="B110" t="s">
        <v>8</v>
      </c>
      <c r="C110" t="s">
        <v>125</v>
      </c>
      <c r="D110" t="s">
        <v>66</v>
      </c>
      <c r="E110" t="s">
        <v>126</v>
      </c>
      <c r="F110" s="2">
        <v>6449</v>
      </c>
      <c r="G110">
        <v>164</v>
      </c>
      <c r="H110">
        <v>0</v>
      </c>
      <c r="I110" t="str">
        <f>_xlfn.XLOOKUP($C110,战区信息!$A$1:$A$5,战区信息!$B$1:$B$5)</f>
        <v>004</v>
      </c>
      <c r="J110" t="str">
        <f>_xlfn.XLOOKUP($C110,战区信息!$A$1:$A$5,战区信息!$C$1:$C$5)</f>
        <v>沈乐欣</v>
      </c>
      <c r="K110" t="str">
        <f>_xlfn.XLOOKUP($C110,战区信息!$A$1:$A$5,战区信息!$D$1:$D$5)</f>
        <v>三级战区</v>
      </c>
      <c r="L110" t="str">
        <f>_xlfn.XLOOKUP($D110,城市信息!$B$1:$B$14,城市信息!$A$1:$A$14)</f>
        <v>011</v>
      </c>
      <c r="M110" t="str">
        <f>_xlfn.XLOOKUP($D110,城市信息!$B$1:$B$14,城市信息!$C$1:$C$14)</f>
        <v>冯谦</v>
      </c>
      <c r="N110" t="str">
        <f>_xlfn.XLOOKUP($D110,城市信息!$B$1:$B$14,城市信息!$D$1:$D$14)</f>
        <v>一线</v>
      </c>
      <c r="O110">
        <f>_xlfn.XLOOKUP($D110,城市信息!$B$1:$B$14,城市信息!$E$1:$E$14)</f>
        <v>8244</v>
      </c>
      <c r="P110" cm="1">
        <f t="array" ref="P110:U110">_xlfn.XLOOKUP(A110&amp;B110,'[1]2.4自动化报表-8月获客数据-非乱码'!$A:$A&amp;'[1]2.4自动化报表-8月获客数据-非乱码'!$B:$B,'[1]2.4自动化报表-8月获客数据-非乱码'!$C:$H)</f>
        <v>1003</v>
      </c>
      <c r="Q110">
        <v>991</v>
      </c>
      <c r="R110">
        <v>957</v>
      </c>
      <c r="S110">
        <v>520</v>
      </c>
      <c r="T110">
        <v>320</v>
      </c>
      <c r="U110">
        <v>684</v>
      </c>
    </row>
    <row r="111" spans="1:21" x14ac:dyDescent="0.3">
      <c r="A111" s="1">
        <v>44047</v>
      </c>
      <c r="B111" t="s">
        <v>7</v>
      </c>
      <c r="C111" t="s">
        <v>125</v>
      </c>
      <c r="D111" t="s">
        <v>62</v>
      </c>
      <c r="E111" t="s">
        <v>127</v>
      </c>
      <c r="F111">
        <v>345</v>
      </c>
      <c r="G111">
        <v>29</v>
      </c>
      <c r="H111">
        <v>0</v>
      </c>
      <c r="I111" t="str">
        <f>_xlfn.XLOOKUP($C111,战区信息!$A$1:$A$5,战区信息!$B$1:$B$5)</f>
        <v>004</v>
      </c>
      <c r="J111" t="str">
        <f>_xlfn.XLOOKUP($C111,战区信息!$A$1:$A$5,战区信息!$C$1:$C$5)</f>
        <v>沈乐欣</v>
      </c>
      <c r="K111" t="str">
        <f>_xlfn.XLOOKUP($C111,战区信息!$A$1:$A$5,战区信息!$D$1:$D$5)</f>
        <v>三级战区</v>
      </c>
      <c r="L111" t="str">
        <f>_xlfn.XLOOKUP($D111,城市信息!$B$1:$B$14,城市信息!$A$1:$A$14)</f>
        <v>007</v>
      </c>
      <c r="M111" t="str">
        <f>_xlfn.XLOOKUP($D111,城市信息!$B$1:$B$14,城市信息!$C$1:$C$14)</f>
        <v>范俊发</v>
      </c>
      <c r="N111" t="str">
        <f>_xlfn.XLOOKUP($D111,城市信息!$B$1:$B$14,城市信息!$D$1:$D$14)</f>
        <v>一线</v>
      </c>
      <c r="O111">
        <f>_xlfn.XLOOKUP($D111,城市信息!$B$1:$B$14,城市信息!$E$1:$E$14)</f>
        <v>12358</v>
      </c>
      <c r="P111" cm="1">
        <f t="array" ref="P111:U111">_xlfn.XLOOKUP(A111&amp;B111,'[1]2.4自动化报表-8月获客数据-非乱码'!$A:$A&amp;'[1]2.4自动化报表-8月获客数据-非乱码'!$B:$B,'[1]2.4自动化报表-8月获客数据-非乱码'!$C:$H)</f>
        <v>21</v>
      </c>
      <c r="Q111">
        <v>19</v>
      </c>
      <c r="R111">
        <v>18</v>
      </c>
      <c r="S111">
        <v>10</v>
      </c>
      <c r="T111">
        <v>3</v>
      </c>
      <c r="U111">
        <v>674</v>
      </c>
    </row>
    <row r="112" spans="1:21" x14ac:dyDescent="0.3">
      <c r="A112" s="1">
        <v>44047</v>
      </c>
      <c r="B112" t="s">
        <v>6</v>
      </c>
      <c r="C112" t="s">
        <v>125</v>
      </c>
      <c r="D112" t="s">
        <v>62</v>
      </c>
      <c r="E112" t="s">
        <v>128</v>
      </c>
      <c r="F112" s="2">
        <v>23017</v>
      </c>
      <c r="G112">
        <v>631</v>
      </c>
      <c r="H112">
        <v>0</v>
      </c>
      <c r="I112" t="str">
        <f>_xlfn.XLOOKUP($C112,战区信息!$A$1:$A$5,战区信息!$B$1:$B$5)</f>
        <v>004</v>
      </c>
      <c r="J112" t="str">
        <f>_xlfn.XLOOKUP($C112,战区信息!$A$1:$A$5,战区信息!$C$1:$C$5)</f>
        <v>沈乐欣</v>
      </c>
      <c r="K112" t="str">
        <f>_xlfn.XLOOKUP($C112,战区信息!$A$1:$A$5,战区信息!$D$1:$D$5)</f>
        <v>三级战区</v>
      </c>
      <c r="L112" t="str">
        <f>_xlfn.XLOOKUP($D112,城市信息!$B$1:$B$14,城市信息!$A$1:$A$14)</f>
        <v>007</v>
      </c>
      <c r="M112" t="str">
        <f>_xlfn.XLOOKUP($D112,城市信息!$B$1:$B$14,城市信息!$C$1:$C$14)</f>
        <v>范俊发</v>
      </c>
      <c r="N112" t="str">
        <f>_xlfn.XLOOKUP($D112,城市信息!$B$1:$B$14,城市信息!$D$1:$D$14)</f>
        <v>一线</v>
      </c>
      <c r="O112">
        <f>_xlfn.XLOOKUP($D112,城市信息!$B$1:$B$14,城市信息!$E$1:$E$14)</f>
        <v>12358</v>
      </c>
      <c r="P112" cm="1">
        <f t="array" ref="P112:U112">_xlfn.XLOOKUP(A112&amp;B112,'[1]2.4自动化报表-8月获客数据-非乱码'!$A:$A&amp;'[1]2.4自动化报表-8月获客数据-非乱码'!$B:$B,'[1]2.4自动化报表-8月获客数据-非乱码'!$C:$H)</f>
        <v>1721</v>
      </c>
      <c r="Q112">
        <v>1698</v>
      </c>
      <c r="R112">
        <v>1663</v>
      </c>
      <c r="S112">
        <v>1003</v>
      </c>
      <c r="T112">
        <v>582</v>
      </c>
      <c r="U112">
        <v>688</v>
      </c>
    </row>
    <row r="113" spans="1:21" x14ac:dyDescent="0.3">
      <c r="A113" s="1">
        <v>44047</v>
      </c>
      <c r="B113" t="s">
        <v>5</v>
      </c>
      <c r="C113" t="s">
        <v>125</v>
      </c>
      <c r="D113" t="s">
        <v>62</v>
      </c>
      <c r="E113" t="s">
        <v>129</v>
      </c>
      <c r="F113" s="2">
        <v>54825</v>
      </c>
      <c r="G113" s="2">
        <v>1781</v>
      </c>
      <c r="H113">
        <v>0</v>
      </c>
      <c r="I113" t="str">
        <f>_xlfn.XLOOKUP($C113,战区信息!$A$1:$A$5,战区信息!$B$1:$B$5)</f>
        <v>004</v>
      </c>
      <c r="J113" t="str">
        <f>_xlfn.XLOOKUP($C113,战区信息!$A$1:$A$5,战区信息!$C$1:$C$5)</f>
        <v>沈乐欣</v>
      </c>
      <c r="K113" t="str">
        <f>_xlfn.XLOOKUP($C113,战区信息!$A$1:$A$5,战区信息!$D$1:$D$5)</f>
        <v>三级战区</v>
      </c>
      <c r="L113" t="str">
        <f>_xlfn.XLOOKUP($D113,城市信息!$B$1:$B$14,城市信息!$A$1:$A$14)</f>
        <v>007</v>
      </c>
      <c r="M113" t="str">
        <f>_xlfn.XLOOKUP($D113,城市信息!$B$1:$B$14,城市信息!$C$1:$C$14)</f>
        <v>范俊发</v>
      </c>
      <c r="N113" t="str">
        <f>_xlfn.XLOOKUP($D113,城市信息!$B$1:$B$14,城市信息!$D$1:$D$14)</f>
        <v>一线</v>
      </c>
      <c r="O113">
        <f>_xlfn.XLOOKUP($D113,城市信息!$B$1:$B$14,城市信息!$E$1:$E$14)</f>
        <v>12358</v>
      </c>
      <c r="P113" cm="1">
        <f t="array" ref="P113:U113">_xlfn.XLOOKUP(A113&amp;B113,'[1]2.4自动化报表-8月获客数据-非乱码'!$A:$A&amp;'[1]2.4自动化报表-8月获客数据-非乱码'!$B:$B,'[1]2.4自动化报表-8月获客数据-非乱码'!$C:$H)</f>
        <v>2102</v>
      </c>
      <c r="Q113">
        <v>2064</v>
      </c>
      <c r="R113">
        <v>1989</v>
      </c>
      <c r="S113">
        <v>1201</v>
      </c>
      <c r="T113">
        <v>648</v>
      </c>
      <c r="U113">
        <v>689</v>
      </c>
    </row>
    <row r="114" spans="1:21" x14ac:dyDescent="0.3">
      <c r="A114" s="1">
        <v>44048</v>
      </c>
      <c r="B114" t="s">
        <v>32</v>
      </c>
      <c r="C114" t="s">
        <v>97</v>
      </c>
      <c r="D114" t="s">
        <v>67</v>
      </c>
      <c r="E114" t="s">
        <v>98</v>
      </c>
      <c r="F114" s="2">
        <v>84610</v>
      </c>
      <c r="G114" s="2">
        <v>6034</v>
      </c>
      <c r="H114">
        <v>0</v>
      </c>
      <c r="I114" t="str">
        <f>_xlfn.XLOOKUP($C114,战区信息!$A$1:$A$5,战区信息!$B$1:$B$5)</f>
        <v>003</v>
      </c>
      <c r="J114" t="str">
        <f>_xlfn.XLOOKUP($C114,战区信息!$A$1:$A$5,战区信息!$C$1:$C$5)</f>
        <v>田楠</v>
      </c>
      <c r="K114" t="str">
        <f>_xlfn.XLOOKUP($C114,战区信息!$A$1:$A$5,战区信息!$D$1:$D$5)</f>
        <v>二级战区</v>
      </c>
      <c r="L114" t="str">
        <f>_xlfn.XLOOKUP($D114,城市信息!$B$1:$B$14,城市信息!$A$1:$A$14)</f>
        <v>012</v>
      </c>
      <c r="M114" t="str">
        <f>_xlfn.XLOOKUP($D114,城市信息!$B$1:$B$14,城市信息!$C$1:$C$14)</f>
        <v>于子默</v>
      </c>
      <c r="N114" t="str">
        <f>_xlfn.XLOOKUP($D114,城市信息!$B$1:$B$14,城市信息!$D$1:$D$14)</f>
        <v>二线</v>
      </c>
      <c r="O114">
        <f>_xlfn.XLOOKUP($D114,城市信息!$B$1:$B$14,城市信息!$E$1:$E$14)</f>
        <v>9713</v>
      </c>
      <c r="P114" cm="1">
        <f t="array" ref="P114:U114">_xlfn.XLOOKUP(A114&amp;B114,'[1]2.4自动化报表-8月获客数据-非乱码'!$A:$A&amp;'[1]2.4自动化报表-8月获客数据-非乱码'!$B:$B,'[1]2.4自动化报表-8月获客数据-非乱码'!$C:$H)</f>
        <v>2583</v>
      </c>
      <c r="Q114">
        <v>2540</v>
      </c>
      <c r="R114">
        <v>2470</v>
      </c>
      <c r="S114">
        <v>1542</v>
      </c>
      <c r="T114">
        <v>855</v>
      </c>
      <c r="U114">
        <v>690</v>
      </c>
    </row>
    <row r="115" spans="1:21" x14ac:dyDescent="0.3">
      <c r="A115" s="1">
        <v>44048</v>
      </c>
      <c r="B115" t="s">
        <v>31</v>
      </c>
      <c r="C115" t="s">
        <v>97</v>
      </c>
      <c r="D115" t="s">
        <v>65</v>
      </c>
      <c r="E115" t="s">
        <v>99</v>
      </c>
      <c r="F115" s="2">
        <v>116503</v>
      </c>
      <c r="G115" s="2">
        <v>7488</v>
      </c>
      <c r="H115">
        <v>0</v>
      </c>
      <c r="I115" t="str">
        <f>_xlfn.XLOOKUP($C115,战区信息!$A$1:$A$5,战区信息!$B$1:$B$5)</f>
        <v>003</v>
      </c>
      <c r="J115" t="str">
        <f>_xlfn.XLOOKUP($C115,战区信息!$A$1:$A$5,战区信息!$C$1:$C$5)</f>
        <v>田楠</v>
      </c>
      <c r="K115" t="str">
        <f>_xlfn.XLOOKUP($C115,战区信息!$A$1:$A$5,战区信息!$D$1:$D$5)</f>
        <v>二级战区</v>
      </c>
      <c r="L115" t="str">
        <f>_xlfn.XLOOKUP($D115,城市信息!$B$1:$B$14,城市信息!$A$1:$A$14)</f>
        <v>010</v>
      </c>
      <c r="M115" t="str">
        <f>_xlfn.XLOOKUP($D115,城市信息!$B$1:$B$14,城市信息!$C$1:$C$14)</f>
        <v>黄鹏天</v>
      </c>
      <c r="N115" t="str">
        <f>_xlfn.XLOOKUP($D115,城市信息!$B$1:$B$14,城市信息!$D$1:$D$14)</f>
        <v>二线</v>
      </c>
      <c r="O115">
        <f>_xlfn.XLOOKUP($D115,城市信息!$B$1:$B$14,城市信息!$E$1:$E$14)</f>
        <v>8295</v>
      </c>
      <c r="P115" cm="1">
        <f t="array" ref="P115:U115">_xlfn.XLOOKUP(A115&amp;B115,'[1]2.4自动化报表-8月获客数据-非乱码'!$A:$A&amp;'[1]2.4自动化报表-8月获客数据-非乱码'!$B:$B,'[1]2.4自动化报表-8月获客数据-非乱码'!$C:$H)</f>
        <v>2475</v>
      </c>
      <c r="Q115">
        <v>2426</v>
      </c>
      <c r="R115">
        <v>2349</v>
      </c>
      <c r="S115">
        <v>1384</v>
      </c>
      <c r="T115">
        <v>764</v>
      </c>
      <c r="U115">
        <v>690</v>
      </c>
    </row>
    <row r="116" spans="1:21" x14ac:dyDescent="0.3">
      <c r="A116" s="1">
        <v>44048</v>
      </c>
      <c r="B116" t="s">
        <v>30</v>
      </c>
      <c r="C116" t="s">
        <v>97</v>
      </c>
      <c r="D116" t="s">
        <v>61</v>
      </c>
      <c r="E116" t="s">
        <v>100</v>
      </c>
      <c r="F116" s="2">
        <v>66502</v>
      </c>
      <c r="G116" s="2">
        <v>5602</v>
      </c>
      <c r="H116">
        <v>0</v>
      </c>
      <c r="I116" t="str">
        <f>_xlfn.XLOOKUP($C116,战区信息!$A$1:$A$5,战区信息!$B$1:$B$5)</f>
        <v>003</v>
      </c>
      <c r="J116" t="str">
        <f>_xlfn.XLOOKUP($C116,战区信息!$A$1:$A$5,战区信息!$C$1:$C$5)</f>
        <v>田楠</v>
      </c>
      <c r="K116" t="str">
        <f>_xlfn.XLOOKUP($C116,战区信息!$A$1:$A$5,战区信息!$D$1:$D$5)</f>
        <v>二级战区</v>
      </c>
      <c r="L116" t="str">
        <f>_xlfn.XLOOKUP($D116,城市信息!$B$1:$B$14,城市信息!$A$1:$A$14)</f>
        <v>006</v>
      </c>
      <c r="M116" t="str">
        <f>_xlfn.XLOOKUP($D116,城市信息!$B$1:$B$14,城市信息!$C$1:$C$14)</f>
        <v>王刚</v>
      </c>
      <c r="N116" t="str">
        <f>_xlfn.XLOOKUP($D116,城市信息!$B$1:$B$14,城市信息!$D$1:$D$14)</f>
        <v>二线</v>
      </c>
      <c r="O116">
        <f>_xlfn.XLOOKUP($D116,城市信息!$B$1:$B$14,城市信息!$E$1:$E$14)</f>
        <v>9107</v>
      </c>
      <c r="P116" cm="1">
        <f t="array" ref="P116:U116">_xlfn.XLOOKUP(A116&amp;B116,'[1]2.4自动化报表-8月获客数据-非乱码'!$A:$A&amp;'[1]2.4自动化报表-8月获客数据-非乱码'!$B:$B,'[1]2.4自动化报表-8月获客数据-非乱码'!$C:$H)</f>
        <v>2331</v>
      </c>
      <c r="Q116">
        <v>2252</v>
      </c>
      <c r="R116">
        <v>2152</v>
      </c>
      <c r="S116">
        <v>1348</v>
      </c>
      <c r="T116">
        <v>647</v>
      </c>
      <c r="U116">
        <v>698</v>
      </c>
    </row>
    <row r="117" spans="1:21" x14ac:dyDescent="0.3">
      <c r="A117" s="1">
        <v>44048</v>
      </c>
      <c r="B117" t="s">
        <v>29</v>
      </c>
      <c r="C117" t="s">
        <v>97</v>
      </c>
      <c r="D117" t="s">
        <v>64</v>
      </c>
      <c r="E117" t="s">
        <v>101</v>
      </c>
      <c r="F117" s="2">
        <v>50447</v>
      </c>
      <c r="G117" s="2">
        <v>4647</v>
      </c>
      <c r="H117">
        <v>0</v>
      </c>
      <c r="I117" t="str">
        <f>_xlfn.XLOOKUP($C117,战区信息!$A$1:$A$5,战区信息!$B$1:$B$5)</f>
        <v>003</v>
      </c>
      <c r="J117" t="str">
        <f>_xlfn.XLOOKUP($C117,战区信息!$A$1:$A$5,战区信息!$C$1:$C$5)</f>
        <v>田楠</v>
      </c>
      <c r="K117" t="str">
        <f>_xlfn.XLOOKUP($C117,战区信息!$A$1:$A$5,战区信息!$D$1:$D$5)</f>
        <v>二级战区</v>
      </c>
      <c r="L117" t="str">
        <f>_xlfn.XLOOKUP($D117,城市信息!$B$1:$B$14,城市信息!$A$1:$A$14)</f>
        <v>009</v>
      </c>
      <c r="M117" t="str">
        <f>_xlfn.XLOOKUP($D117,城市信息!$B$1:$B$14,城市信息!$C$1:$C$14)</f>
        <v>叶超</v>
      </c>
      <c r="N117" t="str">
        <f>_xlfn.XLOOKUP($D117,城市信息!$B$1:$B$14,城市信息!$D$1:$D$14)</f>
        <v>二线</v>
      </c>
      <c r="O117">
        <f>_xlfn.XLOOKUP($D117,城市信息!$B$1:$B$14,城市信息!$E$1:$E$14)</f>
        <v>9016</v>
      </c>
      <c r="P117" cm="1">
        <f t="array" ref="P117:U117">_xlfn.XLOOKUP(A117&amp;B117,'[1]2.4自动化报表-8月获客数据-非乱码'!$A:$A&amp;'[1]2.4自动化报表-8月获客数据-非乱码'!$B:$B,'[1]2.4自动化报表-8月获客数据-非乱码'!$C:$H)</f>
        <v>2743</v>
      </c>
      <c r="Q117">
        <v>2676</v>
      </c>
      <c r="R117">
        <v>2581</v>
      </c>
      <c r="S117">
        <v>1655</v>
      </c>
      <c r="T117">
        <v>928</v>
      </c>
      <c r="U117">
        <v>691</v>
      </c>
    </row>
    <row r="118" spans="1:21" x14ac:dyDescent="0.3">
      <c r="A118" s="1">
        <v>44048</v>
      </c>
      <c r="B118" t="s">
        <v>28</v>
      </c>
      <c r="C118" t="s">
        <v>97</v>
      </c>
      <c r="D118" t="s">
        <v>64</v>
      </c>
      <c r="E118" t="s">
        <v>102</v>
      </c>
      <c r="F118" s="2">
        <v>23411</v>
      </c>
      <c r="G118" s="2">
        <v>2836</v>
      </c>
      <c r="H118">
        <v>0</v>
      </c>
      <c r="I118" t="str">
        <f>_xlfn.XLOOKUP($C118,战区信息!$A$1:$A$5,战区信息!$B$1:$B$5)</f>
        <v>003</v>
      </c>
      <c r="J118" t="str">
        <f>_xlfn.XLOOKUP($C118,战区信息!$A$1:$A$5,战区信息!$C$1:$C$5)</f>
        <v>田楠</v>
      </c>
      <c r="K118" t="str">
        <f>_xlfn.XLOOKUP($C118,战区信息!$A$1:$A$5,战区信息!$D$1:$D$5)</f>
        <v>二级战区</v>
      </c>
      <c r="L118" t="str">
        <f>_xlfn.XLOOKUP($D118,城市信息!$B$1:$B$14,城市信息!$A$1:$A$14)</f>
        <v>009</v>
      </c>
      <c r="M118" t="str">
        <f>_xlfn.XLOOKUP($D118,城市信息!$B$1:$B$14,城市信息!$C$1:$C$14)</f>
        <v>叶超</v>
      </c>
      <c r="N118" t="str">
        <f>_xlfn.XLOOKUP($D118,城市信息!$B$1:$B$14,城市信息!$D$1:$D$14)</f>
        <v>二线</v>
      </c>
      <c r="O118">
        <f>_xlfn.XLOOKUP($D118,城市信息!$B$1:$B$14,城市信息!$E$1:$E$14)</f>
        <v>9016</v>
      </c>
      <c r="P118" cm="1">
        <f t="array" ref="P118:U118">_xlfn.XLOOKUP(A118&amp;B118,'[1]2.4自动化报表-8月获客数据-非乱码'!$A:$A&amp;'[1]2.4自动化报表-8月获客数据-非乱码'!$B:$B,'[1]2.4自动化报表-8月获客数据-非乱码'!$C:$H)</f>
        <v>672</v>
      </c>
      <c r="Q118">
        <v>662</v>
      </c>
      <c r="R118">
        <v>643</v>
      </c>
      <c r="S118">
        <v>443</v>
      </c>
      <c r="T118">
        <v>209</v>
      </c>
      <c r="U118">
        <v>692</v>
      </c>
    </row>
    <row r="119" spans="1:21" x14ac:dyDescent="0.3">
      <c r="A119" s="1">
        <v>44048</v>
      </c>
      <c r="B119" t="s">
        <v>27</v>
      </c>
      <c r="C119" t="s">
        <v>103</v>
      </c>
      <c r="D119" t="s">
        <v>63</v>
      </c>
      <c r="E119" t="s">
        <v>104</v>
      </c>
      <c r="F119" s="2">
        <v>273097</v>
      </c>
      <c r="G119" s="2">
        <v>21088</v>
      </c>
      <c r="H119" s="2">
        <v>5684</v>
      </c>
      <c r="I119" t="str">
        <f>_xlfn.XLOOKUP($C119,战区信息!$A$1:$A$5,战区信息!$B$1:$B$5)</f>
        <v>002</v>
      </c>
      <c r="J119" t="str">
        <f>_xlfn.XLOOKUP($C119,战区信息!$A$1:$A$5,战区信息!$C$1:$C$5)</f>
        <v>高安平</v>
      </c>
      <c r="K119" t="str">
        <f>_xlfn.XLOOKUP($C119,战区信息!$A$1:$A$5,战区信息!$D$1:$D$5)</f>
        <v>二级战区</v>
      </c>
      <c r="L119" t="str">
        <f>_xlfn.XLOOKUP($D119,城市信息!$B$1:$B$14,城市信息!$A$1:$A$14)</f>
        <v>008</v>
      </c>
      <c r="M119" t="str">
        <f>_xlfn.XLOOKUP($D119,城市信息!$B$1:$B$14,城市信息!$C$1:$C$14)</f>
        <v>高弘壮</v>
      </c>
      <c r="N119" t="str">
        <f>_xlfn.XLOOKUP($D119,城市信息!$B$1:$B$14,城市信息!$D$1:$D$14)</f>
        <v>一线</v>
      </c>
      <c r="O119">
        <f>_xlfn.XLOOKUP($D119,城市信息!$B$1:$B$14,城市信息!$E$1:$E$14)</f>
        <v>11498</v>
      </c>
      <c r="P119" cm="1">
        <f t="array" ref="P119:U119">_xlfn.XLOOKUP(A119&amp;B119,'[1]2.4自动化报表-8月获客数据-非乱码'!$A:$A&amp;'[1]2.4自动化报表-8月获客数据-非乱码'!$B:$B,'[1]2.4自动化报表-8月获客数据-非乱码'!$C:$H)</f>
        <v>3120</v>
      </c>
      <c r="Q119">
        <v>3018</v>
      </c>
      <c r="R119">
        <v>2877</v>
      </c>
      <c r="S119">
        <v>1701</v>
      </c>
      <c r="T119">
        <v>900</v>
      </c>
      <c r="U119">
        <v>689</v>
      </c>
    </row>
    <row r="120" spans="1:21" x14ac:dyDescent="0.3">
      <c r="A120" s="1">
        <v>44048</v>
      </c>
      <c r="B120" t="s">
        <v>26</v>
      </c>
      <c r="C120" t="s">
        <v>103</v>
      </c>
      <c r="D120" t="s">
        <v>57</v>
      </c>
      <c r="E120" t="s">
        <v>105</v>
      </c>
      <c r="F120" s="2">
        <v>163147</v>
      </c>
      <c r="G120" s="2">
        <v>14888</v>
      </c>
      <c r="H120" s="2">
        <v>12023</v>
      </c>
      <c r="I120" t="str">
        <f>_xlfn.XLOOKUP($C120,战区信息!$A$1:$A$5,战区信息!$B$1:$B$5)</f>
        <v>002</v>
      </c>
      <c r="J120" t="str">
        <f>_xlfn.XLOOKUP($C120,战区信息!$A$1:$A$5,战区信息!$C$1:$C$5)</f>
        <v>高安平</v>
      </c>
      <c r="K120" t="str">
        <f>_xlfn.XLOOKUP($C120,战区信息!$A$1:$A$5,战区信息!$D$1:$D$5)</f>
        <v>二级战区</v>
      </c>
      <c r="L120" t="str">
        <f>_xlfn.XLOOKUP($D120,城市信息!$B$1:$B$14,城市信息!$A$1:$A$14)</f>
        <v>002</v>
      </c>
      <c r="M120" t="str">
        <f>_xlfn.XLOOKUP($D120,城市信息!$B$1:$B$14,城市信息!$C$1:$C$14)</f>
        <v>孙乒</v>
      </c>
      <c r="N120" t="str">
        <f>_xlfn.XLOOKUP($D120,城市信息!$B$1:$B$14,城市信息!$D$1:$D$14)</f>
        <v>一线</v>
      </c>
      <c r="O120">
        <f>_xlfn.XLOOKUP($D120,城市信息!$B$1:$B$14,城市信息!$E$1:$E$14)</f>
        <v>9854</v>
      </c>
      <c r="P120" cm="1">
        <f t="array" ref="P120:U120">_xlfn.XLOOKUP(A120&amp;B120,'[1]2.4自动化报表-8月获客数据-非乱码'!$A:$A&amp;'[1]2.4自动化报表-8月获客数据-非乱码'!$B:$B,'[1]2.4自动化报表-8月获客数据-非乱码'!$C:$H)</f>
        <v>5773</v>
      </c>
      <c r="Q120">
        <v>5645</v>
      </c>
      <c r="R120">
        <v>5403</v>
      </c>
      <c r="S120">
        <v>3333</v>
      </c>
      <c r="T120">
        <v>1919</v>
      </c>
      <c r="U120">
        <v>687</v>
      </c>
    </row>
    <row r="121" spans="1:21" x14ac:dyDescent="0.3">
      <c r="A121" s="1">
        <v>44048</v>
      </c>
      <c r="B121" t="s">
        <v>25</v>
      </c>
      <c r="C121" t="s">
        <v>103</v>
      </c>
      <c r="D121" t="s">
        <v>57</v>
      </c>
      <c r="E121" t="s">
        <v>106</v>
      </c>
      <c r="F121" s="2">
        <v>80843</v>
      </c>
      <c r="G121" s="2">
        <v>8048</v>
      </c>
      <c r="H121" s="2">
        <v>5500</v>
      </c>
      <c r="I121" t="str">
        <f>_xlfn.XLOOKUP($C121,战区信息!$A$1:$A$5,战区信息!$B$1:$B$5)</f>
        <v>002</v>
      </c>
      <c r="J121" t="str">
        <f>_xlfn.XLOOKUP($C121,战区信息!$A$1:$A$5,战区信息!$C$1:$C$5)</f>
        <v>高安平</v>
      </c>
      <c r="K121" t="str">
        <f>_xlfn.XLOOKUP($C121,战区信息!$A$1:$A$5,战区信息!$D$1:$D$5)</f>
        <v>二级战区</v>
      </c>
      <c r="L121" t="str">
        <f>_xlfn.XLOOKUP($D121,城市信息!$B$1:$B$14,城市信息!$A$1:$A$14)</f>
        <v>002</v>
      </c>
      <c r="M121" t="str">
        <f>_xlfn.XLOOKUP($D121,城市信息!$B$1:$B$14,城市信息!$C$1:$C$14)</f>
        <v>孙乒</v>
      </c>
      <c r="N121" t="str">
        <f>_xlfn.XLOOKUP($D121,城市信息!$B$1:$B$14,城市信息!$D$1:$D$14)</f>
        <v>一线</v>
      </c>
      <c r="O121">
        <f>_xlfn.XLOOKUP($D121,城市信息!$B$1:$B$14,城市信息!$E$1:$E$14)</f>
        <v>9854</v>
      </c>
      <c r="P121" cm="1">
        <f t="array" ref="P121:U121">_xlfn.XLOOKUP(A121&amp;B121,'[1]2.4自动化报表-8月获客数据-非乱码'!$A:$A&amp;'[1]2.4自动化报表-8月获客数据-非乱码'!$B:$B,'[1]2.4自动化报表-8月获客数据-非乱码'!$C:$H)</f>
        <v>3726</v>
      </c>
      <c r="Q121">
        <v>3624</v>
      </c>
      <c r="R121">
        <v>3439</v>
      </c>
      <c r="S121">
        <v>2050</v>
      </c>
      <c r="T121">
        <v>1152</v>
      </c>
      <c r="U121">
        <v>688</v>
      </c>
    </row>
    <row r="122" spans="1:21" x14ac:dyDescent="0.3">
      <c r="A122" s="1">
        <v>44048</v>
      </c>
      <c r="B122" t="s">
        <v>24</v>
      </c>
      <c r="C122" t="s">
        <v>103</v>
      </c>
      <c r="D122" t="s">
        <v>57</v>
      </c>
      <c r="E122" t="s">
        <v>107</v>
      </c>
      <c r="F122" s="2">
        <v>196969</v>
      </c>
      <c r="G122" s="2">
        <v>16293</v>
      </c>
      <c r="H122">
        <v>0</v>
      </c>
      <c r="I122" t="str">
        <f>_xlfn.XLOOKUP($C122,战区信息!$A$1:$A$5,战区信息!$B$1:$B$5)</f>
        <v>002</v>
      </c>
      <c r="J122" t="str">
        <f>_xlfn.XLOOKUP($C122,战区信息!$A$1:$A$5,战区信息!$C$1:$C$5)</f>
        <v>高安平</v>
      </c>
      <c r="K122" t="str">
        <f>_xlfn.XLOOKUP($C122,战区信息!$A$1:$A$5,战区信息!$D$1:$D$5)</f>
        <v>二级战区</v>
      </c>
      <c r="L122" t="str">
        <f>_xlfn.XLOOKUP($D122,城市信息!$B$1:$B$14,城市信息!$A$1:$A$14)</f>
        <v>002</v>
      </c>
      <c r="M122" t="str">
        <f>_xlfn.XLOOKUP($D122,城市信息!$B$1:$B$14,城市信息!$C$1:$C$14)</f>
        <v>孙乒</v>
      </c>
      <c r="N122" t="str">
        <f>_xlfn.XLOOKUP($D122,城市信息!$B$1:$B$14,城市信息!$D$1:$D$14)</f>
        <v>一线</v>
      </c>
      <c r="O122">
        <f>_xlfn.XLOOKUP($D122,城市信息!$B$1:$B$14,城市信息!$E$1:$E$14)</f>
        <v>9854</v>
      </c>
      <c r="P122" cm="1">
        <f t="array" ref="P122:U122">_xlfn.XLOOKUP(A122&amp;B122,'[1]2.4自动化报表-8月获客数据-非乱码'!$A:$A&amp;'[1]2.4自动化报表-8月获客数据-非乱码'!$B:$B,'[1]2.4自动化报表-8月获客数据-非乱码'!$C:$H)</f>
        <v>3815</v>
      </c>
      <c r="Q122">
        <v>3753</v>
      </c>
      <c r="R122">
        <v>3594</v>
      </c>
      <c r="S122">
        <v>2217</v>
      </c>
      <c r="T122">
        <v>1296</v>
      </c>
      <c r="U122">
        <v>690</v>
      </c>
    </row>
    <row r="123" spans="1:21" x14ac:dyDescent="0.3">
      <c r="A123" s="1">
        <v>44048</v>
      </c>
      <c r="B123" t="s">
        <v>23</v>
      </c>
      <c r="C123" t="s">
        <v>108</v>
      </c>
      <c r="D123" t="s">
        <v>109</v>
      </c>
      <c r="E123" t="s">
        <v>110</v>
      </c>
      <c r="F123" s="2">
        <v>130618</v>
      </c>
      <c r="G123" s="2">
        <v>12505</v>
      </c>
      <c r="H123">
        <v>0</v>
      </c>
      <c r="I123" t="str">
        <f>_xlfn.XLOOKUP($C123,战区信息!$A$1:$A$5,战区信息!$B$1:$B$5)</f>
        <v>001</v>
      </c>
      <c r="J123" t="str">
        <f>_xlfn.XLOOKUP($C123,战区信息!$A$1:$A$5,战区信息!$C$1:$C$5)</f>
        <v>江永</v>
      </c>
      <c r="K123" t="str">
        <f>_xlfn.XLOOKUP($C123,战区信息!$A$1:$A$5,战区信息!$D$1:$D$5)</f>
        <v>一级战区</v>
      </c>
      <c r="L123" t="str">
        <f>_xlfn.XLOOKUP($D123,城市信息!$B$1:$B$14,城市信息!$A$1:$A$14)</f>
        <v>013</v>
      </c>
      <c r="M123" t="str">
        <f>_xlfn.XLOOKUP($D123,城市信息!$B$1:$B$14,城市信息!$C$1:$C$14)</f>
        <v>张建</v>
      </c>
      <c r="N123" t="str">
        <f>_xlfn.XLOOKUP($D123,城市信息!$B$1:$B$14,城市信息!$D$1:$D$14)</f>
        <v>二线</v>
      </c>
      <c r="O123">
        <f>_xlfn.XLOOKUP($D123,城市信息!$B$1:$B$14,城市信息!$E$1:$E$14)</f>
        <v>8800</v>
      </c>
      <c r="P123" cm="1">
        <f t="array" ref="P123:U123">_xlfn.XLOOKUP(A123&amp;B123,'[1]2.4自动化报表-8月获客数据-非乱码'!$A:$A&amp;'[1]2.4自动化报表-8月获客数据-非乱码'!$B:$B,'[1]2.4自动化报表-8月获客数据-非乱码'!$C:$H)</f>
        <v>5896</v>
      </c>
      <c r="Q123">
        <v>5710</v>
      </c>
      <c r="R123">
        <v>5439</v>
      </c>
      <c r="S123">
        <v>3266</v>
      </c>
      <c r="T123">
        <v>1694</v>
      </c>
      <c r="U123">
        <v>694</v>
      </c>
    </row>
    <row r="124" spans="1:21" x14ac:dyDescent="0.3">
      <c r="A124" s="1">
        <v>44048</v>
      </c>
      <c r="B124" t="s">
        <v>22</v>
      </c>
      <c r="C124" t="s">
        <v>108</v>
      </c>
      <c r="D124" t="s">
        <v>109</v>
      </c>
      <c r="E124" t="s">
        <v>111</v>
      </c>
      <c r="F124" s="2">
        <v>44099</v>
      </c>
      <c r="G124" s="2">
        <v>2575</v>
      </c>
      <c r="H124" s="2">
        <v>10860</v>
      </c>
      <c r="I124" t="str">
        <f>_xlfn.XLOOKUP($C124,战区信息!$A$1:$A$5,战区信息!$B$1:$B$5)</f>
        <v>001</v>
      </c>
      <c r="J124" t="str">
        <f>_xlfn.XLOOKUP($C124,战区信息!$A$1:$A$5,战区信息!$C$1:$C$5)</f>
        <v>江永</v>
      </c>
      <c r="K124" t="str">
        <f>_xlfn.XLOOKUP($C124,战区信息!$A$1:$A$5,战区信息!$D$1:$D$5)</f>
        <v>一级战区</v>
      </c>
      <c r="L124" t="str">
        <f>_xlfn.XLOOKUP($D124,城市信息!$B$1:$B$14,城市信息!$A$1:$A$14)</f>
        <v>013</v>
      </c>
      <c r="M124" t="str">
        <f>_xlfn.XLOOKUP($D124,城市信息!$B$1:$B$14,城市信息!$C$1:$C$14)</f>
        <v>张建</v>
      </c>
      <c r="N124" t="str">
        <f>_xlfn.XLOOKUP($D124,城市信息!$B$1:$B$14,城市信息!$D$1:$D$14)</f>
        <v>二线</v>
      </c>
      <c r="O124">
        <f>_xlfn.XLOOKUP($D124,城市信息!$B$1:$B$14,城市信息!$E$1:$E$14)</f>
        <v>8800</v>
      </c>
      <c r="P124" cm="1">
        <f t="array" ref="P124:U124">_xlfn.XLOOKUP(A124&amp;B124,'[1]2.4自动化报表-8月获客数据-非乱码'!$A:$A&amp;'[1]2.4自动化报表-8月获客数据-非乱码'!$B:$B,'[1]2.4自动化报表-8月获客数据-非乱码'!$C:$H)</f>
        <v>349</v>
      </c>
      <c r="Q124">
        <v>341</v>
      </c>
      <c r="R124">
        <v>306</v>
      </c>
      <c r="S124">
        <v>180</v>
      </c>
      <c r="T124">
        <v>83</v>
      </c>
      <c r="U124">
        <v>689</v>
      </c>
    </row>
    <row r="125" spans="1:21" x14ac:dyDescent="0.3">
      <c r="A125" s="1">
        <v>44048</v>
      </c>
      <c r="B125" t="s">
        <v>21</v>
      </c>
      <c r="C125" t="s">
        <v>108</v>
      </c>
      <c r="D125" t="s">
        <v>109</v>
      </c>
      <c r="E125" t="s">
        <v>112</v>
      </c>
      <c r="F125" s="2">
        <v>220797</v>
      </c>
      <c r="G125" s="2">
        <v>18127</v>
      </c>
      <c r="H125" s="2">
        <v>1026</v>
      </c>
      <c r="I125" t="str">
        <f>_xlfn.XLOOKUP($C125,战区信息!$A$1:$A$5,战区信息!$B$1:$B$5)</f>
        <v>001</v>
      </c>
      <c r="J125" t="str">
        <f>_xlfn.XLOOKUP($C125,战区信息!$A$1:$A$5,战区信息!$C$1:$C$5)</f>
        <v>江永</v>
      </c>
      <c r="K125" t="str">
        <f>_xlfn.XLOOKUP($C125,战区信息!$A$1:$A$5,战区信息!$D$1:$D$5)</f>
        <v>一级战区</v>
      </c>
      <c r="L125" t="str">
        <f>_xlfn.XLOOKUP($D125,城市信息!$B$1:$B$14,城市信息!$A$1:$A$14)</f>
        <v>013</v>
      </c>
      <c r="M125" t="str">
        <f>_xlfn.XLOOKUP($D125,城市信息!$B$1:$B$14,城市信息!$C$1:$C$14)</f>
        <v>张建</v>
      </c>
      <c r="N125" t="str">
        <f>_xlfn.XLOOKUP($D125,城市信息!$B$1:$B$14,城市信息!$D$1:$D$14)</f>
        <v>二线</v>
      </c>
      <c r="O125">
        <f>_xlfn.XLOOKUP($D125,城市信息!$B$1:$B$14,城市信息!$E$1:$E$14)</f>
        <v>8800</v>
      </c>
      <c r="P125" cm="1">
        <f t="array" ref="P125:U125">_xlfn.XLOOKUP(A125&amp;B125,'[1]2.4自动化报表-8月获客数据-非乱码'!$A:$A&amp;'[1]2.4自动化报表-8月获客数据-非乱码'!$B:$B,'[1]2.4自动化报表-8月获客数据-非乱码'!$C:$H)</f>
        <v>5414</v>
      </c>
      <c r="Q125">
        <v>5203</v>
      </c>
      <c r="R125">
        <v>4943</v>
      </c>
      <c r="S125">
        <v>2883</v>
      </c>
      <c r="T125">
        <v>1572</v>
      </c>
      <c r="U125">
        <v>695</v>
      </c>
    </row>
    <row r="126" spans="1:21" x14ac:dyDescent="0.3">
      <c r="A126" s="1">
        <v>44048</v>
      </c>
      <c r="B126" t="s">
        <v>20</v>
      </c>
      <c r="C126" t="s">
        <v>108</v>
      </c>
      <c r="D126" t="s">
        <v>56</v>
      </c>
      <c r="E126" t="s">
        <v>113</v>
      </c>
      <c r="F126" s="2">
        <v>153042</v>
      </c>
      <c r="G126" s="2">
        <v>13076</v>
      </c>
      <c r="H126">
        <v>477</v>
      </c>
      <c r="I126" t="str">
        <f>_xlfn.XLOOKUP($C126,战区信息!$A$1:$A$5,战区信息!$B$1:$B$5)</f>
        <v>001</v>
      </c>
      <c r="J126" t="str">
        <f>_xlfn.XLOOKUP($C126,战区信息!$A$1:$A$5,战区信息!$C$1:$C$5)</f>
        <v>江永</v>
      </c>
      <c r="K126" t="str">
        <f>_xlfn.XLOOKUP($C126,战区信息!$A$1:$A$5,战区信息!$D$1:$D$5)</f>
        <v>一级战区</v>
      </c>
      <c r="L126" t="str">
        <f>_xlfn.XLOOKUP($D126,城市信息!$B$1:$B$14,城市信息!$A$1:$A$14)</f>
        <v>001</v>
      </c>
      <c r="M126" t="str">
        <f>_xlfn.XLOOKUP($D126,城市信息!$B$1:$B$14,城市信息!$C$1:$C$14)</f>
        <v>吴刚</v>
      </c>
      <c r="N126" t="str">
        <f>_xlfn.XLOOKUP($D126,城市信息!$B$1:$B$14,城市信息!$D$1:$D$14)</f>
        <v>一线</v>
      </c>
      <c r="O126">
        <f>_xlfn.XLOOKUP($D126,城市信息!$B$1:$B$14,城市信息!$E$1:$E$14)</f>
        <v>12114</v>
      </c>
      <c r="P126" cm="1">
        <f t="array" ref="P126:U126">_xlfn.XLOOKUP(A126&amp;B126,'[1]2.4自动化报表-8月获客数据-非乱码'!$A:$A&amp;'[1]2.4自动化报表-8月获客数据-非乱码'!$B:$B,'[1]2.4自动化报表-8月获客数据-非乱码'!$C:$H)</f>
        <v>6397</v>
      </c>
      <c r="Q126">
        <v>6206</v>
      </c>
      <c r="R126">
        <v>5971</v>
      </c>
      <c r="S126">
        <v>3604</v>
      </c>
      <c r="T126">
        <v>1997</v>
      </c>
      <c r="U126">
        <v>693</v>
      </c>
    </row>
    <row r="127" spans="1:21" x14ac:dyDescent="0.3">
      <c r="A127" s="1">
        <v>44048</v>
      </c>
      <c r="B127" t="s">
        <v>19</v>
      </c>
      <c r="C127" t="s">
        <v>108</v>
      </c>
      <c r="D127" t="s">
        <v>56</v>
      </c>
      <c r="E127" t="s">
        <v>114</v>
      </c>
      <c r="F127" s="2">
        <v>125105</v>
      </c>
      <c r="G127" s="2">
        <v>10276</v>
      </c>
      <c r="H127">
        <v>0</v>
      </c>
      <c r="I127" t="str">
        <f>_xlfn.XLOOKUP($C127,战区信息!$A$1:$A$5,战区信息!$B$1:$B$5)</f>
        <v>001</v>
      </c>
      <c r="J127" t="str">
        <f>_xlfn.XLOOKUP($C127,战区信息!$A$1:$A$5,战区信息!$C$1:$C$5)</f>
        <v>江永</v>
      </c>
      <c r="K127" t="str">
        <f>_xlfn.XLOOKUP($C127,战区信息!$A$1:$A$5,战区信息!$D$1:$D$5)</f>
        <v>一级战区</v>
      </c>
      <c r="L127" t="str">
        <f>_xlfn.XLOOKUP($D127,城市信息!$B$1:$B$14,城市信息!$A$1:$A$14)</f>
        <v>001</v>
      </c>
      <c r="M127" t="str">
        <f>_xlfn.XLOOKUP($D127,城市信息!$B$1:$B$14,城市信息!$C$1:$C$14)</f>
        <v>吴刚</v>
      </c>
      <c r="N127" t="str">
        <f>_xlfn.XLOOKUP($D127,城市信息!$B$1:$B$14,城市信息!$D$1:$D$14)</f>
        <v>一线</v>
      </c>
      <c r="O127">
        <f>_xlfn.XLOOKUP($D127,城市信息!$B$1:$B$14,城市信息!$E$1:$E$14)</f>
        <v>12114</v>
      </c>
      <c r="P127" cm="1">
        <f t="array" ref="P127:U127">_xlfn.XLOOKUP(A127&amp;B127,'[1]2.4自动化报表-8月获客数据-非乱码'!$A:$A&amp;'[1]2.4自动化报表-8月获客数据-非乱码'!$B:$B,'[1]2.4自动化报表-8月获客数据-非乱码'!$C:$H)</f>
        <v>2925</v>
      </c>
      <c r="Q127">
        <v>2858</v>
      </c>
      <c r="R127">
        <v>2747</v>
      </c>
      <c r="S127">
        <v>1612</v>
      </c>
      <c r="T127">
        <v>968</v>
      </c>
      <c r="U127">
        <v>696</v>
      </c>
    </row>
    <row r="128" spans="1:21" x14ac:dyDescent="0.3">
      <c r="A128" s="1">
        <v>44048</v>
      </c>
      <c r="B128" t="s">
        <v>18</v>
      </c>
      <c r="C128" t="s">
        <v>108</v>
      </c>
      <c r="D128" t="s">
        <v>56</v>
      </c>
      <c r="E128" t="s">
        <v>115</v>
      </c>
      <c r="F128" s="2">
        <v>74699</v>
      </c>
      <c r="G128" s="2">
        <v>5128</v>
      </c>
      <c r="H128">
        <v>272</v>
      </c>
      <c r="I128" t="str">
        <f>_xlfn.XLOOKUP($C128,战区信息!$A$1:$A$5,战区信息!$B$1:$B$5)</f>
        <v>001</v>
      </c>
      <c r="J128" t="str">
        <f>_xlfn.XLOOKUP($C128,战区信息!$A$1:$A$5,战区信息!$C$1:$C$5)</f>
        <v>江永</v>
      </c>
      <c r="K128" t="str">
        <f>_xlfn.XLOOKUP($C128,战区信息!$A$1:$A$5,战区信息!$D$1:$D$5)</f>
        <v>一级战区</v>
      </c>
      <c r="L128" t="str">
        <f>_xlfn.XLOOKUP($D128,城市信息!$B$1:$B$14,城市信息!$A$1:$A$14)</f>
        <v>001</v>
      </c>
      <c r="M128" t="str">
        <f>_xlfn.XLOOKUP($D128,城市信息!$B$1:$B$14,城市信息!$C$1:$C$14)</f>
        <v>吴刚</v>
      </c>
      <c r="N128" t="str">
        <f>_xlfn.XLOOKUP($D128,城市信息!$B$1:$B$14,城市信息!$D$1:$D$14)</f>
        <v>一线</v>
      </c>
      <c r="O128">
        <f>_xlfn.XLOOKUP($D128,城市信息!$B$1:$B$14,城市信息!$E$1:$E$14)</f>
        <v>12114</v>
      </c>
      <c r="P128" cm="1">
        <f t="array" ref="P128:U128">_xlfn.XLOOKUP(A128&amp;B128,'[1]2.4自动化报表-8月获客数据-非乱码'!$A:$A&amp;'[1]2.4自动化报表-8月获客数据-非乱码'!$B:$B,'[1]2.4自动化报表-8月获客数据-非乱码'!$C:$H)</f>
        <v>3588</v>
      </c>
      <c r="Q128">
        <v>3529</v>
      </c>
      <c r="R128">
        <v>3379</v>
      </c>
      <c r="S128">
        <v>2008</v>
      </c>
      <c r="T128">
        <v>1086</v>
      </c>
      <c r="U128">
        <v>690</v>
      </c>
    </row>
    <row r="129" spans="1:21" x14ac:dyDescent="0.3">
      <c r="A129" s="1">
        <v>44048</v>
      </c>
      <c r="B129" t="s">
        <v>17</v>
      </c>
      <c r="C129" t="s">
        <v>108</v>
      </c>
      <c r="D129" t="s">
        <v>59</v>
      </c>
      <c r="E129" t="s">
        <v>116</v>
      </c>
      <c r="F129" s="2">
        <v>139126</v>
      </c>
      <c r="G129" s="2">
        <v>11026</v>
      </c>
      <c r="H129">
        <v>0</v>
      </c>
      <c r="I129" t="str">
        <f>_xlfn.XLOOKUP($C129,战区信息!$A$1:$A$5,战区信息!$B$1:$B$5)</f>
        <v>001</v>
      </c>
      <c r="J129" t="str">
        <f>_xlfn.XLOOKUP($C129,战区信息!$A$1:$A$5,战区信息!$C$1:$C$5)</f>
        <v>江永</v>
      </c>
      <c r="K129" t="str">
        <f>_xlfn.XLOOKUP($C129,战区信息!$A$1:$A$5,战区信息!$D$1:$D$5)</f>
        <v>一级战区</v>
      </c>
      <c r="L129" t="str">
        <f>_xlfn.XLOOKUP($D129,城市信息!$B$1:$B$14,城市信息!$A$1:$A$14)</f>
        <v>004</v>
      </c>
      <c r="M129" t="str">
        <f>_xlfn.XLOOKUP($D129,城市信息!$B$1:$B$14,城市信息!$C$1:$C$14)</f>
        <v>苏川</v>
      </c>
      <c r="N129" t="str">
        <f>_xlfn.XLOOKUP($D129,城市信息!$B$1:$B$14,城市信息!$D$1:$D$14)</f>
        <v>二线</v>
      </c>
      <c r="O129">
        <f>_xlfn.XLOOKUP($D129,城市信息!$B$1:$B$14,城市信息!$E$1:$E$14)</f>
        <v>9912</v>
      </c>
      <c r="P129" cm="1">
        <f t="array" ref="P129:U129">_xlfn.XLOOKUP(A129&amp;B129,'[1]2.4自动化报表-8月获客数据-非乱码'!$A:$A&amp;'[1]2.4自动化报表-8月获客数据-非乱码'!$B:$B,'[1]2.4自动化报表-8月获客数据-非乱码'!$C:$H)</f>
        <v>3393</v>
      </c>
      <c r="Q129">
        <v>3313</v>
      </c>
      <c r="R129">
        <v>3186</v>
      </c>
      <c r="S129">
        <v>1854</v>
      </c>
      <c r="T129">
        <v>986</v>
      </c>
      <c r="U129">
        <v>697</v>
      </c>
    </row>
    <row r="130" spans="1:21" x14ac:dyDescent="0.3">
      <c r="A130" s="1">
        <v>44048</v>
      </c>
      <c r="B130" t="s">
        <v>16</v>
      </c>
      <c r="C130" t="s">
        <v>108</v>
      </c>
      <c r="D130" t="s">
        <v>59</v>
      </c>
      <c r="E130" t="s">
        <v>117</v>
      </c>
      <c r="F130" s="2">
        <v>11237</v>
      </c>
      <c r="G130">
        <v>319</v>
      </c>
      <c r="H130">
        <v>0</v>
      </c>
      <c r="I130" t="str">
        <f>_xlfn.XLOOKUP($C130,战区信息!$A$1:$A$5,战区信息!$B$1:$B$5)</f>
        <v>001</v>
      </c>
      <c r="J130" t="str">
        <f>_xlfn.XLOOKUP($C130,战区信息!$A$1:$A$5,战区信息!$C$1:$C$5)</f>
        <v>江永</v>
      </c>
      <c r="K130" t="str">
        <f>_xlfn.XLOOKUP($C130,战区信息!$A$1:$A$5,战区信息!$D$1:$D$5)</f>
        <v>一级战区</v>
      </c>
      <c r="L130" t="str">
        <f>_xlfn.XLOOKUP($D130,城市信息!$B$1:$B$14,城市信息!$A$1:$A$14)</f>
        <v>004</v>
      </c>
      <c r="M130" t="str">
        <f>_xlfn.XLOOKUP($D130,城市信息!$B$1:$B$14,城市信息!$C$1:$C$14)</f>
        <v>苏川</v>
      </c>
      <c r="N130" t="str">
        <f>_xlfn.XLOOKUP($D130,城市信息!$B$1:$B$14,城市信息!$D$1:$D$14)</f>
        <v>二线</v>
      </c>
      <c r="O130">
        <f>_xlfn.XLOOKUP($D130,城市信息!$B$1:$B$14,城市信息!$E$1:$E$14)</f>
        <v>9912</v>
      </c>
      <c r="P130" cm="1">
        <f t="array" ref="P130:U130">_xlfn.XLOOKUP(A130&amp;B130,'[1]2.4自动化报表-8月获客数据-非乱码'!$A:$A&amp;'[1]2.4自动化报表-8月获客数据-非乱码'!$B:$B,'[1]2.4自动化报表-8月获客数据-非乱码'!$C:$H)</f>
        <v>1701</v>
      </c>
      <c r="Q130">
        <v>1648</v>
      </c>
      <c r="R130">
        <v>1570</v>
      </c>
      <c r="S130">
        <v>867</v>
      </c>
      <c r="T130">
        <v>479</v>
      </c>
      <c r="U130">
        <v>695</v>
      </c>
    </row>
    <row r="131" spans="1:21" x14ac:dyDescent="0.3">
      <c r="A131" s="1">
        <v>44048</v>
      </c>
      <c r="B131" t="s">
        <v>15</v>
      </c>
      <c r="C131" t="s">
        <v>108</v>
      </c>
      <c r="D131" t="s">
        <v>59</v>
      </c>
      <c r="E131" t="s">
        <v>118</v>
      </c>
      <c r="F131" s="2">
        <v>49092</v>
      </c>
      <c r="G131" s="2">
        <v>4903</v>
      </c>
      <c r="H131">
        <v>0</v>
      </c>
      <c r="I131" t="str">
        <f>_xlfn.XLOOKUP($C131,战区信息!$A$1:$A$5,战区信息!$B$1:$B$5)</f>
        <v>001</v>
      </c>
      <c r="J131" t="str">
        <f>_xlfn.XLOOKUP($C131,战区信息!$A$1:$A$5,战区信息!$C$1:$C$5)</f>
        <v>江永</v>
      </c>
      <c r="K131" t="str">
        <f>_xlfn.XLOOKUP($C131,战区信息!$A$1:$A$5,战区信息!$D$1:$D$5)</f>
        <v>一级战区</v>
      </c>
      <c r="L131" t="str">
        <f>_xlfn.XLOOKUP($D131,城市信息!$B$1:$B$14,城市信息!$A$1:$A$14)</f>
        <v>004</v>
      </c>
      <c r="M131" t="str">
        <f>_xlfn.XLOOKUP($D131,城市信息!$B$1:$B$14,城市信息!$C$1:$C$14)</f>
        <v>苏川</v>
      </c>
      <c r="N131" t="str">
        <f>_xlfn.XLOOKUP($D131,城市信息!$B$1:$B$14,城市信息!$D$1:$D$14)</f>
        <v>二线</v>
      </c>
      <c r="O131">
        <f>_xlfn.XLOOKUP($D131,城市信息!$B$1:$B$14,城市信息!$E$1:$E$14)</f>
        <v>9912</v>
      </c>
      <c r="P131" cm="1">
        <f t="array" ref="P131:U131">_xlfn.XLOOKUP(A131&amp;B131,'[1]2.4自动化报表-8月获客数据-非乱码'!$A:$A&amp;'[1]2.4自动化报表-8月获客数据-非乱码'!$B:$B,'[1]2.4自动化报表-8月获客数据-非乱码'!$C:$H)</f>
        <v>2373</v>
      </c>
      <c r="Q131">
        <v>2334</v>
      </c>
      <c r="R131">
        <v>2249</v>
      </c>
      <c r="S131">
        <v>1350</v>
      </c>
      <c r="T131">
        <v>694</v>
      </c>
      <c r="U131">
        <v>697</v>
      </c>
    </row>
    <row r="132" spans="1:21" x14ac:dyDescent="0.3">
      <c r="A132" s="1">
        <v>44048</v>
      </c>
      <c r="B132" t="s">
        <v>14</v>
      </c>
      <c r="C132" t="s">
        <v>108</v>
      </c>
      <c r="D132" t="s">
        <v>59</v>
      </c>
      <c r="E132" t="s">
        <v>119</v>
      </c>
      <c r="F132" s="2">
        <v>54502</v>
      </c>
      <c r="G132" s="2">
        <v>4244</v>
      </c>
      <c r="H132">
        <v>0</v>
      </c>
      <c r="I132" t="str">
        <f>_xlfn.XLOOKUP($C132,战区信息!$A$1:$A$5,战区信息!$B$1:$B$5)</f>
        <v>001</v>
      </c>
      <c r="J132" t="str">
        <f>_xlfn.XLOOKUP($C132,战区信息!$A$1:$A$5,战区信息!$C$1:$C$5)</f>
        <v>江永</v>
      </c>
      <c r="K132" t="str">
        <f>_xlfn.XLOOKUP($C132,战区信息!$A$1:$A$5,战区信息!$D$1:$D$5)</f>
        <v>一级战区</v>
      </c>
      <c r="L132" t="str">
        <f>_xlfn.XLOOKUP($D132,城市信息!$B$1:$B$14,城市信息!$A$1:$A$14)</f>
        <v>004</v>
      </c>
      <c r="M132" t="str">
        <f>_xlfn.XLOOKUP($D132,城市信息!$B$1:$B$14,城市信息!$C$1:$C$14)</f>
        <v>苏川</v>
      </c>
      <c r="N132" t="str">
        <f>_xlfn.XLOOKUP($D132,城市信息!$B$1:$B$14,城市信息!$D$1:$D$14)</f>
        <v>二线</v>
      </c>
      <c r="O132">
        <f>_xlfn.XLOOKUP($D132,城市信息!$B$1:$B$14,城市信息!$E$1:$E$14)</f>
        <v>9912</v>
      </c>
      <c r="P132" cm="1">
        <f t="array" ref="P132:U132">_xlfn.XLOOKUP(A132&amp;B132,'[1]2.4自动化报表-8月获客数据-非乱码'!$A:$A&amp;'[1]2.4自动化报表-8月获客数据-非乱码'!$B:$B,'[1]2.4自动化报表-8月获客数据-非乱码'!$C:$H)</f>
        <v>1815</v>
      </c>
      <c r="Q132">
        <v>1759</v>
      </c>
      <c r="R132">
        <v>1685</v>
      </c>
      <c r="S132">
        <v>1060</v>
      </c>
      <c r="T132">
        <v>545</v>
      </c>
      <c r="U132">
        <v>699</v>
      </c>
    </row>
    <row r="133" spans="1:21" x14ac:dyDescent="0.3">
      <c r="A133" s="1">
        <v>44048</v>
      </c>
      <c r="B133" t="s">
        <v>13</v>
      </c>
      <c r="C133" t="s">
        <v>108</v>
      </c>
      <c r="D133" t="s">
        <v>60</v>
      </c>
      <c r="E133" t="s">
        <v>120</v>
      </c>
      <c r="F133" s="2">
        <v>106994</v>
      </c>
      <c r="G133" s="2">
        <v>9999</v>
      </c>
      <c r="H133">
        <v>0</v>
      </c>
      <c r="I133" t="str">
        <f>_xlfn.XLOOKUP($C133,战区信息!$A$1:$A$5,战区信息!$B$1:$B$5)</f>
        <v>001</v>
      </c>
      <c r="J133" t="str">
        <f>_xlfn.XLOOKUP($C133,战区信息!$A$1:$A$5,战区信息!$C$1:$C$5)</f>
        <v>江永</v>
      </c>
      <c r="K133" t="str">
        <f>_xlfn.XLOOKUP($C133,战区信息!$A$1:$A$5,战区信息!$D$1:$D$5)</f>
        <v>一级战区</v>
      </c>
      <c r="L133" t="str">
        <f>_xlfn.XLOOKUP($D133,城市信息!$B$1:$B$14,城市信息!$A$1:$A$14)</f>
        <v>005</v>
      </c>
      <c r="M133" t="str">
        <f>_xlfn.XLOOKUP($D133,城市信息!$B$1:$B$14,城市信息!$C$1:$C$14)</f>
        <v>侯阳冰</v>
      </c>
      <c r="N133" t="str">
        <f>_xlfn.XLOOKUP($D133,城市信息!$B$1:$B$14,城市信息!$D$1:$D$14)</f>
        <v>二线</v>
      </c>
      <c r="O133">
        <f>_xlfn.XLOOKUP($D133,城市信息!$B$1:$B$14,城市信息!$E$1:$E$14)</f>
        <v>8694</v>
      </c>
      <c r="P133" cm="1">
        <f t="array" ref="P133:U133">_xlfn.XLOOKUP(A133&amp;B133,'[1]2.4自动化报表-8月获客数据-非乱码'!$A:$A&amp;'[1]2.4自动化报表-8月获客数据-非乱码'!$B:$B,'[1]2.4自动化报表-8月获客数据-非乱码'!$C:$H)</f>
        <v>4237</v>
      </c>
      <c r="Q133">
        <v>4137</v>
      </c>
      <c r="R133">
        <v>3934</v>
      </c>
      <c r="S133">
        <v>2424</v>
      </c>
      <c r="T133">
        <v>1214</v>
      </c>
      <c r="U133">
        <v>696</v>
      </c>
    </row>
    <row r="134" spans="1:21" x14ac:dyDescent="0.3">
      <c r="A134" s="1">
        <v>44048</v>
      </c>
      <c r="B134" t="s">
        <v>12</v>
      </c>
      <c r="C134" t="s">
        <v>108</v>
      </c>
      <c r="D134" t="s">
        <v>60</v>
      </c>
      <c r="E134" t="s">
        <v>121</v>
      </c>
      <c r="F134" s="2">
        <v>139012</v>
      </c>
      <c r="G134" s="2">
        <v>12636</v>
      </c>
      <c r="H134" s="2">
        <v>18994</v>
      </c>
      <c r="I134" t="str">
        <f>_xlfn.XLOOKUP($C134,战区信息!$A$1:$A$5,战区信息!$B$1:$B$5)</f>
        <v>001</v>
      </c>
      <c r="J134" t="str">
        <f>_xlfn.XLOOKUP($C134,战区信息!$A$1:$A$5,战区信息!$C$1:$C$5)</f>
        <v>江永</v>
      </c>
      <c r="K134" t="str">
        <f>_xlfn.XLOOKUP($C134,战区信息!$A$1:$A$5,战区信息!$D$1:$D$5)</f>
        <v>一级战区</v>
      </c>
      <c r="L134" t="str">
        <f>_xlfn.XLOOKUP($D134,城市信息!$B$1:$B$14,城市信息!$A$1:$A$14)</f>
        <v>005</v>
      </c>
      <c r="M134" t="str">
        <f>_xlfn.XLOOKUP($D134,城市信息!$B$1:$B$14,城市信息!$C$1:$C$14)</f>
        <v>侯阳冰</v>
      </c>
      <c r="N134" t="str">
        <f>_xlfn.XLOOKUP($D134,城市信息!$B$1:$B$14,城市信息!$D$1:$D$14)</f>
        <v>二线</v>
      </c>
      <c r="O134">
        <f>_xlfn.XLOOKUP($D134,城市信息!$B$1:$B$14,城市信息!$E$1:$E$14)</f>
        <v>8694</v>
      </c>
      <c r="P134" cm="1">
        <f t="array" ref="P134:U134">_xlfn.XLOOKUP(A134&amp;B134,'[1]2.4自动化报表-8月获客数据-非乱码'!$A:$A&amp;'[1]2.4自动化报表-8月获客数据-非乱码'!$B:$B,'[1]2.4自动化报表-8月获客数据-非乱码'!$C:$H)</f>
        <v>1343</v>
      </c>
      <c r="Q134">
        <v>1314</v>
      </c>
      <c r="R134">
        <v>1242</v>
      </c>
      <c r="S134">
        <v>776</v>
      </c>
      <c r="T134">
        <v>379</v>
      </c>
      <c r="U134">
        <v>696</v>
      </c>
    </row>
    <row r="135" spans="1:21" x14ac:dyDescent="0.3">
      <c r="A135" s="1">
        <v>44048</v>
      </c>
      <c r="B135" t="s">
        <v>11</v>
      </c>
      <c r="C135" t="s">
        <v>108</v>
      </c>
      <c r="D135" t="s">
        <v>58</v>
      </c>
      <c r="E135" t="s">
        <v>122</v>
      </c>
      <c r="F135" s="2">
        <v>135430</v>
      </c>
      <c r="G135" s="2">
        <v>13073</v>
      </c>
      <c r="H135">
        <v>0</v>
      </c>
      <c r="I135" t="str">
        <f>_xlfn.XLOOKUP($C135,战区信息!$A$1:$A$5,战区信息!$B$1:$B$5)</f>
        <v>001</v>
      </c>
      <c r="J135" t="str">
        <f>_xlfn.XLOOKUP($C135,战区信息!$A$1:$A$5,战区信息!$C$1:$C$5)</f>
        <v>江永</v>
      </c>
      <c r="K135" t="str">
        <f>_xlfn.XLOOKUP($C135,战区信息!$A$1:$A$5,战区信息!$D$1:$D$5)</f>
        <v>一级战区</v>
      </c>
      <c r="L135" t="str">
        <f>_xlfn.XLOOKUP($D135,城市信息!$B$1:$B$14,城市信息!$A$1:$A$14)</f>
        <v>003</v>
      </c>
      <c r="M135" t="str">
        <f>_xlfn.XLOOKUP($D135,城市信息!$B$1:$B$14,城市信息!$C$1:$C$14)</f>
        <v>杜光亮</v>
      </c>
      <c r="N135" t="str">
        <f>_xlfn.XLOOKUP($D135,城市信息!$B$1:$B$14,城市信息!$D$1:$D$14)</f>
        <v>二线</v>
      </c>
      <c r="O135">
        <f>_xlfn.XLOOKUP($D135,城市信息!$B$1:$B$14,城市信息!$E$1:$E$14)</f>
        <v>10499</v>
      </c>
      <c r="P135" cm="1">
        <f t="array" ref="P135:U135">_xlfn.XLOOKUP(A135&amp;B135,'[1]2.4自动化报表-8月获客数据-非乱码'!$A:$A&amp;'[1]2.4自动化报表-8月获客数据-非乱码'!$B:$B,'[1]2.4自动化报表-8月获客数据-非乱码'!$C:$H)</f>
        <v>5749</v>
      </c>
      <c r="Q135">
        <v>5534</v>
      </c>
      <c r="R135">
        <v>5260</v>
      </c>
      <c r="S135">
        <v>3208</v>
      </c>
      <c r="T135">
        <v>1527</v>
      </c>
      <c r="U135">
        <v>701</v>
      </c>
    </row>
    <row r="136" spans="1:21" x14ac:dyDescent="0.3">
      <c r="A136" s="1">
        <v>44048</v>
      </c>
      <c r="B136" t="s">
        <v>10</v>
      </c>
      <c r="C136" t="s">
        <v>108</v>
      </c>
      <c r="D136" t="s">
        <v>58</v>
      </c>
      <c r="E136" t="s">
        <v>123</v>
      </c>
      <c r="F136" s="2">
        <v>25769</v>
      </c>
      <c r="G136" s="2">
        <v>2174</v>
      </c>
      <c r="H136">
        <v>0</v>
      </c>
      <c r="I136" t="str">
        <f>_xlfn.XLOOKUP($C136,战区信息!$A$1:$A$5,战区信息!$B$1:$B$5)</f>
        <v>001</v>
      </c>
      <c r="J136" t="str">
        <f>_xlfn.XLOOKUP($C136,战区信息!$A$1:$A$5,战区信息!$C$1:$C$5)</f>
        <v>江永</v>
      </c>
      <c r="K136" t="str">
        <f>_xlfn.XLOOKUP($C136,战区信息!$A$1:$A$5,战区信息!$D$1:$D$5)</f>
        <v>一级战区</v>
      </c>
      <c r="L136" t="str">
        <f>_xlfn.XLOOKUP($D136,城市信息!$B$1:$B$14,城市信息!$A$1:$A$14)</f>
        <v>003</v>
      </c>
      <c r="M136" t="str">
        <f>_xlfn.XLOOKUP($D136,城市信息!$B$1:$B$14,城市信息!$C$1:$C$14)</f>
        <v>杜光亮</v>
      </c>
      <c r="N136" t="str">
        <f>_xlfn.XLOOKUP($D136,城市信息!$B$1:$B$14,城市信息!$D$1:$D$14)</f>
        <v>二线</v>
      </c>
      <c r="O136">
        <f>_xlfn.XLOOKUP($D136,城市信息!$B$1:$B$14,城市信息!$E$1:$E$14)</f>
        <v>10499</v>
      </c>
      <c r="P136" cm="1">
        <f t="array" ref="P136:U136">_xlfn.XLOOKUP(A136&amp;B136,'[1]2.4自动化报表-8月获客数据-非乱码'!$A:$A&amp;'[1]2.4自动化报表-8月获客数据-非乱码'!$B:$B,'[1]2.4自动化报表-8月获客数据-非乱码'!$C:$H)</f>
        <v>1773</v>
      </c>
      <c r="Q136">
        <v>1738</v>
      </c>
      <c r="R136">
        <v>1690</v>
      </c>
      <c r="S136">
        <v>1017</v>
      </c>
      <c r="T136">
        <v>614</v>
      </c>
      <c r="U136">
        <v>701</v>
      </c>
    </row>
    <row r="137" spans="1:21" x14ac:dyDescent="0.3">
      <c r="A137" s="1">
        <v>44048</v>
      </c>
      <c r="B137" t="s">
        <v>9</v>
      </c>
      <c r="C137" t="s">
        <v>108</v>
      </c>
      <c r="D137" t="s">
        <v>58</v>
      </c>
      <c r="E137" t="s">
        <v>124</v>
      </c>
      <c r="F137" s="2">
        <v>121293</v>
      </c>
      <c r="G137" s="2">
        <v>9635</v>
      </c>
      <c r="H137">
        <v>0</v>
      </c>
      <c r="I137" t="str">
        <f>_xlfn.XLOOKUP($C137,战区信息!$A$1:$A$5,战区信息!$B$1:$B$5)</f>
        <v>001</v>
      </c>
      <c r="J137" t="str">
        <f>_xlfn.XLOOKUP($C137,战区信息!$A$1:$A$5,战区信息!$C$1:$C$5)</f>
        <v>江永</v>
      </c>
      <c r="K137" t="str">
        <f>_xlfn.XLOOKUP($C137,战区信息!$A$1:$A$5,战区信息!$D$1:$D$5)</f>
        <v>一级战区</v>
      </c>
      <c r="L137" t="str">
        <f>_xlfn.XLOOKUP($D137,城市信息!$B$1:$B$14,城市信息!$A$1:$A$14)</f>
        <v>003</v>
      </c>
      <c r="M137" t="str">
        <f>_xlfn.XLOOKUP($D137,城市信息!$B$1:$B$14,城市信息!$C$1:$C$14)</f>
        <v>杜光亮</v>
      </c>
      <c r="N137" t="str">
        <f>_xlfn.XLOOKUP($D137,城市信息!$B$1:$B$14,城市信息!$D$1:$D$14)</f>
        <v>二线</v>
      </c>
      <c r="O137">
        <f>_xlfn.XLOOKUP($D137,城市信息!$B$1:$B$14,城市信息!$E$1:$E$14)</f>
        <v>10499</v>
      </c>
      <c r="P137" cm="1">
        <f t="array" ref="P137:U137">_xlfn.XLOOKUP(A137&amp;B137,'[1]2.4自动化报表-8月获客数据-非乱码'!$A:$A&amp;'[1]2.4自动化报表-8月获客数据-非乱码'!$B:$B,'[1]2.4自动化报表-8月获客数据-非乱码'!$C:$H)</f>
        <v>4111</v>
      </c>
      <c r="Q137">
        <v>4017</v>
      </c>
      <c r="R137">
        <v>3889</v>
      </c>
      <c r="S137">
        <v>2149</v>
      </c>
      <c r="T137">
        <v>1256</v>
      </c>
      <c r="U137">
        <v>694</v>
      </c>
    </row>
    <row r="138" spans="1:21" x14ac:dyDescent="0.3">
      <c r="A138" s="1">
        <v>44048</v>
      </c>
      <c r="B138" t="s">
        <v>8</v>
      </c>
      <c r="C138" t="s">
        <v>125</v>
      </c>
      <c r="D138" t="s">
        <v>66</v>
      </c>
      <c r="E138" t="s">
        <v>126</v>
      </c>
      <c r="F138" s="2">
        <v>83125</v>
      </c>
      <c r="G138" s="2">
        <v>8686</v>
      </c>
      <c r="H138">
        <v>0</v>
      </c>
      <c r="I138" t="str">
        <f>_xlfn.XLOOKUP($C138,战区信息!$A$1:$A$5,战区信息!$B$1:$B$5)</f>
        <v>004</v>
      </c>
      <c r="J138" t="str">
        <f>_xlfn.XLOOKUP($C138,战区信息!$A$1:$A$5,战区信息!$C$1:$C$5)</f>
        <v>沈乐欣</v>
      </c>
      <c r="K138" t="str">
        <f>_xlfn.XLOOKUP($C138,战区信息!$A$1:$A$5,战区信息!$D$1:$D$5)</f>
        <v>三级战区</v>
      </c>
      <c r="L138" t="str">
        <f>_xlfn.XLOOKUP($D138,城市信息!$B$1:$B$14,城市信息!$A$1:$A$14)</f>
        <v>011</v>
      </c>
      <c r="M138" t="str">
        <f>_xlfn.XLOOKUP($D138,城市信息!$B$1:$B$14,城市信息!$C$1:$C$14)</f>
        <v>冯谦</v>
      </c>
      <c r="N138" t="str">
        <f>_xlfn.XLOOKUP($D138,城市信息!$B$1:$B$14,城市信息!$D$1:$D$14)</f>
        <v>一线</v>
      </c>
      <c r="O138">
        <f>_xlfn.XLOOKUP($D138,城市信息!$B$1:$B$14,城市信息!$E$1:$E$14)</f>
        <v>8244</v>
      </c>
      <c r="P138" cm="1">
        <f t="array" ref="P138:U138">_xlfn.XLOOKUP(A138&amp;B138,'[1]2.4自动化报表-8月获客数据-非乱码'!$A:$A&amp;'[1]2.4自动化报表-8月获客数据-非乱码'!$B:$B,'[1]2.4自动化报表-8月获客数据-非乱码'!$C:$H)</f>
        <v>1828</v>
      </c>
      <c r="Q138">
        <v>1811</v>
      </c>
      <c r="R138">
        <v>1755</v>
      </c>
      <c r="S138">
        <v>963</v>
      </c>
      <c r="T138">
        <v>614</v>
      </c>
      <c r="U138">
        <v>686</v>
      </c>
    </row>
    <row r="139" spans="1:21" x14ac:dyDescent="0.3">
      <c r="A139" s="1">
        <v>44048</v>
      </c>
      <c r="B139" t="s">
        <v>6</v>
      </c>
      <c r="C139" t="s">
        <v>125</v>
      </c>
      <c r="D139" t="s">
        <v>62</v>
      </c>
      <c r="E139" t="s">
        <v>128</v>
      </c>
      <c r="F139" s="2">
        <v>66660</v>
      </c>
      <c r="G139" s="2">
        <v>6054</v>
      </c>
      <c r="H139">
        <v>0</v>
      </c>
      <c r="I139" t="str">
        <f>_xlfn.XLOOKUP($C139,战区信息!$A$1:$A$5,战区信息!$B$1:$B$5)</f>
        <v>004</v>
      </c>
      <c r="J139" t="str">
        <f>_xlfn.XLOOKUP($C139,战区信息!$A$1:$A$5,战区信息!$C$1:$C$5)</f>
        <v>沈乐欣</v>
      </c>
      <c r="K139" t="str">
        <f>_xlfn.XLOOKUP($C139,战区信息!$A$1:$A$5,战区信息!$D$1:$D$5)</f>
        <v>三级战区</v>
      </c>
      <c r="L139" t="str">
        <f>_xlfn.XLOOKUP($D139,城市信息!$B$1:$B$14,城市信息!$A$1:$A$14)</f>
        <v>007</v>
      </c>
      <c r="M139" t="str">
        <f>_xlfn.XLOOKUP($D139,城市信息!$B$1:$B$14,城市信息!$C$1:$C$14)</f>
        <v>范俊发</v>
      </c>
      <c r="N139" t="str">
        <f>_xlfn.XLOOKUP($D139,城市信息!$B$1:$B$14,城市信息!$D$1:$D$14)</f>
        <v>一线</v>
      </c>
      <c r="O139">
        <f>_xlfn.XLOOKUP($D139,城市信息!$B$1:$B$14,城市信息!$E$1:$E$14)</f>
        <v>12358</v>
      </c>
      <c r="P139" cm="1">
        <f t="array" ref="P139:U139">_xlfn.XLOOKUP(A139&amp;B139,'[1]2.4自动化报表-8月获客数据-非乱码'!$A:$A&amp;'[1]2.4自动化报表-8月获客数据-非乱码'!$B:$B,'[1]2.4自动化报表-8月获客数据-非乱码'!$C:$H)</f>
        <v>1721</v>
      </c>
      <c r="Q139">
        <v>1698</v>
      </c>
      <c r="R139">
        <v>1663</v>
      </c>
      <c r="S139">
        <v>1003</v>
      </c>
      <c r="T139">
        <v>582</v>
      </c>
      <c r="U139">
        <v>688</v>
      </c>
    </row>
    <row r="140" spans="1:21" x14ac:dyDescent="0.3">
      <c r="A140" s="1">
        <v>44048</v>
      </c>
      <c r="B140" t="s">
        <v>5</v>
      </c>
      <c r="C140" t="s">
        <v>125</v>
      </c>
      <c r="D140" t="s">
        <v>62</v>
      </c>
      <c r="E140" t="s">
        <v>129</v>
      </c>
      <c r="F140" s="2">
        <v>100511</v>
      </c>
      <c r="G140" s="2">
        <v>6846</v>
      </c>
      <c r="H140">
        <v>0</v>
      </c>
      <c r="I140" t="str">
        <f>_xlfn.XLOOKUP($C140,战区信息!$A$1:$A$5,战区信息!$B$1:$B$5)</f>
        <v>004</v>
      </c>
      <c r="J140" t="str">
        <f>_xlfn.XLOOKUP($C140,战区信息!$A$1:$A$5,战区信息!$C$1:$C$5)</f>
        <v>沈乐欣</v>
      </c>
      <c r="K140" t="str">
        <f>_xlfn.XLOOKUP($C140,战区信息!$A$1:$A$5,战区信息!$D$1:$D$5)</f>
        <v>三级战区</v>
      </c>
      <c r="L140" t="str">
        <f>_xlfn.XLOOKUP($D140,城市信息!$B$1:$B$14,城市信息!$A$1:$A$14)</f>
        <v>007</v>
      </c>
      <c r="M140" t="str">
        <f>_xlfn.XLOOKUP($D140,城市信息!$B$1:$B$14,城市信息!$C$1:$C$14)</f>
        <v>范俊发</v>
      </c>
      <c r="N140" t="str">
        <f>_xlfn.XLOOKUP($D140,城市信息!$B$1:$B$14,城市信息!$D$1:$D$14)</f>
        <v>一线</v>
      </c>
      <c r="O140">
        <f>_xlfn.XLOOKUP($D140,城市信息!$B$1:$B$14,城市信息!$E$1:$E$14)</f>
        <v>12358</v>
      </c>
      <c r="P140" cm="1">
        <f t="array" ref="P140:U140">_xlfn.XLOOKUP(A140&amp;B140,'[1]2.4自动化报表-8月获客数据-非乱码'!$A:$A&amp;'[1]2.4自动化报表-8月获客数据-非乱码'!$B:$B,'[1]2.4自动化报表-8月获客数据-非乱码'!$C:$H)</f>
        <v>2845</v>
      </c>
      <c r="Q140">
        <v>2791</v>
      </c>
      <c r="R140">
        <v>2676</v>
      </c>
      <c r="S140">
        <v>1660</v>
      </c>
      <c r="T140">
        <v>866</v>
      </c>
      <c r="U140">
        <v>690</v>
      </c>
    </row>
    <row r="141" spans="1:21" x14ac:dyDescent="0.3">
      <c r="A141" s="1">
        <v>44048</v>
      </c>
      <c r="B141" t="s">
        <v>33</v>
      </c>
      <c r="C141" t="s">
        <v>125</v>
      </c>
      <c r="D141" t="s">
        <v>62</v>
      </c>
      <c r="E141" t="s">
        <v>130</v>
      </c>
      <c r="F141" s="2">
        <v>10001</v>
      </c>
      <c r="G141">
        <v>629</v>
      </c>
      <c r="H141">
        <v>0</v>
      </c>
      <c r="I141" t="str">
        <f>_xlfn.XLOOKUP($C141,战区信息!$A$1:$A$5,战区信息!$B$1:$B$5)</f>
        <v>004</v>
      </c>
      <c r="J141" t="str">
        <f>_xlfn.XLOOKUP($C141,战区信息!$A$1:$A$5,战区信息!$C$1:$C$5)</f>
        <v>沈乐欣</v>
      </c>
      <c r="K141" t="str">
        <f>_xlfn.XLOOKUP($C141,战区信息!$A$1:$A$5,战区信息!$D$1:$D$5)</f>
        <v>三级战区</v>
      </c>
      <c r="L141" t="str">
        <f>_xlfn.XLOOKUP($D141,城市信息!$B$1:$B$14,城市信息!$A$1:$A$14)</f>
        <v>007</v>
      </c>
      <c r="M141" t="str">
        <f>_xlfn.XLOOKUP($D141,城市信息!$B$1:$B$14,城市信息!$C$1:$C$14)</f>
        <v>范俊发</v>
      </c>
      <c r="N141" t="str">
        <f>_xlfn.XLOOKUP($D141,城市信息!$B$1:$B$14,城市信息!$D$1:$D$14)</f>
        <v>一线</v>
      </c>
      <c r="O141">
        <f>_xlfn.XLOOKUP($D141,城市信息!$B$1:$B$14,城市信息!$E$1:$E$14)</f>
        <v>12358</v>
      </c>
      <c r="P141" cm="1">
        <f t="array" ref="P141:U141">_xlfn.XLOOKUP(A141&amp;B141,'[1]2.4自动化报表-8月获客数据-非乱码'!$A:$A&amp;'[1]2.4自动化报表-8月获客数据-非乱码'!$B:$B,'[1]2.4自动化报表-8月获客数据-非乱码'!$C:$H)</f>
        <v>10</v>
      </c>
      <c r="Q141">
        <v>10</v>
      </c>
      <c r="R141">
        <v>10</v>
      </c>
      <c r="S141">
        <v>7</v>
      </c>
      <c r="T141">
        <v>5</v>
      </c>
      <c r="U141">
        <v>685</v>
      </c>
    </row>
    <row r="142" spans="1:21" x14ac:dyDescent="0.3">
      <c r="A142" s="1">
        <v>44049</v>
      </c>
      <c r="B142" t="s">
        <v>32</v>
      </c>
      <c r="C142" t="s">
        <v>97</v>
      </c>
      <c r="D142" t="s">
        <v>67</v>
      </c>
      <c r="E142" t="s">
        <v>98</v>
      </c>
      <c r="F142" s="2">
        <v>88923</v>
      </c>
      <c r="G142" s="2">
        <v>9489</v>
      </c>
      <c r="H142">
        <v>0</v>
      </c>
      <c r="I142" t="str">
        <f>_xlfn.XLOOKUP($C142,战区信息!$A$1:$A$5,战区信息!$B$1:$B$5)</f>
        <v>003</v>
      </c>
      <c r="J142" t="str">
        <f>_xlfn.XLOOKUP($C142,战区信息!$A$1:$A$5,战区信息!$C$1:$C$5)</f>
        <v>田楠</v>
      </c>
      <c r="K142" t="str">
        <f>_xlfn.XLOOKUP($C142,战区信息!$A$1:$A$5,战区信息!$D$1:$D$5)</f>
        <v>二级战区</v>
      </c>
      <c r="L142" t="str">
        <f>_xlfn.XLOOKUP($D142,城市信息!$B$1:$B$14,城市信息!$A$1:$A$14)</f>
        <v>012</v>
      </c>
      <c r="M142" t="str">
        <f>_xlfn.XLOOKUP($D142,城市信息!$B$1:$B$14,城市信息!$C$1:$C$14)</f>
        <v>于子默</v>
      </c>
      <c r="N142" t="str">
        <f>_xlfn.XLOOKUP($D142,城市信息!$B$1:$B$14,城市信息!$D$1:$D$14)</f>
        <v>二线</v>
      </c>
      <c r="O142">
        <f>_xlfn.XLOOKUP($D142,城市信息!$B$1:$B$14,城市信息!$E$1:$E$14)</f>
        <v>9713</v>
      </c>
      <c r="P142" cm="1">
        <f t="array" ref="P142:U142">_xlfn.XLOOKUP(A142&amp;B142,'[1]2.4自动化报表-8月获客数据-非乱码'!$A:$A&amp;'[1]2.4自动化报表-8月获客数据-非乱码'!$B:$B,'[1]2.4自动化报表-8月获客数据-非乱码'!$C:$H)</f>
        <v>2583</v>
      </c>
      <c r="Q142">
        <v>2540</v>
      </c>
      <c r="R142">
        <v>2470</v>
      </c>
      <c r="S142">
        <v>1542</v>
      </c>
      <c r="T142">
        <v>855</v>
      </c>
      <c r="U142">
        <v>690</v>
      </c>
    </row>
    <row r="143" spans="1:21" x14ac:dyDescent="0.3">
      <c r="A143" s="1">
        <v>44049</v>
      </c>
      <c r="B143" t="s">
        <v>31</v>
      </c>
      <c r="C143" t="s">
        <v>97</v>
      </c>
      <c r="D143" t="s">
        <v>65</v>
      </c>
      <c r="E143" t="s">
        <v>99</v>
      </c>
      <c r="F143" s="2">
        <v>100865</v>
      </c>
      <c r="G143" s="2">
        <v>11464</v>
      </c>
      <c r="H143">
        <v>0</v>
      </c>
      <c r="I143" t="str">
        <f>_xlfn.XLOOKUP($C143,战区信息!$A$1:$A$5,战区信息!$B$1:$B$5)</f>
        <v>003</v>
      </c>
      <c r="J143" t="str">
        <f>_xlfn.XLOOKUP($C143,战区信息!$A$1:$A$5,战区信息!$C$1:$C$5)</f>
        <v>田楠</v>
      </c>
      <c r="K143" t="str">
        <f>_xlfn.XLOOKUP($C143,战区信息!$A$1:$A$5,战区信息!$D$1:$D$5)</f>
        <v>二级战区</v>
      </c>
      <c r="L143" t="str">
        <f>_xlfn.XLOOKUP($D143,城市信息!$B$1:$B$14,城市信息!$A$1:$A$14)</f>
        <v>010</v>
      </c>
      <c r="M143" t="str">
        <f>_xlfn.XLOOKUP($D143,城市信息!$B$1:$B$14,城市信息!$C$1:$C$14)</f>
        <v>黄鹏天</v>
      </c>
      <c r="N143" t="str">
        <f>_xlfn.XLOOKUP($D143,城市信息!$B$1:$B$14,城市信息!$D$1:$D$14)</f>
        <v>二线</v>
      </c>
      <c r="O143">
        <f>_xlfn.XLOOKUP($D143,城市信息!$B$1:$B$14,城市信息!$E$1:$E$14)</f>
        <v>8295</v>
      </c>
      <c r="P143" cm="1">
        <f t="array" ref="P143:U143">_xlfn.XLOOKUP(A143&amp;B143,'[1]2.4自动化报表-8月获客数据-非乱码'!$A:$A&amp;'[1]2.4自动化报表-8月获客数据-非乱码'!$B:$B,'[1]2.4自动化报表-8月获客数据-非乱码'!$C:$H)</f>
        <v>2358</v>
      </c>
      <c r="Q143">
        <v>2312</v>
      </c>
      <c r="R143">
        <v>2243</v>
      </c>
      <c r="S143">
        <v>1319</v>
      </c>
      <c r="T143">
        <v>783</v>
      </c>
      <c r="U143">
        <v>692</v>
      </c>
    </row>
    <row r="144" spans="1:21" x14ac:dyDescent="0.3">
      <c r="A144" s="1">
        <v>44049</v>
      </c>
      <c r="B144" t="s">
        <v>30</v>
      </c>
      <c r="C144" t="s">
        <v>97</v>
      </c>
      <c r="D144" t="s">
        <v>61</v>
      </c>
      <c r="E144" t="s">
        <v>100</v>
      </c>
      <c r="F144" s="2">
        <v>122003</v>
      </c>
      <c r="G144" s="2">
        <v>10997</v>
      </c>
      <c r="H144">
        <v>0</v>
      </c>
      <c r="I144" t="str">
        <f>_xlfn.XLOOKUP($C144,战区信息!$A$1:$A$5,战区信息!$B$1:$B$5)</f>
        <v>003</v>
      </c>
      <c r="J144" t="str">
        <f>_xlfn.XLOOKUP($C144,战区信息!$A$1:$A$5,战区信息!$C$1:$C$5)</f>
        <v>田楠</v>
      </c>
      <c r="K144" t="str">
        <f>_xlfn.XLOOKUP($C144,战区信息!$A$1:$A$5,战区信息!$D$1:$D$5)</f>
        <v>二级战区</v>
      </c>
      <c r="L144" t="str">
        <f>_xlfn.XLOOKUP($D144,城市信息!$B$1:$B$14,城市信息!$A$1:$A$14)</f>
        <v>006</v>
      </c>
      <c r="M144" t="str">
        <f>_xlfn.XLOOKUP($D144,城市信息!$B$1:$B$14,城市信息!$C$1:$C$14)</f>
        <v>王刚</v>
      </c>
      <c r="N144" t="str">
        <f>_xlfn.XLOOKUP($D144,城市信息!$B$1:$B$14,城市信息!$D$1:$D$14)</f>
        <v>二线</v>
      </c>
      <c r="O144">
        <f>_xlfn.XLOOKUP($D144,城市信息!$B$1:$B$14,城市信息!$E$1:$E$14)</f>
        <v>9107</v>
      </c>
      <c r="P144" cm="1">
        <f t="array" ref="P144:U144">_xlfn.XLOOKUP(A144&amp;B144,'[1]2.4自动化报表-8月获客数据-非乱码'!$A:$A&amp;'[1]2.4自动化报表-8月获客数据-非乱码'!$B:$B,'[1]2.4自动化报表-8月获客数据-非乱码'!$C:$H)</f>
        <v>2554</v>
      </c>
      <c r="Q144">
        <v>2499</v>
      </c>
      <c r="R144">
        <v>2403</v>
      </c>
      <c r="S144">
        <v>1468</v>
      </c>
      <c r="T144">
        <v>737</v>
      </c>
      <c r="U144">
        <v>698</v>
      </c>
    </row>
    <row r="145" spans="1:21" x14ac:dyDescent="0.3">
      <c r="A145" s="1">
        <v>44049</v>
      </c>
      <c r="B145" t="s">
        <v>29</v>
      </c>
      <c r="C145" t="s">
        <v>97</v>
      </c>
      <c r="D145" t="s">
        <v>64</v>
      </c>
      <c r="E145" t="s">
        <v>101</v>
      </c>
      <c r="F145" s="2">
        <v>51978</v>
      </c>
      <c r="G145" s="2">
        <v>4520</v>
      </c>
      <c r="H145">
        <v>0</v>
      </c>
      <c r="I145" t="str">
        <f>_xlfn.XLOOKUP($C145,战区信息!$A$1:$A$5,战区信息!$B$1:$B$5)</f>
        <v>003</v>
      </c>
      <c r="J145" t="str">
        <f>_xlfn.XLOOKUP($C145,战区信息!$A$1:$A$5,战区信息!$C$1:$C$5)</f>
        <v>田楠</v>
      </c>
      <c r="K145" t="str">
        <f>_xlfn.XLOOKUP($C145,战区信息!$A$1:$A$5,战区信息!$D$1:$D$5)</f>
        <v>二级战区</v>
      </c>
      <c r="L145" t="str">
        <f>_xlfn.XLOOKUP($D145,城市信息!$B$1:$B$14,城市信息!$A$1:$A$14)</f>
        <v>009</v>
      </c>
      <c r="M145" t="str">
        <f>_xlfn.XLOOKUP($D145,城市信息!$B$1:$B$14,城市信息!$C$1:$C$14)</f>
        <v>叶超</v>
      </c>
      <c r="N145" t="str">
        <f>_xlfn.XLOOKUP($D145,城市信息!$B$1:$B$14,城市信息!$D$1:$D$14)</f>
        <v>二线</v>
      </c>
      <c r="O145">
        <f>_xlfn.XLOOKUP($D145,城市信息!$B$1:$B$14,城市信息!$E$1:$E$14)</f>
        <v>9016</v>
      </c>
      <c r="P145" cm="1">
        <f t="array" ref="P145:U145">_xlfn.XLOOKUP(A145&amp;B145,'[1]2.4自动化报表-8月获客数据-非乱码'!$A:$A&amp;'[1]2.4自动化报表-8月获客数据-非乱码'!$B:$B,'[1]2.4自动化报表-8月获客数据-非乱码'!$C:$H)</f>
        <v>2100</v>
      </c>
      <c r="Q145">
        <v>2047</v>
      </c>
      <c r="R145">
        <v>1968</v>
      </c>
      <c r="S145">
        <v>1268</v>
      </c>
      <c r="T145">
        <v>706</v>
      </c>
      <c r="U145">
        <v>690</v>
      </c>
    </row>
    <row r="146" spans="1:21" x14ac:dyDescent="0.3">
      <c r="A146" s="1">
        <v>44049</v>
      </c>
      <c r="B146" t="s">
        <v>28</v>
      </c>
      <c r="C146" t="s">
        <v>97</v>
      </c>
      <c r="D146" t="s">
        <v>64</v>
      </c>
      <c r="E146" t="s">
        <v>102</v>
      </c>
      <c r="F146" s="2">
        <v>44002</v>
      </c>
      <c r="G146" s="2">
        <v>4705</v>
      </c>
      <c r="H146">
        <v>0</v>
      </c>
      <c r="I146" t="str">
        <f>_xlfn.XLOOKUP($C146,战区信息!$A$1:$A$5,战区信息!$B$1:$B$5)</f>
        <v>003</v>
      </c>
      <c r="J146" t="str">
        <f>_xlfn.XLOOKUP($C146,战区信息!$A$1:$A$5,战区信息!$C$1:$C$5)</f>
        <v>田楠</v>
      </c>
      <c r="K146" t="str">
        <f>_xlfn.XLOOKUP($C146,战区信息!$A$1:$A$5,战区信息!$D$1:$D$5)</f>
        <v>二级战区</v>
      </c>
      <c r="L146" t="str">
        <f>_xlfn.XLOOKUP($D146,城市信息!$B$1:$B$14,城市信息!$A$1:$A$14)</f>
        <v>009</v>
      </c>
      <c r="M146" t="str">
        <f>_xlfn.XLOOKUP($D146,城市信息!$B$1:$B$14,城市信息!$C$1:$C$14)</f>
        <v>叶超</v>
      </c>
      <c r="N146" t="str">
        <f>_xlfn.XLOOKUP($D146,城市信息!$B$1:$B$14,城市信息!$D$1:$D$14)</f>
        <v>二线</v>
      </c>
      <c r="O146">
        <f>_xlfn.XLOOKUP($D146,城市信息!$B$1:$B$14,城市信息!$E$1:$E$14)</f>
        <v>9016</v>
      </c>
      <c r="P146" cm="1">
        <f t="array" ref="P146:U146">_xlfn.XLOOKUP(A146&amp;B146,'[1]2.4自动化报表-8月获客数据-非乱码'!$A:$A&amp;'[1]2.4自动化报表-8月获客数据-非乱码'!$B:$B,'[1]2.4自动化报表-8月获客数据-非乱码'!$C:$H)</f>
        <v>672</v>
      </c>
      <c r="Q146">
        <v>662</v>
      </c>
      <c r="R146">
        <v>643</v>
      </c>
      <c r="S146">
        <v>443</v>
      </c>
      <c r="T146">
        <v>209</v>
      </c>
      <c r="U146">
        <v>692</v>
      </c>
    </row>
    <row r="147" spans="1:21" x14ac:dyDescent="0.3">
      <c r="A147" s="1">
        <v>44049</v>
      </c>
      <c r="B147" t="s">
        <v>27</v>
      </c>
      <c r="C147" t="s">
        <v>103</v>
      </c>
      <c r="D147" t="s">
        <v>63</v>
      </c>
      <c r="E147" t="s">
        <v>104</v>
      </c>
      <c r="F147" s="2">
        <v>93536</v>
      </c>
      <c r="G147" s="2">
        <v>8053</v>
      </c>
      <c r="H147">
        <v>0</v>
      </c>
      <c r="I147" t="str">
        <f>_xlfn.XLOOKUP($C147,战区信息!$A$1:$A$5,战区信息!$B$1:$B$5)</f>
        <v>002</v>
      </c>
      <c r="J147" t="str">
        <f>_xlfn.XLOOKUP($C147,战区信息!$A$1:$A$5,战区信息!$C$1:$C$5)</f>
        <v>高安平</v>
      </c>
      <c r="K147" t="str">
        <f>_xlfn.XLOOKUP($C147,战区信息!$A$1:$A$5,战区信息!$D$1:$D$5)</f>
        <v>二级战区</v>
      </c>
      <c r="L147" t="str">
        <f>_xlfn.XLOOKUP($D147,城市信息!$B$1:$B$14,城市信息!$A$1:$A$14)</f>
        <v>008</v>
      </c>
      <c r="M147" t="str">
        <f>_xlfn.XLOOKUP($D147,城市信息!$B$1:$B$14,城市信息!$C$1:$C$14)</f>
        <v>高弘壮</v>
      </c>
      <c r="N147" t="str">
        <f>_xlfn.XLOOKUP($D147,城市信息!$B$1:$B$14,城市信息!$D$1:$D$14)</f>
        <v>一线</v>
      </c>
      <c r="O147">
        <f>_xlfn.XLOOKUP($D147,城市信息!$B$1:$B$14,城市信息!$E$1:$E$14)</f>
        <v>11498</v>
      </c>
      <c r="P147" cm="1">
        <f t="array" ref="P147:U147">_xlfn.XLOOKUP(A147&amp;B147,'[1]2.4自动化报表-8月获客数据-非乱码'!$A:$A&amp;'[1]2.4自动化报表-8月获客数据-非乱码'!$B:$B,'[1]2.4自动化报表-8月获客数据-非乱码'!$C:$H)</f>
        <v>3823</v>
      </c>
      <c r="Q147">
        <v>3708</v>
      </c>
      <c r="R147">
        <v>3535</v>
      </c>
      <c r="S147">
        <v>2103</v>
      </c>
      <c r="T147">
        <v>1122</v>
      </c>
      <c r="U147">
        <v>689</v>
      </c>
    </row>
    <row r="148" spans="1:21" x14ac:dyDescent="0.3">
      <c r="A148" s="1">
        <v>44049</v>
      </c>
      <c r="B148" t="s">
        <v>26</v>
      </c>
      <c r="C148" t="s">
        <v>103</v>
      </c>
      <c r="D148" t="s">
        <v>57</v>
      </c>
      <c r="E148" t="s">
        <v>105</v>
      </c>
      <c r="F148" s="2">
        <v>181979</v>
      </c>
      <c r="G148" s="2">
        <v>17893</v>
      </c>
      <c r="H148">
        <v>0</v>
      </c>
      <c r="I148" t="str">
        <f>_xlfn.XLOOKUP($C148,战区信息!$A$1:$A$5,战区信息!$B$1:$B$5)</f>
        <v>002</v>
      </c>
      <c r="J148" t="str">
        <f>_xlfn.XLOOKUP($C148,战区信息!$A$1:$A$5,战区信息!$C$1:$C$5)</f>
        <v>高安平</v>
      </c>
      <c r="K148" t="str">
        <f>_xlfn.XLOOKUP($C148,战区信息!$A$1:$A$5,战区信息!$D$1:$D$5)</f>
        <v>二级战区</v>
      </c>
      <c r="L148" t="str">
        <f>_xlfn.XLOOKUP($D148,城市信息!$B$1:$B$14,城市信息!$A$1:$A$14)</f>
        <v>002</v>
      </c>
      <c r="M148" t="str">
        <f>_xlfn.XLOOKUP($D148,城市信息!$B$1:$B$14,城市信息!$C$1:$C$14)</f>
        <v>孙乒</v>
      </c>
      <c r="N148" t="str">
        <f>_xlfn.XLOOKUP($D148,城市信息!$B$1:$B$14,城市信息!$D$1:$D$14)</f>
        <v>一线</v>
      </c>
      <c r="O148">
        <f>_xlfn.XLOOKUP($D148,城市信息!$B$1:$B$14,城市信息!$E$1:$E$14)</f>
        <v>9854</v>
      </c>
      <c r="P148" cm="1">
        <f t="array" ref="P148:U148">_xlfn.XLOOKUP(A148&amp;B148,'[1]2.4自动化报表-8月获客数据-非乱码'!$A:$A&amp;'[1]2.4自动化报表-8月获客数据-非乱码'!$B:$B,'[1]2.4自动化报表-8月获客数据-非乱码'!$C:$H)</f>
        <v>6321</v>
      </c>
      <c r="Q148">
        <v>6162</v>
      </c>
      <c r="R148">
        <v>5897</v>
      </c>
      <c r="S148">
        <v>3709</v>
      </c>
      <c r="T148">
        <v>2046</v>
      </c>
      <c r="U148">
        <v>688</v>
      </c>
    </row>
    <row r="149" spans="1:21" x14ac:dyDescent="0.3">
      <c r="A149" s="1">
        <v>44049</v>
      </c>
      <c r="B149" t="s">
        <v>25</v>
      </c>
      <c r="C149" t="s">
        <v>103</v>
      </c>
      <c r="D149" t="s">
        <v>57</v>
      </c>
      <c r="E149" t="s">
        <v>106</v>
      </c>
      <c r="F149" s="2">
        <v>67549</v>
      </c>
      <c r="G149" s="2">
        <v>7364</v>
      </c>
      <c r="H149" s="2">
        <v>14410</v>
      </c>
      <c r="I149" t="str">
        <f>_xlfn.XLOOKUP($C149,战区信息!$A$1:$A$5,战区信息!$B$1:$B$5)</f>
        <v>002</v>
      </c>
      <c r="J149" t="str">
        <f>_xlfn.XLOOKUP($C149,战区信息!$A$1:$A$5,战区信息!$C$1:$C$5)</f>
        <v>高安平</v>
      </c>
      <c r="K149" t="str">
        <f>_xlfn.XLOOKUP($C149,战区信息!$A$1:$A$5,战区信息!$D$1:$D$5)</f>
        <v>二级战区</v>
      </c>
      <c r="L149" t="str">
        <f>_xlfn.XLOOKUP($D149,城市信息!$B$1:$B$14,城市信息!$A$1:$A$14)</f>
        <v>002</v>
      </c>
      <c r="M149" t="str">
        <f>_xlfn.XLOOKUP($D149,城市信息!$B$1:$B$14,城市信息!$C$1:$C$14)</f>
        <v>孙乒</v>
      </c>
      <c r="N149" t="str">
        <f>_xlfn.XLOOKUP($D149,城市信息!$B$1:$B$14,城市信息!$D$1:$D$14)</f>
        <v>一线</v>
      </c>
      <c r="O149">
        <f>_xlfn.XLOOKUP($D149,城市信息!$B$1:$B$14,城市信息!$E$1:$E$14)</f>
        <v>9854</v>
      </c>
      <c r="P149" cm="1">
        <f t="array" ref="P149:U149">_xlfn.XLOOKUP(A149&amp;B149,'[1]2.4自动化报表-8月获客数据-非乱码'!$A:$A&amp;'[1]2.4自动化报表-8月获客数据-非乱码'!$B:$B,'[1]2.4自动化报表-8月获客数据-非乱码'!$C:$H)</f>
        <v>3328</v>
      </c>
      <c r="Q149">
        <v>3241</v>
      </c>
      <c r="R149">
        <v>3067</v>
      </c>
      <c r="S149">
        <v>1811</v>
      </c>
      <c r="T149">
        <v>997</v>
      </c>
      <c r="U149">
        <v>688</v>
      </c>
    </row>
    <row r="150" spans="1:21" x14ac:dyDescent="0.3">
      <c r="A150" s="1">
        <v>44049</v>
      </c>
      <c r="B150" t="s">
        <v>24</v>
      </c>
      <c r="C150" t="s">
        <v>103</v>
      </c>
      <c r="D150" t="s">
        <v>57</v>
      </c>
      <c r="E150" t="s">
        <v>107</v>
      </c>
      <c r="F150" s="2">
        <v>86202</v>
      </c>
      <c r="G150" s="2">
        <v>7081</v>
      </c>
      <c r="H150">
        <v>0</v>
      </c>
      <c r="I150" t="str">
        <f>_xlfn.XLOOKUP($C150,战区信息!$A$1:$A$5,战区信息!$B$1:$B$5)</f>
        <v>002</v>
      </c>
      <c r="J150" t="str">
        <f>_xlfn.XLOOKUP($C150,战区信息!$A$1:$A$5,战区信息!$C$1:$C$5)</f>
        <v>高安平</v>
      </c>
      <c r="K150" t="str">
        <f>_xlfn.XLOOKUP($C150,战区信息!$A$1:$A$5,战区信息!$D$1:$D$5)</f>
        <v>二级战区</v>
      </c>
      <c r="L150" t="str">
        <f>_xlfn.XLOOKUP($D150,城市信息!$B$1:$B$14,城市信息!$A$1:$A$14)</f>
        <v>002</v>
      </c>
      <c r="M150" t="str">
        <f>_xlfn.XLOOKUP($D150,城市信息!$B$1:$B$14,城市信息!$C$1:$C$14)</f>
        <v>孙乒</v>
      </c>
      <c r="N150" t="str">
        <f>_xlfn.XLOOKUP($D150,城市信息!$B$1:$B$14,城市信息!$D$1:$D$14)</f>
        <v>一线</v>
      </c>
      <c r="O150">
        <f>_xlfn.XLOOKUP($D150,城市信息!$B$1:$B$14,城市信息!$E$1:$E$14)</f>
        <v>9854</v>
      </c>
      <c r="P150" cm="1">
        <f t="array" ref="P150:U150">_xlfn.XLOOKUP(A150&amp;B150,'[1]2.4自动化报表-8月获客数据-非乱码'!$A:$A&amp;'[1]2.4自动化报表-8月获客数据-非乱码'!$B:$B,'[1]2.4自动化报表-8月获客数据-非乱码'!$C:$H)</f>
        <v>3114</v>
      </c>
      <c r="Q150">
        <v>3063</v>
      </c>
      <c r="R150">
        <v>2939</v>
      </c>
      <c r="S150">
        <v>1851</v>
      </c>
      <c r="T150">
        <v>1069</v>
      </c>
      <c r="U150">
        <v>690</v>
      </c>
    </row>
    <row r="151" spans="1:21" x14ac:dyDescent="0.3">
      <c r="A151" s="1">
        <v>44049</v>
      </c>
      <c r="B151" t="s">
        <v>23</v>
      </c>
      <c r="C151" t="s">
        <v>108</v>
      </c>
      <c r="D151" t="s">
        <v>109</v>
      </c>
      <c r="E151" t="s">
        <v>110</v>
      </c>
      <c r="F151" s="2">
        <v>181159</v>
      </c>
      <c r="G151" s="2">
        <v>16389</v>
      </c>
      <c r="H151" s="2">
        <v>3587</v>
      </c>
      <c r="I151" t="str">
        <f>_xlfn.XLOOKUP($C151,战区信息!$A$1:$A$5,战区信息!$B$1:$B$5)</f>
        <v>001</v>
      </c>
      <c r="J151" t="str">
        <f>_xlfn.XLOOKUP($C151,战区信息!$A$1:$A$5,战区信息!$C$1:$C$5)</f>
        <v>江永</v>
      </c>
      <c r="K151" t="str">
        <f>_xlfn.XLOOKUP($C151,战区信息!$A$1:$A$5,战区信息!$D$1:$D$5)</f>
        <v>一级战区</v>
      </c>
      <c r="L151" t="str">
        <f>_xlfn.XLOOKUP($D151,城市信息!$B$1:$B$14,城市信息!$A$1:$A$14)</f>
        <v>013</v>
      </c>
      <c r="M151" t="str">
        <f>_xlfn.XLOOKUP($D151,城市信息!$B$1:$B$14,城市信息!$C$1:$C$14)</f>
        <v>张建</v>
      </c>
      <c r="N151" t="str">
        <f>_xlfn.XLOOKUP($D151,城市信息!$B$1:$B$14,城市信息!$D$1:$D$14)</f>
        <v>二线</v>
      </c>
      <c r="O151">
        <f>_xlfn.XLOOKUP($D151,城市信息!$B$1:$B$14,城市信息!$E$1:$E$14)</f>
        <v>8800</v>
      </c>
      <c r="P151" cm="1">
        <f t="array" ref="P151:U151">_xlfn.XLOOKUP(A151&amp;B151,'[1]2.4自动化报表-8月获客数据-非乱码'!$A:$A&amp;'[1]2.4自动化报表-8月获客数据-非乱码'!$B:$B,'[1]2.4自动化报表-8月获客数据-非乱码'!$C:$H)</f>
        <v>5050</v>
      </c>
      <c r="Q151">
        <v>4887</v>
      </c>
      <c r="R151">
        <v>4658</v>
      </c>
      <c r="S151">
        <v>2805</v>
      </c>
      <c r="T151">
        <v>1458</v>
      </c>
      <c r="U151">
        <v>694</v>
      </c>
    </row>
    <row r="152" spans="1:21" x14ac:dyDescent="0.3">
      <c r="A152" s="1">
        <v>44049</v>
      </c>
      <c r="B152" t="s">
        <v>22</v>
      </c>
      <c r="C152" t="s">
        <v>108</v>
      </c>
      <c r="D152" t="s">
        <v>109</v>
      </c>
      <c r="E152" t="s">
        <v>111</v>
      </c>
      <c r="F152" s="2">
        <v>12504</v>
      </c>
      <c r="G152">
        <v>780</v>
      </c>
      <c r="H152" s="2">
        <v>9000</v>
      </c>
      <c r="I152" t="str">
        <f>_xlfn.XLOOKUP($C152,战区信息!$A$1:$A$5,战区信息!$B$1:$B$5)</f>
        <v>001</v>
      </c>
      <c r="J152" t="str">
        <f>_xlfn.XLOOKUP($C152,战区信息!$A$1:$A$5,战区信息!$C$1:$C$5)</f>
        <v>江永</v>
      </c>
      <c r="K152" t="str">
        <f>_xlfn.XLOOKUP($C152,战区信息!$A$1:$A$5,战区信息!$D$1:$D$5)</f>
        <v>一级战区</v>
      </c>
      <c r="L152" t="str">
        <f>_xlfn.XLOOKUP($D152,城市信息!$B$1:$B$14,城市信息!$A$1:$A$14)</f>
        <v>013</v>
      </c>
      <c r="M152" t="str">
        <f>_xlfn.XLOOKUP($D152,城市信息!$B$1:$B$14,城市信息!$C$1:$C$14)</f>
        <v>张建</v>
      </c>
      <c r="N152" t="str">
        <f>_xlfn.XLOOKUP($D152,城市信息!$B$1:$B$14,城市信息!$D$1:$D$14)</f>
        <v>二线</v>
      </c>
      <c r="O152">
        <f>_xlfn.XLOOKUP($D152,城市信息!$B$1:$B$14,城市信息!$E$1:$E$14)</f>
        <v>8800</v>
      </c>
      <c r="P152" cm="1">
        <f t="array" ref="P152:U152">_xlfn.XLOOKUP(A152&amp;B152,'[1]2.4自动化报表-8月获客数据-非乱码'!$A:$A&amp;'[1]2.4自动化报表-8月获客数据-非乱码'!$B:$B,'[1]2.4自动化报表-8月获客数据-非乱码'!$C:$H)</f>
        <v>378</v>
      </c>
      <c r="Q152">
        <v>369</v>
      </c>
      <c r="R152">
        <v>352</v>
      </c>
      <c r="S152">
        <v>205</v>
      </c>
      <c r="T152">
        <v>128</v>
      </c>
      <c r="U152">
        <v>690</v>
      </c>
    </row>
    <row r="153" spans="1:21" x14ac:dyDescent="0.3">
      <c r="A153" s="1">
        <v>44049</v>
      </c>
      <c r="B153" t="s">
        <v>21</v>
      </c>
      <c r="C153" t="s">
        <v>108</v>
      </c>
      <c r="D153" t="s">
        <v>109</v>
      </c>
      <c r="E153" t="s">
        <v>112</v>
      </c>
      <c r="F153" s="2">
        <v>223532</v>
      </c>
      <c r="G153" s="2">
        <v>20863</v>
      </c>
      <c r="H153" s="2">
        <v>3355</v>
      </c>
      <c r="I153" t="str">
        <f>_xlfn.XLOOKUP($C153,战区信息!$A$1:$A$5,战区信息!$B$1:$B$5)</f>
        <v>001</v>
      </c>
      <c r="J153" t="str">
        <f>_xlfn.XLOOKUP($C153,战区信息!$A$1:$A$5,战区信息!$C$1:$C$5)</f>
        <v>江永</v>
      </c>
      <c r="K153" t="str">
        <f>_xlfn.XLOOKUP($C153,战区信息!$A$1:$A$5,战区信息!$D$1:$D$5)</f>
        <v>一级战区</v>
      </c>
      <c r="L153" t="str">
        <f>_xlfn.XLOOKUP($D153,城市信息!$B$1:$B$14,城市信息!$A$1:$A$14)</f>
        <v>013</v>
      </c>
      <c r="M153" t="str">
        <f>_xlfn.XLOOKUP($D153,城市信息!$B$1:$B$14,城市信息!$C$1:$C$14)</f>
        <v>张建</v>
      </c>
      <c r="N153" t="str">
        <f>_xlfn.XLOOKUP($D153,城市信息!$B$1:$B$14,城市信息!$D$1:$D$14)</f>
        <v>二线</v>
      </c>
      <c r="O153">
        <f>_xlfn.XLOOKUP($D153,城市信息!$B$1:$B$14,城市信息!$E$1:$E$14)</f>
        <v>8800</v>
      </c>
      <c r="P153" cm="1">
        <f t="array" ref="P153:U153">_xlfn.XLOOKUP(A153&amp;B153,'[1]2.4自动化报表-8月获客数据-非乱码'!$A:$A&amp;'[1]2.4自动化报表-8月获客数据-非乱码'!$B:$B,'[1]2.4自动化报表-8月获客数据-非乱码'!$C:$H)</f>
        <v>6799</v>
      </c>
      <c r="Q153">
        <v>6525</v>
      </c>
      <c r="R153">
        <v>6213</v>
      </c>
      <c r="S153">
        <v>3589</v>
      </c>
      <c r="T153">
        <v>1974</v>
      </c>
      <c r="U153">
        <v>696</v>
      </c>
    </row>
    <row r="154" spans="1:21" x14ac:dyDescent="0.3">
      <c r="A154" s="1">
        <v>44049</v>
      </c>
      <c r="B154" t="s">
        <v>20</v>
      </c>
      <c r="C154" t="s">
        <v>108</v>
      </c>
      <c r="D154" t="s">
        <v>56</v>
      </c>
      <c r="E154" t="s">
        <v>113</v>
      </c>
      <c r="F154" s="2">
        <v>202240</v>
      </c>
      <c r="G154" s="2">
        <v>20711</v>
      </c>
      <c r="H154" s="2">
        <v>17564</v>
      </c>
      <c r="I154" t="str">
        <f>_xlfn.XLOOKUP($C154,战区信息!$A$1:$A$5,战区信息!$B$1:$B$5)</f>
        <v>001</v>
      </c>
      <c r="J154" t="str">
        <f>_xlfn.XLOOKUP($C154,战区信息!$A$1:$A$5,战区信息!$C$1:$C$5)</f>
        <v>江永</v>
      </c>
      <c r="K154" t="str">
        <f>_xlfn.XLOOKUP($C154,战区信息!$A$1:$A$5,战区信息!$D$1:$D$5)</f>
        <v>一级战区</v>
      </c>
      <c r="L154" t="str">
        <f>_xlfn.XLOOKUP($D154,城市信息!$B$1:$B$14,城市信息!$A$1:$A$14)</f>
        <v>001</v>
      </c>
      <c r="M154" t="str">
        <f>_xlfn.XLOOKUP($D154,城市信息!$B$1:$B$14,城市信息!$C$1:$C$14)</f>
        <v>吴刚</v>
      </c>
      <c r="N154" t="str">
        <f>_xlfn.XLOOKUP($D154,城市信息!$B$1:$B$14,城市信息!$D$1:$D$14)</f>
        <v>一线</v>
      </c>
      <c r="O154">
        <f>_xlfn.XLOOKUP($D154,城市信息!$B$1:$B$14,城市信息!$E$1:$E$14)</f>
        <v>12114</v>
      </c>
      <c r="P154" cm="1">
        <f t="array" ref="P154:U154">_xlfn.XLOOKUP(A154&amp;B154,'[1]2.4自动化报表-8月获客数据-非乱码'!$A:$A&amp;'[1]2.4自动化报表-8月获客数据-非乱码'!$B:$B,'[1]2.4自动化报表-8月获客数据-非乱码'!$C:$H)</f>
        <v>6397</v>
      </c>
      <c r="Q154">
        <v>6206</v>
      </c>
      <c r="R154">
        <v>5971</v>
      </c>
      <c r="S154">
        <v>3604</v>
      </c>
      <c r="T154">
        <v>1997</v>
      </c>
      <c r="U154">
        <v>693</v>
      </c>
    </row>
    <row r="155" spans="1:21" x14ac:dyDescent="0.3">
      <c r="A155" s="1">
        <v>44049</v>
      </c>
      <c r="B155" t="s">
        <v>19</v>
      </c>
      <c r="C155" t="s">
        <v>108</v>
      </c>
      <c r="D155" t="s">
        <v>56</v>
      </c>
      <c r="E155" t="s">
        <v>114</v>
      </c>
      <c r="F155" s="2">
        <v>117014</v>
      </c>
      <c r="G155" s="2">
        <v>11675</v>
      </c>
      <c r="H155">
        <v>0</v>
      </c>
      <c r="I155" t="str">
        <f>_xlfn.XLOOKUP($C155,战区信息!$A$1:$A$5,战区信息!$B$1:$B$5)</f>
        <v>001</v>
      </c>
      <c r="J155" t="str">
        <f>_xlfn.XLOOKUP($C155,战区信息!$A$1:$A$5,战区信息!$C$1:$C$5)</f>
        <v>江永</v>
      </c>
      <c r="K155" t="str">
        <f>_xlfn.XLOOKUP($C155,战区信息!$A$1:$A$5,战区信息!$D$1:$D$5)</f>
        <v>一级战区</v>
      </c>
      <c r="L155" t="str">
        <f>_xlfn.XLOOKUP($D155,城市信息!$B$1:$B$14,城市信息!$A$1:$A$14)</f>
        <v>001</v>
      </c>
      <c r="M155" t="str">
        <f>_xlfn.XLOOKUP($D155,城市信息!$B$1:$B$14,城市信息!$C$1:$C$14)</f>
        <v>吴刚</v>
      </c>
      <c r="N155" t="str">
        <f>_xlfn.XLOOKUP($D155,城市信息!$B$1:$B$14,城市信息!$D$1:$D$14)</f>
        <v>一线</v>
      </c>
      <c r="O155">
        <f>_xlfn.XLOOKUP($D155,城市信息!$B$1:$B$14,城市信息!$E$1:$E$14)</f>
        <v>12114</v>
      </c>
      <c r="P155" cm="1">
        <f t="array" ref="P155:U155">_xlfn.XLOOKUP(A155&amp;B155,'[1]2.4自动化报表-8月获客数据-非乱码'!$A:$A&amp;'[1]2.4自动化报表-8月获客数据-非乱码'!$B:$B,'[1]2.4自动化报表-8月获客数据-非乱码'!$C:$H)</f>
        <v>2925</v>
      </c>
      <c r="Q155">
        <v>2858</v>
      </c>
      <c r="R155">
        <v>2747</v>
      </c>
      <c r="S155">
        <v>1612</v>
      </c>
      <c r="T155">
        <v>968</v>
      </c>
      <c r="U155">
        <v>696</v>
      </c>
    </row>
    <row r="156" spans="1:21" x14ac:dyDescent="0.3">
      <c r="A156" s="1">
        <v>44049</v>
      </c>
      <c r="B156" t="s">
        <v>18</v>
      </c>
      <c r="C156" t="s">
        <v>108</v>
      </c>
      <c r="D156" t="s">
        <v>56</v>
      </c>
      <c r="E156" t="s">
        <v>115</v>
      </c>
      <c r="F156" s="2">
        <v>154385</v>
      </c>
      <c r="G156" s="2">
        <v>14967</v>
      </c>
      <c r="H156" s="2">
        <v>1677</v>
      </c>
      <c r="I156" t="str">
        <f>_xlfn.XLOOKUP($C156,战区信息!$A$1:$A$5,战区信息!$B$1:$B$5)</f>
        <v>001</v>
      </c>
      <c r="J156" t="str">
        <f>_xlfn.XLOOKUP($C156,战区信息!$A$1:$A$5,战区信息!$C$1:$C$5)</f>
        <v>江永</v>
      </c>
      <c r="K156" t="str">
        <f>_xlfn.XLOOKUP($C156,战区信息!$A$1:$A$5,战区信息!$D$1:$D$5)</f>
        <v>一级战区</v>
      </c>
      <c r="L156" t="str">
        <f>_xlfn.XLOOKUP($D156,城市信息!$B$1:$B$14,城市信息!$A$1:$A$14)</f>
        <v>001</v>
      </c>
      <c r="M156" t="str">
        <f>_xlfn.XLOOKUP($D156,城市信息!$B$1:$B$14,城市信息!$C$1:$C$14)</f>
        <v>吴刚</v>
      </c>
      <c r="N156" t="str">
        <f>_xlfn.XLOOKUP($D156,城市信息!$B$1:$B$14,城市信息!$D$1:$D$14)</f>
        <v>一线</v>
      </c>
      <c r="O156">
        <f>_xlfn.XLOOKUP($D156,城市信息!$B$1:$B$14,城市信息!$E$1:$E$14)</f>
        <v>12114</v>
      </c>
      <c r="P156" cm="1">
        <f t="array" ref="P156:U156">_xlfn.XLOOKUP(A156&amp;B156,'[1]2.4自动化报表-8月获客数据-非乱码'!$A:$A&amp;'[1]2.4自动化报表-8月获客数据-非乱码'!$B:$B,'[1]2.4自动化报表-8月获客数据-非乱码'!$C:$H)</f>
        <v>3563</v>
      </c>
      <c r="Q156">
        <v>3506</v>
      </c>
      <c r="R156">
        <v>3361</v>
      </c>
      <c r="S156">
        <v>2021</v>
      </c>
      <c r="T156">
        <v>1074</v>
      </c>
      <c r="U156">
        <v>690</v>
      </c>
    </row>
    <row r="157" spans="1:21" x14ac:dyDescent="0.3">
      <c r="A157" s="1">
        <v>44049</v>
      </c>
      <c r="B157" t="s">
        <v>17</v>
      </c>
      <c r="C157" t="s">
        <v>108</v>
      </c>
      <c r="D157" t="s">
        <v>59</v>
      </c>
      <c r="E157" t="s">
        <v>116</v>
      </c>
      <c r="F157" s="2">
        <v>132324</v>
      </c>
      <c r="G157" s="2">
        <v>13364</v>
      </c>
      <c r="H157">
        <v>0</v>
      </c>
      <c r="I157" t="str">
        <f>_xlfn.XLOOKUP($C157,战区信息!$A$1:$A$5,战区信息!$B$1:$B$5)</f>
        <v>001</v>
      </c>
      <c r="J157" t="str">
        <f>_xlfn.XLOOKUP($C157,战区信息!$A$1:$A$5,战区信息!$C$1:$C$5)</f>
        <v>江永</v>
      </c>
      <c r="K157" t="str">
        <f>_xlfn.XLOOKUP($C157,战区信息!$A$1:$A$5,战区信息!$D$1:$D$5)</f>
        <v>一级战区</v>
      </c>
      <c r="L157" t="str">
        <f>_xlfn.XLOOKUP($D157,城市信息!$B$1:$B$14,城市信息!$A$1:$A$14)</f>
        <v>004</v>
      </c>
      <c r="M157" t="str">
        <f>_xlfn.XLOOKUP($D157,城市信息!$B$1:$B$14,城市信息!$C$1:$C$14)</f>
        <v>苏川</v>
      </c>
      <c r="N157" t="str">
        <f>_xlfn.XLOOKUP($D157,城市信息!$B$1:$B$14,城市信息!$D$1:$D$14)</f>
        <v>二线</v>
      </c>
      <c r="O157">
        <f>_xlfn.XLOOKUP($D157,城市信息!$B$1:$B$14,城市信息!$E$1:$E$14)</f>
        <v>9912</v>
      </c>
      <c r="P157" cm="1">
        <f t="array" ref="P157:U157">_xlfn.XLOOKUP(A157&amp;B157,'[1]2.4自动化报表-8月获客数据-非乱码'!$A:$A&amp;'[1]2.4自动化报表-8月获客数据-非乱码'!$B:$B,'[1]2.4自动化报表-8月获客数据-非乱码'!$C:$H)</f>
        <v>3124</v>
      </c>
      <c r="Q157">
        <v>3056</v>
      </c>
      <c r="R157">
        <v>2959</v>
      </c>
      <c r="S157">
        <v>1702</v>
      </c>
      <c r="T157">
        <v>963</v>
      </c>
      <c r="U157">
        <v>696</v>
      </c>
    </row>
    <row r="158" spans="1:21" x14ac:dyDescent="0.3">
      <c r="A158" s="1">
        <v>44049</v>
      </c>
      <c r="B158" t="s">
        <v>16</v>
      </c>
      <c r="C158" t="s">
        <v>108</v>
      </c>
      <c r="D158" t="s">
        <v>59</v>
      </c>
      <c r="E158" t="s">
        <v>117</v>
      </c>
      <c r="F158" s="2">
        <v>13001</v>
      </c>
      <c r="G158" s="2">
        <v>2496</v>
      </c>
      <c r="H158">
        <v>0</v>
      </c>
      <c r="I158" t="str">
        <f>_xlfn.XLOOKUP($C158,战区信息!$A$1:$A$5,战区信息!$B$1:$B$5)</f>
        <v>001</v>
      </c>
      <c r="J158" t="str">
        <f>_xlfn.XLOOKUP($C158,战区信息!$A$1:$A$5,战区信息!$C$1:$C$5)</f>
        <v>江永</v>
      </c>
      <c r="K158" t="str">
        <f>_xlfn.XLOOKUP($C158,战区信息!$A$1:$A$5,战区信息!$D$1:$D$5)</f>
        <v>一级战区</v>
      </c>
      <c r="L158" t="str">
        <f>_xlfn.XLOOKUP($D158,城市信息!$B$1:$B$14,城市信息!$A$1:$A$14)</f>
        <v>004</v>
      </c>
      <c r="M158" t="str">
        <f>_xlfn.XLOOKUP($D158,城市信息!$B$1:$B$14,城市信息!$C$1:$C$14)</f>
        <v>苏川</v>
      </c>
      <c r="N158" t="str">
        <f>_xlfn.XLOOKUP($D158,城市信息!$B$1:$B$14,城市信息!$D$1:$D$14)</f>
        <v>二线</v>
      </c>
      <c r="O158">
        <f>_xlfn.XLOOKUP($D158,城市信息!$B$1:$B$14,城市信息!$E$1:$E$14)</f>
        <v>9912</v>
      </c>
      <c r="P158" cm="1">
        <f t="array" ref="P158:U158">_xlfn.XLOOKUP(A158&amp;B158,'[1]2.4自动化报表-8月获客数据-非乱码'!$A:$A&amp;'[1]2.4自动化报表-8月获客数据-非乱码'!$B:$B,'[1]2.4自动化报表-8月获客数据-非乱码'!$C:$H)</f>
        <v>1701</v>
      </c>
      <c r="Q158">
        <v>1648</v>
      </c>
      <c r="R158">
        <v>1570</v>
      </c>
      <c r="S158">
        <v>867</v>
      </c>
      <c r="T158">
        <v>479</v>
      </c>
      <c r="U158">
        <v>695</v>
      </c>
    </row>
    <row r="159" spans="1:21" x14ac:dyDescent="0.3">
      <c r="A159" s="1">
        <v>44049</v>
      </c>
      <c r="B159" t="s">
        <v>15</v>
      </c>
      <c r="C159" t="s">
        <v>108</v>
      </c>
      <c r="D159" t="s">
        <v>59</v>
      </c>
      <c r="E159" t="s">
        <v>118</v>
      </c>
      <c r="F159" s="2">
        <v>13010</v>
      </c>
      <c r="G159">
        <v>851</v>
      </c>
      <c r="H159">
        <v>0</v>
      </c>
      <c r="I159" t="str">
        <f>_xlfn.XLOOKUP($C159,战区信息!$A$1:$A$5,战区信息!$B$1:$B$5)</f>
        <v>001</v>
      </c>
      <c r="J159" t="str">
        <f>_xlfn.XLOOKUP($C159,战区信息!$A$1:$A$5,战区信息!$C$1:$C$5)</f>
        <v>江永</v>
      </c>
      <c r="K159" t="str">
        <f>_xlfn.XLOOKUP($C159,战区信息!$A$1:$A$5,战区信息!$D$1:$D$5)</f>
        <v>一级战区</v>
      </c>
      <c r="L159" t="str">
        <f>_xlfn.XLOOKUP($D159,城市信息!$B$1:$B$14,城市信息!$A$1:$A$14)</f>
        <v>004</v>
      </c>
      <c r="M159" t="str">
        <f>_xlfn.XLOOKUP($D159,城市信息!$B$1:$B$14,城市信息!$C$1:$C$14)</f>
        <v>苏川</v>
      </c>
      <c r="N159" t="str">
        <f>_xlfn.XLOOKUP($D159,城市信息!$B$1:$B$14,城市信息!$D$1:$D$14)</f>
        <v>二线</v>
      </c>
      <c r="O159">
        <f>_xlfn.XLOOKUP($D159,城市信息!$B$1:$B$14,城市信息!$E$1:$E$14)</f>
        <v>9912</v>
      </c>
      <c r="P159" cm="1">
        <f t="array" ref="P159:U159">_xlfn.XLOOKUP(A159&amp;B159,'[1]2.4自动化报表-8月获客数据-非乱码'!$A:$A&amp;'[1]2.4自动化报表-8月获客数据-非乱码'!$B:$B,'[1]2.4自动化报表-8月获客数据-非乱码'!$C:$H)</f>
        <v>1421</v>
      </c>
      <c r="Q159">
        <v>1387</v>
      </c>
      <c r="R159">
        <v>1330</v>
      </c>
      <c r="S159">
        <v>830</v>
      </c>
      <c r="T159">
        <v>383</v>
      </c>
      <c r="U159">
        <v>697</v>
      </c>
    </row>
    <row r="160" spans="1:21" x14ac:dyDescent="0.3">
      <c r="A160" s="1">
        <v>44049</v>
      </c>
      <c r="B160" t="s">
        <v>14</v>
      </c>
      <c r="C160" t="s">
        <v>108</v>
      </c>
      <c r="D160" t="s">
        <v>59</v>
      </c>
      <c r="E160" t="s">
        <v>119</v>
      </c>
      <c r="F160" s="2">
        <v>32683</v>
      </c>
      <c r="G160" s="2">
        <v>3267</v>
      </c>
      <c r="H160">
        <v>0</v>
      </c>
      <c r="I160" t="str">
        <f>_xlfn.XLOOKUP($C160,战区信息!$A$1:$A$5,战区信息!$B$1:$B$5)</f>
        <v>001</v>
      </c>
      <c r="J160" t="str">
        <f>_xlfn.XLOOKUP($C160,战区信息!$A$1:$A$5,战区信息!$C$1:$C$5)</f>
        <v>江永</v>
      </c>
      <c r="K160" t="str">
        <f>_xlfn.XLOOKUP($C160,战区信息!$A$1:$A$5,战区信息!$D$1:$D$5)</f>
        <v>一级战区</v>
      </c>
      <c r="L160" t="str">
        <f>_xlfn.XLOOKUP($D160,城市信息!$B$1:$B$14,城市信息!$A$1:$A$14)</f>
        <v>004</v>
      </c>
      <c r="M160" t="str">
        <f>_xlfn.XLOOKUP($D160,城市信息!$B$1:$B$14,城市信息!$C$1:$C$14)</f>
        <v>苏川</v>
      </c>
      <c r="N160" t="str">
        <f>_xlfn.XLOOKUP($D160,城市信息!$B$1:$B$14,城市信息!$D$1:$D$14)</f>
        <v>二线</v>
      </c>
      <c r="O160">
        <f>_xlfn.XLOOKUP($D160,城市信息!$B$1:$B$14,城市信息!$E$1:$E$14)</f>
        <v>9912</v>
      </c>
      <c r="P160" cm="1">
        <f t="array" ref="P160:U160">_xlfn.XLOOKUP(A160&amp;B160,'[1]2.4自动化报表-8月获客数据-非乱码'!$A:$A&amp;'[1]2.4自动化报表-8月获客数据-非乱码'!$B:$B,'[1]2.4自动化报表-8月获客数据-非乱码'!$C:$H)</f>
        <v>1931</v>
      </c>
      <c r="Q160">
        <v>1870</v>
      </c>
      <c r="R160">
        <v>1794</v>
      </c>
      <c r="S160">
        <v>1095</v>
      </c>
      <c r="T160">
        <v>574</v>
      </c>
      <c r="U160">
        <v>695</v>
      </c>
    </row>
    <row r="161" spans="1:21" x14ac:dyDescent="0.3">
      <c r="A161" s="1">
        <v>44049</v>
      </c>
      <c r="B161" t="s">
        <v>13</v>
      </c>
      <c r="C161" t="s">
        <v>108</v>
      </c>
      <c r="D161" t="s">
        <v>60</v>
      </c>
      <c r="E161" t="s">
        <v>120</v>
      </c>
      <c r="F161" s="2">
        <v>201200</v>
      </c>
      <c r="G161" s="2">
        <v>19386</v>
      </c>
      <c r="H161" s="2">
        <v>12001</v>
      </c>
      <c r="I161" t="str">
        <f>_xlfn.XLOOKUP($C161,战区信息!$A$1:$A$5,战区信息!$B$1:$B$5)</f>
        <v>001</v>
      </c>
      <c r="J161" t="str">
        <f>_xlfn.XLOOKUP($C161,战区信息!$A$1:$A$5,战区信息!$C$1:$C$5)</f>
        <v>江永</v>
      </c>
      <c r="K161" t="str">
        <f>_xlfn.XLOOKUP($C161,战区信息!$A$1:$A$5,战区信息!$D$1:$D$5)</f>
        <v>一级战区</v>
      </c>
      <c r="L161" t="str">
        <f>_xlfn.XLOOKUP($D161,城市信息!$B$1:$B$14,城市信息!$A$1:$A$14)</f>
        <v>005</v>
      </c>
      <c r="M161" t="str">
        <f>_xlfn.XLOOKUP($D161,城市信息!$B$1:$B$14,城市信息!$C$1:$C$14)</f>
        <v>侯阳冰</v>
      </c>
      <c r="N161" t="str">
        <f>_xlfn.XLOOKUP($D161,城市信息!$B$1:$B$14,城市信息!$D$1:$D$14)</f>
        <v>二线</v>
      </c>
      <c r="O161">
        <f>_xlfn.XLOOKUP($D161,城市信息!$B$1:$B$14,城市信息!$E$1:$E$14)</f>
        <v>8694</v>
      </c>
      <c r="P161" cm="1">
        <f t="array" ref="P161:U161">_xlfn.XLOOKUP(A161&amp;B161,'[1]2.4自动化报表-8月获客数据-非乱码'!$A:$A&amp;'[1]2.4自动化报表-8月获客数据-非乱码'!$B:$B,'[1]2.4自动化报表-8月获客数据-非乱码'!$C:$H)</f>
        <v>6133</v>
      </c>
      <c r="Q161">
        <v>5982</v>
      </c>
      <c r="R161">
        <v>5692</v>
      </c>
      <c r="S161">
        <v>3545</v>
      </c>
      <c r="T161">
        <v>1735</v>
      </c>
      <c r="U161">
        <v>696</v>
      </c>
    </row>
    <row r="162" spans="1:21" x14ac:dyDescent="0.3">
      <c r="A162" s="1">
        <v>44049</v>
      </c>
      <c r="B162" t="s">
        <v>12</v>
      </c>
      <c r="C162" t="s">
        <v>108</v>
      </c>
      <c r="D162" t="s">
        <v>60</v>
      </c>
      <c r="E162" t="s">
        <v>121</v>
      </c>
      <c r="F162" s="2">
        <v>60362</v>
      </c>
      <c r="G162" s="2">
        <v>6364</v>
      </c>
      <c r="H162">
        <v>0</v>
      </c>
      <c r="I162" t="str">
        <f>_xlfn.XLOOKUP($C162,战区信息!$A$1:$A$5,战区信息!$B$1:$B$5)</f>
        <v>001</v>
      </c>
      <c r="J162" t="str">
        <f>_xlfn.XLOOKUP($C162,战区信息!$A$1:$A$5,战区信息!$C$1:$C$5)</f>
        <v>江永</v>
      </c>
      <c r="K162" t="str">
        <f>_xlfn.XLOOKUP($C162,战区信息!$A$1:$A$5,战区信息!$D$1:$D$5)</f>
        <v>一级战区</v>
      </c>
      <c r="L162" t="str">
        <f>_xlfn.XLOOKUP($D162,城市信息!$B$1:$B$14,城市信息!$A$1:$A$14)</f>
        <v>005</v>
      </c>
      <c r="M162" t="str">
        <f>_xlfn.XLOOKUP($D162,城市信息!$B$1:$B$14,城市信息!$C$1:$C$14)</f>
        <v>侯阳冰</v>
      </c>
      <c r="N162" t="str">
        <f>_xlfn.XLOOKUP($D162,城市信息!$B$1:$B$14,城市信息!$D$1:$D$14)</f>
        <v>二线</v>
      </c>
      <c r="O162">
        <f>_xlfn.XLOOKUP($D162,城市信息!$B$1:$B$14,城市信息!$E$1:$E$14)</f>
        <v>8694</v>
      </c>
      <c r="P162" cm="1">
        <f t="array" ref="P162:U162">_xlfn.XLOOKUP(A162&amp;B162,'[1]2.4自动化报表-8月获客数据-非乱码'!$A:$A&amp;'[1]2.4自动化报表-8月获客数据-非乱码'!$B:$B,'[1]2.4自动化报表-8月获客数据-非乱码'!$C:$H)</f>
        <v>1264</v>
      </c>
      <c r="Q162">
        <v>1245</v>
      </c>
      <c r="R162">
        <v>1202</v>
      </c>
      <c r="S162">
        <v>741</v>
      </c>
      <c r="T162">
        <v>392</v>
      </c>
      <c r="U162">
        <v>696</v>
      </c>
    </row>
    <row r="163" spans="1:21" x14ac:dyDescent="0.3">
      <c r="A163" s="1">
        <v>44049</v>
      </c>
      <c r="B163" t="s">
        <v>11</v>
      </c>
      <c r="C163" t="s">
        <v>108</v>
      </c>
      <c r="D163" t="s">
        <v>58</v>
      </c>
      <c r="E163" t="s">
        <v>122</v>
      </c>
      <c r="F163" s="2">
        <v>163194</v>
      </c>
      <c r="G163" s="2">
        <v>15473</v>
      </c>
      <c r="H163">
        <v>0</v>
      </c>
      <c r="I163" t="str">
        <f>_xlfn.XLOOKUP($C163,战区信息!$A$1:$A$5,战区信息!$B$1:$B$5)</f>
        <v>001</v>
      </c>
      <c r="J163" t="str">
        <f>_xlfn.XLOOKUP($C163,战区信息!$A$1:$A$5,战区信息!$C$1:$C$5)</f>
        <v>江永</v>
      </c>
      <c r="K163" t="str">
        <f>_xlfn.XLOOKUP($C163,战区信息!$A$1:$A$5,战区信息!$D$1:$D$5)</f>
        <v>一级战区</v>
      </c>
      <c r="L163" t="str">
        <f>_xlfn.XLOOKUP($D163,城市信息!$B$1:$B$14,城市信息!$A$1:$A$14)</f>
        <v>003</v>
      </c>
      <c r="M163" t="str">
        <f>_xlfn.XLOOKUP($D163,城市信息!$B$1:$B$14,城市信息!$C$1:$C$14)</f>
        <v>杜光亮</v>
      </c>
      <c r="N163" t="str">
        <f>_xlfn.XLOOKUP($D163,城市信息!$B$1:$B$14,城市信息!$D$1:$D$14)</f>
        <v>二线</v>
      </c>
      <c r="O163">
        <f>_xlfn.XLOOKUP($D163,城市信息!$B$1:$B$14,城市信息!$E$1:$E$14)</f>
        <v>10499</v>
      </c>
      <c r="P163" cm="1">
        <f t="array" ref="P163:U163">_xlfn.XLOOKUP(A163&amp;B163,'[1]2.4自动化报表-8月获客数据-非乱码'!$A:$A&amp;'[1]2.4自动化报表-8月获客数据-非乱码'!$B:$B,'[1]2.4自动化报表-8月获客数据-非乱码'!$C:$H)</f>
        <v>4301</v>
      </c>
      <c r="Q163">
        <v>4142</v>
      </c>
      <c r="R163">
        <v>3940</v>
      </c>
      <c r="S163">
        <v>2424</v>
      </c>
      <c r="T163">
        <v>1198</v>
      </c>
      <c r="U163">
        <v>701</v>
      </c>
    </row>
    <row r="164" spans="1:21" x14ac:dyDescent="0.3">
      <c r="A164" s="1">
        <v>44049</v>
      </c>
      <c r="B164" t="s">
        <v>10</v>
      </c>
      <c r="C164" t="s">
        <v>108</v>
      </c>
      <c r="D164" t="s">
        <v>58</v>
      </c>
      <c r="E164" t="s">
        <v>123</v>
      </c>
      <c r="F164" s="2">
        <v>40728</v>
      </c>
      <c r="G164" s="2">
        <v>4432</v>
      </c>
      <c r="H164">
        <v>0</v>
      </c>
      <c r="I164" t="str">
        <f>_xlfn.XLOOKUP($C164,战区信息!$A$1:$A$5,战区信息!$B$1:$B$5)</f>
        <v>001</v>
      </c>
      <c r="J164" t="str">
        <f>_xlfn.XLOOKUP($C164,战区信息!$A$1:$A$5,战区信息!$C$1:$C$5)</f>
        <v>江永</v>
      </c>
      <c r="K164" t="str">
        <f>_xlfn.XLOOKUP($C164,战区信息!$A$1:$A$5,战区信息!$D$1:$D$5)</f>
        <v>一级战区</v>
      </c>
      <c r="L164" t="str">
        <f>_xlfn.XLOOKUP($D164,城市信息!$B$1:$B$14,城市信息!$A$1:$A$14)</f>
        <v>003</v>
      </c>
      <c r="M164" t="str">
        <f>_xlfn.XLOOKUP($D164,城市信息!$B$1:$B$14,城市信息!$C$1:$C$14)</f>
        <v>杜光亮</v>
      </c>
      <c r="N164" t="str">
        <f>_xlfn.XLOOKUP($D164,城市信息!$B$1:$B$14,城市信息!$D$1:$D$14)</f>
        <v>二线</v>
      </c>
      <c r="O164">
        <f>_xlfn.XLOOKUP($D164,城市信息!$B$1:$B$14,城市信息!$E$1:$E$14)</f>
        <v>10499</v>
      </c>
      <c r="P164" cm="1">
        <f t="array" ref="P164:U164">_xlfn.XLOOKUP(A164&amp;B164,'[1]2.4自动化报表-8月获客数据-非乱码'!$A:$A&amp;'[1]2.4自动化报表-8月获客数据-非乱码'!$B:$B,'[1]2.4自动化报表-8月获客数据-非乱码'!$C:$H)</f>
        <v>1012</v>
      </c>
      <c r="Q164">
        <v>991</v>
      </c>
      <c r="R164">
        <v>974</v>
      </c>
      <c r="S164">
        <v>639</v>
      </c>
      <c r="T164">
        <v>380</v>
      </c>
      <c r="U164">
        <v>704</v>
      </c>
    </row>
    <row r="165" spans="1:21" x14ac:dyDescent="0.3">
      <c r="A165" s="1">
        <v>44049</v>
      </c>
      <c r="B165" t="s">
        <v>9</v>
      </c>
      <c r="C165" t="s">
        <v>108</v>
      </c>
      <c r="D165" t="s">
        <v>58</v>
      </c>
      <c r="E165" t="s">
        <v>124</v>
      </c>
      <c r="F165" s="2">
        <v>161203</v>
      </c>
      <c r="G165" s="2">
        <v>17475</v>
      </c>
      <c r="H165" s="2">
        <v>3734</v>
      </c>
      <c r="I165" t="str">
        <f>_xlfn.XLOOKUP($C165,战区信息!$A$1:$A$5,战区信息!$B$1:$B$5)</f>
        <v>001</v>
      </c>
      <c r="J165" t="str">
        <f>_xlfn.XLOOKUP($C165,战区信息!$A$1:$A$5,战区信息!$C$1:$C$5)</f>
        <v>江永</v>
      </c>
      <c r="K165" t="str">
        <f>_xlfn.XLOOKUP($C165,战区信息!$A$1:$A$5,战区信息!$D$1:$D$5)</f>
        <v>一级战区</v>
      </c>
      <c r="L165" t="str">
        <f>_xlfn.XLOOKUP($D165,城市信息!$B$1:$B$14,城市信息!$A$1:$A$14)</f>
        <v>003</v>
      </c>
      <c r="M165" t="str">
        <f>_xlfn.XLOOKUP($D165,城市信息!$B$1:$B$14,城市信息!$C$1:$C$14)</f>
        <v>杜光亮</v>
      </c>
      <c r="N165" t="str">
        <f>_xlfn.XLOOKUP($D165,城市信息!$B$1:$B$14,城市信息!$D$1:$D$14)</f>
        <v>二线</v>
      </c>
      <c r="O165">
        <f>_xlfn.XLOOKUP($D165,城市信息!$B$1:$B$14,城市信息!$E$1:$E$14)</f>
        <v>10499</v>
      </c>
      <c r="P165" cm="1">
        <f t="array" ref="P165:U165">_xlfn.XLOOKUP(A165&amp;B165,'[1]2.4自动化报表-8月获客数据-非乱码'!$A:$A&amp;'[1]2.4自动化报表-8月获客数据-非乱码'!$B:$B,'[1]2.4自动化报表-8月获客数据-非乱码'!$C:$H)</f>
        <v>5063</v>
      </c>
      <c r="Q165">
        <v>4946</v>
      </c>
      <c r="R165">
        <v>4779</v>
      </c>
      <c r="S165">
        <v>2683</v>
      </c>
      <c r="T165">
        <v>1538</v>
      </c>
      <c r="U165">
        <v>694</v>
      </c>
    </row>
    <row r="166" spans="1:21" x14ac:dyDescent="0.3">
      <c r="A166" s="1">
        <v>44049</v>
      </c>
      <c r="B166" t="s">
        <v>8</v>
      </c>
      <c r="C166" t="s">
        <v>125</v>
      </c>
      <c r="D166" t="s">
        <v>66</v>
      </c>
      <c r="E166" t="s">
        <v>126</v>
      </c>
      <c r="F166" s="2">
        <v>69119</v>
      </c>
      <c r="G166" s="2">
        <v>8290</v>
      </c>
      <c r="H166" s="2">
        <v>4705</v>
      </c>
      <c r="I166" t="str">
        <f>_xlfn.XLOOKUP($C166,战区信息!$A$1:$A$5,战区信息!$B$1:$B$5)</f>
        <v>004</v>
      </c>
      <c r="J166" t="str">
        <f>_xlfn.XLOOKUP($C166,战区信息!$A$1:$A$5,战区信息!$C$1:$C$5)</f>
        <v>沈乐欣</v>
      </c>
      <c r="K166" t="str">
        <f>_xlfn.XLOOKUP($C166,战区信息!$A$1:$A$5,战区信息!$D$1:$D$5)</f>
        <v>三级战区</v>
      </c>
      <c r="L166" t="str">
        <f>_xlfn.XLOOKUP($D166,城市信息!$B$1:$B$14,城市信息!$A$1:$A$14)</f>
        <v>011</v>
      </c>
      <c r="M166" t="str">
        <f>_xlfn.XLOOKUP($D166,城市信息!$B$1:$B$14,城市信息!$C$1:$C$14)</f>
        <v>冯谦</v>
      </c>
      <c r="N166" t="str">
        <f>_xlfn.XLOOKUP($D166,城市信息!$B$1:$B$14,城市信息!$D$1:$D$14)</f>
        <v>一线</v>
      </c>
      <c r="O166">
        <f>_xlfn.XLOOKUP($D166,城市信息!$B$1:$B$14,城市信息!$E$1:$E$14)</f>
        <v>8244</v>
      </c>
      <c r="P166" cm="1">
        <f t="array" ref="P166:U166">_xlfn.XLOOKUP(A166&amp;B166,'[1]2.4自动化报表-8月获客数据-非乱码'!$A:$A&amp;'[1]2.4自动化报表-8月获客数据-非乱码'!$B:$B,'[1]2.4自动化报表-8月获客数据-非乱码'!$C:$H)</f>
        <v>1523</v>
      </c>
      <c r="Q166">
        <v>1510</v>
      </c>
      <c r="R166">
        <v>1465</v>
      </c>
      <c r="S166">
        <v>793</v>
      </c>
      <c r="T166">
        <v>503</v>
      </c>
      <c r="U166">
        <v>685</v>
      </c>
    </row>
    <row r="167" spans="1:21" x14ac:dyDescent="0.3">
      <c r="A167" s="1">
        <v>44049</v>
      </c>
      <c r="B167" t="s">
        <v>7</v>
      </c>
      <c r="C167" t="s">
        <v>125</v>
      </c>
      <c r="D167" t="s">
        <v>62</v>
      </c>
      <c r="E167" t="s">
        <v>127</v>
      </c>
      <c r="F167" s="2">
        <v>16000</v>
      </c>
      <c r="G167" s="2">
        <v>1006</v>
      </c>
      <c r="H167" s="2">
        <v>10853</v>
      </c>
      <c r="I167" t="str">
        <f>_xlfn.XLOOKUP($C167,战区信息!$A$1:$A$5,战区信息!$B$1:$B$5)</f>
        <v>004</v>
      </c>
      <c r="J167" t="str">
        <f>_xlfn.XLOOKUP($C167,战区信息!$A$1:$A$5,战区信息!$C$1:$C$5)</f>
        <v>沈乐欣</v>
      </c>
      <c r="K167" t="str">
        <f>_xlfn.XLOOKUP($C167,战区信息!$A$1:$A$5,战区信息!$D$1:$D$5)</f>
        <v>三级战区</v>
      </c>
      <c r="L167" t="str">
        <f>_xlfn.XLOOKUP($D167,城市信息!$B$1:$B$14,城市信息!$A$1:$A$14)</f>
        <v>007</v>
      </c>
      <c r="M167" t="str">
        <f>_xlfn.XLOOKUP($D167,城市信息!$B$1:$B$14,城市信息!$C$1:$C$14)</f>
        <v>范俊发</v>
      </c>
      <c r="N167" t="str">
        <f>_xlfn.XLOOKUP($D167,城市信息!$B$1:$B$14,城市信息!$D$1:$D$14)</f>
        <v>一线</v>
      </c>
      <c r="O167">
        <f>_xlfn.XLOOKUP($D167,城市信息!$B$1:$B$14,城市信息!$E$1:$E$14)</f>
        <v>12358</v>
      </c>
      <c r="P167" cm="1">
        <f t="array" ref="P167:U167">_xlfn.XLOOKUP(A167&amp;B167,'[1]2.4自动化报表-8月获客数据-非乱码'!$A:$A&amp;'[1]2.4自动化报表-8月获客数据-非乱码'!$B:$B,'[1]2.4自动化报表-8月获客数据-非乱码'!$C:$H)</f>
        <v>95</v>
      </c>
      <c r="Q167">
        <v>91</v>
      </c>
      <c r="R167">
        <v>85</v>
      </c>
      <c r="S167">
        <v>45</v>
      </c>
      <c r="T167">
        <v>25</v>
      </c>
      <c r="U167">
        <v>686</v>
      </c>
    </row>
    <row r="168" spans="1:21" x14ac:dyDescent="0.3">
      <c r="A168" s="1">
        <v>44049</v>
      </c>
      <c r="B168" t="s">
        <v>6</v>
      </c>
      <c r="C168" t="s">
        <v>125</v>
      </c>
      <c r="D168" t="s">
        <v>62</v>
      </c>
      <c r="E168" t="s">
        <v>128</v>
      </c>
      <c r="F168" s="2">
        <v>5505</v>
      </c>
      <c r="G168">
        <v>377</v>
      </c>
      <c r="H168">
        <v>0</v>
      </c>
      <c r="I168" t="str">
        <f>_xlfn.XLOOKUP($C168,战区信息!$A$1:$A$5,战区信息!$B$1:$B$5)</f>
        <v>004</v>
      </c>
      <c r="J168" t="str">
        <f>_xlfn.XLOOKUP($C168,战区信息!$A$1:$A$5,战区信息!$C$1:$C$5)</f>
        <v>沈乐欣</v>
      </c>
      <c r="K168" t="str">
        <f>_xlfn.XLOOKUP($C168,战区信息!$A$1:$A$5,战区信息!$D$1:$D$5)</f>
        <v>三级战区</v>
      </c>
      <c r="L168" t="str">
        <f>_xlfn.XLOOKUP($D168,城市信息!$B$1:$B$14,城市信息!$A$1:$A$14)</f>
        <v>007</v>
      </c>
      <c r="M168" t="str">
        <f>_xlfn.XLOOKUP($D168,城市信息!$B$1:$B$14,城市信息!$C$1:$C$14)</f>
        <v>范俊发</v>
      </c>
      <c r="N168" t="str">
        <f>_xlfn.XLOOKUP($D168,城市信息!$B$1:$B$14,城市信息!$D$1:$D$14)</f>
        <v>一线</v>
      </c>
      <c r="O168">
        <f>_xlfn.XLOOKUP($D168,城市信息!$B$1:$B$14,城市信息!$E$1:$E$14)</f>
        <v>12358</v>
      </c>
      <c r="P168" cm="1">
        <f t="array" ref="P168:U168">_xlfn.XLOOKUP(A168&amp;B168,'[1]2.4自动化报表-8月获客数据-非乱码'!$A:$A&amp;'[1]2.4自动化报表-8月获客数据-非乱码'!$B:$B,'[1]2.4自动化报表-8月获客数据-非乱码'!$C:$H)</f>
        <v>1721</v>
      </c>
      <c r="Q168">
        <v>1698</v>
      </c>
      <c r="R168">
        <v>1663</v>
      </c>
      <c r="S168">
        <v>1003</v>
      </c>
      <c r="T168">
        <v>582</v>
      </c>
      <c r="U168">
        <v>688</v>
      </c>
    </row>
    <row r="169" spans="1:21" x14ac:dyDescent="0.3">
      <c r="A169" s="1">
        <v>44049</v>
      </c>
      <c r="B169" t="s">
        <v>5</v>
      </c>
      <c r="C169" t="s">
        <v>125</v>
      </c>
      <c r="D169" t="s">
        <v>62</v>
      </c>
      <c r="E169" t="s">
        <v>129</v>
      </c>
      <c r="F169" s="2">
        <v>61987</v>
      </c>
      <c r="G169" s="2">
        <v>6628</v>
      </c>
      <c r="H169">
        <v>0</v>
      </c>
      <c r="I169" t="str">
        <f>_xlfn.XLOOKUP($C169,战区信息!$A$1:$A$5,战区信息!$B$1:$B$5)</f>
        <v>004</v>
      </c>
      <c r="J169" t="str">
        <f>_xlfn.XLOOKUP($C169,战区信息!$A$1:$A$5,战区信息!$C$1:$C$5)</f>
        <v>沈乐欣</v>
      </c>
      <c r="K169" t="str">
        <f>_xlfn.XLOOKUP($C169,战区信息!$A$1:$A$5,战区信息!$D$1:$D$5)</f>
        <v>三级战区</v>
      </c>
      <c r="L169" t="str">
        <f>_xlfn.XLOOKUP($D169,城市信息!$B$1:$B$14,城市信息!$A$1:$A$14)</f>
        <v>007</v>
      </c>
      <c r="M169" t="str">
        <f>_xlfn.XLOOKUP($D169,城市信息!$B$1:$B$14,城市信息!$C$1:$C$14)</f>
        <v>范俊发</v>
      </c>
      <c r="N169" t="str">
        <f>_xlfn.XLOOKUP($D169,城市信息!$B$1:$B$14,城市信息!$D$1:$D$14)</f>
        <v>一线</v>
      </c>
      <c r="O169">
        <f>_xlfn.XLOOKUP($D169,城市信息!$B$1:$B$14,城市信息!$E$1:$E$14)</f>
        <v>12358</v>
      </c>
      <c r="P169" cm="1">
        <f t="array" ref="P169:U169">_xlfn.XLOOKUP(A169&amp;B169,'[1]2.4自动化报表-8月获客数据-非乱码'!$A:$A&amp;'[1]2.4自动化报表-8月获客数据-非乱码'!$B:$B,'[1]2.4自动化报表-8月获客数据-非乱码'!$C:$H)</f>
        <v>2344</v>
      </c>
      <c r="Q169">
        <v>2306</v>
      </c>
      <c r="R169">
        <v>2205</v>
      </c>
      <c r="S169">
        <v>1375</v>
      </c>
      <c r="T169">
        <v>687</v>
      </c>
      <c r="U169">
        <v>689</v>
      </c>
    </row>
    <row r="170" spans="1:21" x14ac:dyDescent="0.3">
      <c r="A170" s="1">
        <v>44049</v>
      </c>
      <c r="B170" t="s">
        <v>33</v>
      </c>
      <c r="C170" t="s">
        <v>125</v>
      </c>
      <c r="D170" t="s">
        <v>62</v>
      </c>
      <c r="E170" t="s">
        <v>130</v>
      </c>
      <c r="F170" s="2">
        <v>22000</v>
      </c>
      <c r="G170" s="2">
        <v>1271</v>
      </c>
      <c r="H170">
        <v>0</v>
      </c>
      <c r="I170" t="str">
        <f>_xlfn.XLOOKUP($C170,战区信息!$A$1:$A$5,战区信息!$B$1:$B$5)</f>
        <v>004</v>
      </c>
      <c r="J170" t="str">
        <f>_xlfn.XLOOKUP($C170,战区信息!$A$1:$A$5,战区信息!$C$1:$C$5)</f>
        <v>沈乐欣</v>
      </c>
      <c r="K170" t="str">
        <f>_xlfn.XLOOKUP($C170,战区信息!$A$1:$A$5,战区信息!$D$1:$D$5)</f>
        <v>三级战区</v>
      </c>
      <c r="L170" t="str">
        <f>_xlfn.XLOOKUP($D170,城市信息!$B$1:$B$14,城市信息!$A$1:$A$14)</f>
        <v>007</v>
      </c>
      <c r="M170" t="str">
        <f>_xlfn.XLOOKUP($D170,城市信息!$B$1:$B$14,城市信息!$C$1:$C$14)</f>
        <v>范俊发</v>
      </c>
      <c r="N170" t="str">
        <f>_xlfn.XLOOKUP($D170,城市信息!$B$1:$B$14,城市信息!$D$1:$D$14)</f>
        <v>一线</v>
      </c>
      <c r="O170">
        <f>_xlfn.XLOOKUP($D170,城市信息!$B$1:$B$14,城市信息!$E$1:$E$14)</f>
        <v>12358</v>
      </c>
      <c r="P170" cm="1">
        <f t="array" ref="P170:U170">_xlfn.XLOOKUP(A170&amp;B170,'[1]2.4自动化报表-8月获客数据-非乱码'!$A:$A&amp;'[1]2.4自动化报表-8月获客数据-非乱码'!$B:$B,'[1]2.4自动化报表-8月获客数据-非乱码'!$C:$H)</f>
        <v>10</v>
      </c>
      <c r="Q170">
        <v>10</v>
      </c>
      <c r="R170">
        <v>10</v>
      </c>
      <c r="S170">
        <v>7</v>
      </c>
      <c r="T170">
        <v>5</v>
      </c>
      <c r="U170">
        <v>685</v>
      </c>
    </row>
    <row r="171" spans="1:21" x14ac:dyDescent="0.3">
      <c r="A171" s="1">
        <v>44050</v>
      </c>
      <c r="B171" t="s">
        <v>32</v>
      </c>
      <c r="C171" t="s">
        <v>97</v>
      </c>
      <c r="D171" t="s">
        <v>67</v>
      </c>
      <c r="E171" t="s">
        <v>98</v>
      </c>
      <c r="F171" s="2">
        <v>33803</v>
      </c>
      <c r="G171" s="2">
        <v>1986</v>
      </c>
      <c r="H171">
        <v>0</v>
      </c>
      <c r="I171" t="str">
        <f>_xlfn.XLOOKUP($C171,战区信息!$A$1:$A$5,战区信息!$B$1:$B$5)</f>
        <v>003</v>
      </c>
      <c r="J171" t="str">
        <f>_xlfn.XLOOKUP($C171,战区信息!$A$1:$A$5,战区信息!$C$1:$C$5)</f>
        <v>田楠</v>
      </c>
      <c r="K171" t="str">
        <f>_xlfn.XLOOKUP($C171,战区信息!$A$1:$A$5,战区信息!$D$1:$D$5)</f>
        <v>二级战区</v>
      </c>
      <c r="L171" t="str">
        <f>_xlfn.XLOOKUP($D171,城市信息!$B$1:$B$14,城市信息!$A$1:$A$14)</f>
        <v>012</v>
      </c>
      <c r="M171" t="str">
        <f>_xlfn.XLOOKUP($D171,城市信息!$B$1:$B$14,城市信息!$C$1:$C$14)</f>
        <v>于子默</v>
      </c>
      <c r="N171" t="str">
        <f>_xlfn.XLOOKUP($D171,城市信息!$B$1:$B$14,城市信息!$D$1:$D$14)</f>
        <v>二线</v>
      </c>
      <c r="O171">
        <f>_xlfn.XLOOKUP($D171,城市信息!$B$1:$B$14,城市信息!$E$1:$E$14)</f>
        <v>9713</v>
      </c>
      <c r="P171" cm="1">
        <f t="array" ref="P171:U171">_xlfn.XLOOKUP(A171&amp;B171,'[1]2.4自动化报表-8月获客数据-非乱码'!$A:$A&amp;'[1]2.4自动化报表-8月获客数据-非乱码'!$B:$B,'[1]2.4自动化报表-8月获客数据-非乱码'!$C:$H)</f>
        <v>2133</v>
      </c>
      <c r="Q171">
        <v>2102</v>
      </c>
      <c r="R171">
        <v>2043</v>
      </c>
      <c r="S171">
        <v>1310</v>
      </c>
      <c r="T171">
        <v>719</v>
      </c>
      <c r="U171">
        <v>691</v>
      </c>
    </row>
    <row r="172" spans="1:21" x14ac:dyDescent="0.3">
      <c r="A172" s="1">
        <v>44050</v>
      </c>
      <c r="B172" t="s">
        <v>31</v>
      </c>
      <c r="C172" t="s">
        <v>97</v>
      </c>
      <c r="D172" t="s">
        <v>65</v>
      </c>
      <c r="E172" t="s">
        <v>99</v>
      </c>
      <c r="F172" s="2">
        <v>148463</v>
      </c>
      <c r="G172" s="2">
        <v>8050</v>
      </c>
      <c r="H172">
        <v>0</v>
      </c>
      <c r="I172" t="str">
        <f>_xlfn.XLOOKUP($C172,战区信息!$A$1:$A$5,战区信息!$B$1:$B$5)</f>
        <v>003</v>
      </c>
      <c r="J172" t="str">
        <f>_xlfn.XLOOKUP($C172,战区信息!$A$1:$A$5,战区信息!$C$1:$C$5)</f>
        <v>田楠</v>
      </c>
      <c r="K172" t="str">
        <f>_xlfn.XLOOKUP($C172,战区信息!$A$1:$A$5,战区信息!$D$1:$D$5)</f>
        <v>二级战区</v>
      </c>
      <c r="L172" t="str">
        <f>_xlfn.XLOOKUP($D172,城市信息!$B$1:$B$14,城市信息!$A$1:$A$14)</f>
        <v>010</v>
      </c>
      <c r="M172" t="str">
        <f>_xlfn.XLOOKUP($D172,城市信息!$B$1:$B$14,城市信息!$C$1:$C$14)</f>
        <v>黄鹏天</v>
      </c>
      <c r="N172" t="str">
        <f>_xlfn.XLOOKUP($D172,城市信息!$B$1:$B$14,城市信息!$D$1:$D$14)</f>
        <v>二线</v>
      </c>
      <c r="O172">
        <f>_xlfn.XLOOKUP($D172,城市信息!$B$1:$B$14,城市信息!$E$1:$E$14)</f>
        <v>8295</v>
      </c>
      <c r="P172" cm="1">
        <f t="array" ref="P172:U172">_xlfn.XLOOKUP(A172&amp;B172,'[1]2.4自动化报表-8月获客数据-非乱码'!$A:$A&amp;'[1]2.4自动化报表-8月获客数据-非乱码'!$B:$B,'[1]2.4自动化报表-8月获客数据-非乱码'!$C:$H)</f>
        <v>3717</v>
      </c>
      <c r="Q172">
        <v>3652</v>
      </c>
      <c r="R172">
        <v>3534</v>
      </c>
      <c r="S172">
        <v>2135</v>
      </c>
      <c r="T172">
        <v>1196</v>
      </c>
      <c r="U172">
        <v>691</v>
      </c>
    </row>
    <row r="173" spans="1:21" x14ac:dyDescent="0.3">
      <c r="A173" s="1">
        <v>44050</v>
      </c>
      <c r="B173" t="s">
        <v>30</v>
      </c>
      <c r="C173" t="s">
        <v>97</v>
      </c>
      <c r="D173" t="s">
        <v>61</v>
      </c>
      <c r="E173" t="s">
        <v>100</v>
      </c>
      <c r="F173" s="2">
        <v>85003</v>
      </c>
      <c r="G173" s="2">
        <v>5662</v>
      </c>
      <c r="H173">
        <v>0</v>
      </c>
      <c r="I173" t="str">
        <f>_xlfn.XLOOKUP($C173,战区信息!$A$1:$A$5,战区信息!$B$1:$B$5)</f>
        <v>003</v>
      </c>
      <c r="J173" t="str">
        <f>_xlfn.XLOOKUP($C173,战区信息!$A$1:$A$5,战区信息!$C$1:$C$5)</f>
        <v>田楠</v>
      </c>
      <c r="K173" t="str">
        <f>_xlfn.XLOOKUP($C173,战区信息!$A$1:$A$5,战区信息!$D$1:$D$5)</f>
        <v>二级战区</v>
      </c>
      <c r="L173" t="str">
        <f>_xlfn.XLOOKUP($D173,城市信息!$B$1:$B$14,城市信息!$A$1:$A$14)</f>
        <v>006</v>
      </c>
      <c r="M173" t="str">
        <f>_xlfn.XLOOKUP($D173,城市信息!$B$1:$B$14,城市信息!$C$1:$C$14)</f>
        <v>王刚</v>
      </c>
      <c r="N173" t="str">
        <f>_xlfn.XLOOKUP($D173,城市信息!$B$1:$B$14,城市信息!$D$1:$D$14)</f>
        <v>二线</v>
      </c>
      <c r="O173">
        <f>_xlfn.XLOOKUP($D173,城市信息!$B$1:$B$14,城市信息!$E$1:$E$14)</f>
        <v>9107</v>
      </c>
      <c r="P173" cm="1">
        <f t="array" ref="P173:U173">_xlfn.XLOOKUP(A173&amp;B173,'[1]2.4自动化报表-8月获客数据-非乱码'!$A:$A&amp;'[1]2.4自动化报表-8月获客数据-非乱码'!$B:$B,'[1]2.4自动化报表-8月获客数据-非乱码'!$C:$H)</f>
        <v>1814</v>
      </c>
      <c r="Q173">
        <v>1766</v>
      </c>
      <c r="R173">
        <v>1695</v>
      </c>
      <c r="S173">
        <v>1027</v>
      </c>
      <c r="T173">
        <v>520</v>
      </c>
      <c r="U173">
        <v>697</v>
      </c>
    </row>
    <row r="174" spans="1:21" x14ac:dyDescent="0.3">
      <c r="A174" s="1">
        <v>44050</v>
      </c>
      <c r="B174" t="s">
        <v>29</v>
      </c>
      <c r="C174" t="s">
        <v>97</v>
      </c>
      <c r="D174" t="s">
        <v>64</v>
      </c>
      <c r="E174" t="s">
        <v>101</v>
      </c>
      <c r="F174" s="2">
        <v>124166</v>
      </c>
      <c r="G174" s="2">
        <v>7870</v>
      </c>
      <c r="H174">
        <v>0</v>
      </c>
      <c r="I174" t="str">
        <f>_xlfn.XLOOKUP($C174,战区信息!$A$1:$A$5,战区信息!$B$1:$B$5)</f>
        <v>003</v>
      </c>
      <c r="J174" t="str">
        <f>_xlfn.XLOOKUP($C174,战区信息!$A$1:$A$5,战区信息!$C$1:$C$5)</f>
        <v>田楠</v>
      </c>
      <c r="K174" t="str">
        <f>_xlfn.XLOOKUP($C174,战区信息!$A$1:$A$5,战区信息!$D$1:$D$5)</f>
        <v>二级战区</v>
      </c>
      <c r="L174" t="str">
        <f>_xlfn.XLOOKUP($D174,城市信息!$B$1:$B$14,城市信息!$A$1:$A$14)</f>
        <v>009</v>
      </c>
      <c r="M174" t="str">
        <f>_xlfn.XLOOKUP($D174,城市信息!$B$1:$B$14,城市信息!$C$1:$C$14)</f>
        <v>叶超</v>
      </c>
      <c r="N174" t="str">
        <f>_xlfn.XLOOKUP($D174,城市信息!$B$1:$B$14,城市信息!$D$1:$D$14)</f>
        <v>二线</v>
      </c>
      <c r="O174">
        <f>_xlfn.XLOOKUP($D174,城市信息!$B$1:$B$14,城市信息!$E$1:$E$14)</f>
        <v>9016</v>
      </c>
      <c r="P174" cm="1">
        <f t="array" ref="P174:U174">_xlfn.XLOOKUP(A174&amp;B174,'[1]2.4自动化报表-8月获客数据-非乱码'!$A:$A&amp;'[1]2.4自动化报表-8月获客数据-非乱码'!$B:$B,'[1]2.4自动化报表-8月获客数据-非乱码'!$C:$H)</f>
        <v>2990</v>
      </c>
      <c r="Q174">
        <v>2919</v>
      </c>
      <c r="R174">
        <v>2820</v>
      </c>
      <c r="S174">
        <v>1821</v>
      </c>
      <c r="T174">
        <v>1015</v>
      </c>
      <c r="U174">
        <v>691</v>
      </c>
    </row>
    <row r="175" spans="1:21" x14ac:dyDescent="0.3">
      <c r="A175" s="1">
        <v>44050</v>
      </c>
      <c r="B175" t="s">
        <v>28</v>
      </c>
      <c r="C175" t="s">
        <v>97</v>
      </c>
      <c r="D175" t="s">
        <v>64</v>
      </c>
      <c r="E175" t="s">
        <v>102</v>
      </c>
      <c r="F175" s="2">
        <v>25001</v>
      </c>
      <c r="G175" s="2">
        <v>1229</v>
      </c>
      <c r="H175">
        <v>0</v>
      </c>
      <c r="I175" t="str">
        <f>_xlfn.XLOOKUP($C175,战区信息!$A$1:$A$5,战区信息!$B$1:$B$5)</f>
        <v>003</v>
      </c>
      <c r="J175" t="str">
        <f>_xlfn.XLOOKUP($C175,战区信息!$A$1:$A$5,战区信息!$C$1:$C$5)</f>
        <v>田楠</v>
      </c>
      <c r="K175" t="str">
        <f>_xlfn.XLOOKUP($C175,战区信息!$A$1:$A$5,战区信息!$D$1:$D$5)</f>
        <v>二级战区</v>
      </c>
      <c r="L175" t="str">
        <f>_xlfn.XLOOKUP($D175,城市信息!$B$1:$B$14,城市信息!$A$1:$A$14)</f>
        <v>009</v>
      </c>
      <c r="M175" t="str">
        <f>_xlfn.XLOOKUP($D175,城市信息!$B$1:$B$14,城市信息!$C$1:$C$14)</f>
        <v>叶超</v>
      </c>
      <c r="N175" t="str">
        <f>_xlfn.XLOOKUP($D175,城市信息!$B$1:$B$14,城市信息!$D$1:$D$14)</f>
        <v>二线</v>
      </c>
      <c r="O175">
        <f>_xlfn.XLOOKUP($D175,城市信息!$B$1:$B$14,城市信息!$E$1:$E$14)</f>
        <v>9016</v>
      </c>
      <c r="P175" cm="1">
        <f t="array" ref="P175:U175">_xlfn.XLOOKUP(A175&amp;B175,'[1]2.4自动化报表-8月获客数据-非乱码'!$A:$A&amp;'[1]2.4自动化报表-8月获客数据-非乱码'!$B:$B,'[1]2.4自动化报表-8月获客数据-非乱码'!$C:$H)</f>
        <v>672</v>
      </c>
      <c r="Q175">
        <v>662</v>
      </c>
      <c r="R175">
        <v>643</v>
      </c>
      <c r="S175">
        <v>443</v>
      </c>
      <c r="T175">
        <v>209</v>
      </c>
      <c r="U175">
        <v>692</v>
      </c>
    </row>
    <row r="176" spans="1:21" x14ac:dyDescent="0.3">
      <c r="A176" s="1">
        <v>44050</v>
      </c>
      <c r="B176" t="s">
        <v>27</v>
      </c>
      <c r="C176" t="s">
        <v>103</v>
      </c>
      <c r="D176" t="s">
        <v>63</v>
      </c>
      <c r="E176" t="s">
        <v>104</v>
      </c>
      <c r="F176" s="2">
        <v>115360</v>
      </c>
      <c r="G176" s="2">
        <v>7958</v>
      </c>
      <c r="H176">
        <v>0</v>
      </c>
      <c r="I176" t="str">
        <f>_xlfn.XLOOKUP($C176,战区信息!$A$1:$A$5,战区信息!$B$1:$B$5)</f>
        <v>002</v>
      </c>
      <c r="J176" t="str">
        <f>_xlfn.XLOOKUP($C176,战区信息!$A$1:$A$5,战区信息!$C$1:$C$5)</f>
        <v>高安平</v>
      </c>
      <c r="K176" t="str">
        <f>_xlfn.XLOOKUP($C176,战区信息!$A$1:$A$5,战区信息!$D$1:$D$5)</f>
        <v>二级战区</v>
      </c>
      <c r="L176" t="str">
        <f>_xlfn.XLOOKUP($D176,城市信息!$B$1:$B$14,城市信息!$A$1:$A$14)</f>
        <v>008</v>
      </c>
      <c r="M176" t="str">
        <f>_xlfn.XLOOKUP($D176,城市信息!$B$1:$B$14,城市信息!$C$1:$C$14)</f>
        <v>高弘壮</v>
      </c>
      <c r="N176" t="str">
        <f>_xlfn.XLOOKUP($D176,城市信息!$B$1:$B$14,城市信息!$D$1:$D$14)</f>
        <v>一线</v>
      </c>
      <c r="O176">
        <f>_xlfn.XLOOKUP($D176,城市信息!$B$1:$B$14,城市信息!$E$1:$E$14)</f>
        <v>11498</v>
      </c>
      <c r="P176" cm="1">
        <f t="array" ref="P176:U176">_xlfn.XLOOKUP(A176&amp;B176,'[1]2.4自动化报表-8月获客数据-非乱码'!$A:$A&amp;'[1]2.4自动化报表-8月获客数据-非乱码'!$B:$B,'[1]2.4自动化报表-8月获客数据-非乱码'!$C:$H)</f>
        <v>3823</v>
      </c>
      <c r="Q176">
        <v>3708</v>
      </c>
      <c r="R176">
        <v>3535</v>
      </c>
      <c r="S176">
        <v>2103</v>
      </c>
      <c r="T176">
        <v>1122</v>
      </c>
      <c r="U176">
        <v>689</v>
      </c>
    </row>
    <row r="177" spans="1:21" x14ac:dyDescent="0.3">
      <c r="A177" s="1">
        <v>44050</v>
      </c>
      <c r="B177" t="s">
        <v>26</v>
      </c>
      <c r="C177" t="s">
        <v>103</v>
      </c>
      <c r="D177" t="s">
        <v>57</v>
      </c>
      <c r="E177" t="s">
        <v>105</v>
      </c>
      <c r="F177" s="2">
        <v>162811</v>
      </c>
      <c r="G177" s="2">
        <v>12053</v>
      </c>
      <c r="H177">
        <v>0</v>
      </c>
      <c r="I177" t="str">
        <f>_xlfn.XLOOKUP($C177,战区信息!$A$1:$A$5,战区信息!$B$1:$B$5)</f>
        <v>002</v>
      </c>
      <c r="J177" t="str">
        <f>_xlfn.XLOOKUP($C177,战区信息!$A$1:$A$5,战区信息!$C$1:$C$5)</f>
        <v>高安平</v>
      </c>
      <c r="K177" t="str">
        <f>_xlfn.XLOOKUP($C177,战区信息!$A$1:$A$5,战区信息!$D$1:$D$5)</f>
        <v>二级战区</v>
      </c>
      <c r="L177" t="str">
        <f>_xlfn.XLOOKUP($D177,城市信息!$B$1:$B$14,城市信息!$A$1:$A$14)</f>
        <v>002</v>
      </c>
      <c r="M177" t="str">
        <f>_xlfn.XLOOKUP($D177,城市信息!$B$1:$B$14,城市信息!$C$1:$C$14)</f>
        <v>孙乒</v>
      </c>
      <c r="N177" t="str">
        <f>_xlfn.XLOOKUP($D177,城市信息!$B$1:$B$14,城市信息!$D$1:$D$14)</f>
        <v>一线</v>
      </c>
      <c r="O177">
        <f>_xlfn.XLOOKUP($D177,城市信息!$B$1:$B$14,城市信息!$E$1:$E$14)</f>
        <v>9854</v>
      </c>
      <c r="P177" cm="1">
        <f t="array" ref="P177:U177">_xlfn.XLOOKUP(A177&amp;B177,'[1]2.4自动化报表-8月获客数据-非乱码'!$A:$A&amp;'[1]2.4自动化报表-8月获客数据-非乱码'!$B:$B,'[1]2.4自动化报表-8月获客数据-非乱码'!$C:$H)</f>
        <v>5740</v>
      </c>
      <c r="Q177">
        <v>5615</v>
      </c>
      <c r="R177">
        <v>5382</v>
      </c>
      <c r="S177">
        <v>3290</v>
      </c>
      <c r="T177">
        <v>1830</v>
      </c>
      <c r="U177">
        <v>687</v>
      </c>
    </row>
    <row r="178" spans="1:21" x14ac:dyDescent="0.3">
      <c r="A178" s="1">
        <v>44050</v>
      </c>
      <c r="B178" t="s">
        <v>25</v>
      </c>
      <c r="C178" t="s">
        <v>103</v>
      </c>
      <c r="D178" t="s">
        <v>57</v>
      </c>
      <c r="E178" t="s">
        <v>106</v>
      </c>
      <c r="F178" s="2">
        <v>100599</v>
      </c>
      <c r="G178" s="2">
        <v>6564</v>
      </c>
      <c r="H178" s="2">
        <v>1370</v>
      </c>
      <c r="I178" t="str">
        <f>_xlfn.XLOOKUP($C178,战区信息!$A$1:$A$5,战区信息!$B$1:$B$5)</f>
        <v>002</v>
      </c>
      <c r="J178" t="str">
        <f>_xlfn.XLOOKUP($C178,战区信息!$A$1:$A$5,战区信息!$C$1:$C$5)</f>
        <v>高安平</v>
      </c>
      <c r="K178" t="str">
        <f>_xlfn.XLOOKUP($C178,战区信息!$A$1:$A$5,战区信息!$D$1:$D$5)</f>
        <v>二级战区</v>
      </c>
      <c r="L178" t="str">
        <f>_xlfn.XLOOKUP($D178,城市信息!$B$1:$B$14,城市信息!$A$1:$A$14)</f>
        <v>002</v>
      </c>
      <c r="M178" t="str">
        <f>_xlfn.XLOOKUP($D178,城市信息!$B$1:$B$14,城市信息!$C$1:$C$14)</f>
        <v>孙乒</v>
      </c>
      <c r="N178" t="str">
        <f>_xlfn.XLOOKUP($D178,城市信息!$B$1:$B$14,城市信息!$D$1:$D$14)</f>
        <v>一线</v>
      </c>
      <c r="O178">
        <f>_xlfn.XLOOKUP($D178,城市信息!$B$1:$B$14,城市信息!$E$1:$E$14)</f>
        <v>9854</v>
      </c>
      <c r="P178" cm="1">
        <f t="array" ref="P178:U178">_xlfn.XLOOKUP(A178&amp;B178,'[1]2.4自动化报表-8月获客数据-非乱码'!$A:$A&amp;'[1]2.4自动化报表-8月获客数据-非乱码'!$B:$B,'[1]2.4自动化报表-8月获客数据-非乱码'!$C:$H)</f>
        <v>3584</v>
      </c>
      <c r="Q178">
        <v>3483</v>
      </c>
      <c r="R178">
        <v>3304</v>
      </c>
      <c r="S178">
        <v>1969</v>
      </c>
      <c r="T178">
        <v>1112</v>
      </c>
      <c r="U178">
        <v>688</v>
      </c>
    </row>
    <row r="179" spans="1:21" x14ac:dyDescent="0.3">
      <c r="A179" s="1">
        <v>44050</v>
      </c>
      <c r="B179" t="s">
        <v>24</v>
      </c>
      <c r="C179" t="s">
        <v>103</v>
      </c>
      <c r="D179" t="s">
        <v>57</v>
      </c>
      <c r="E179" t="s">
        <v>107</v>
      </c>
      <c r="F179" s="2">
        <v>53002</v>
      </c>
      <c r="G179" s="2">
        <v>3226</v>
      </c>
      <c r="H179">
        <v>0</v>
      </c>
      <c r="I179" t="str">
        <f>_xlfn.XLOOKUP($C179,战区信息!$A$1:$A$5,战区信息!$B$1:$B$5)</f>
        <v>002</v>
      </c>
      <c r="J179" t="str">
        <f>_xlfn.XLOOKUP($C179,战区信息!$A$1:$A$5,战区信息!$C$1:$C$5)</f>
        <v>高安平</v>
      </c>
      <c r="K179" t="str">
        <f>_xlfn.XLOOKUP($C179,战区信息!$A$1:$A$5,战区信息!$D$1:$D$5)</f>
        <v>二级战区</v>
      </c>
      <c r="L179" t="str">
        <f>_xlfn.XLOOKUP($D179,城市信息!$B$1:$B$14,城市信息!$A$1:$A$14)</f>
        <v>002</v>
      </c>
      <c r="M179" t="str">
        <f>_xlfn.XLOOKUP($D179,城市信息!$B$1:$B$14,城市信息!$C$1:$C$14)</f>
        <v>孙乒</v>
      </c>
      <c r="N179" t="str">
        <f>_xlfn.XLOOKUP($D179,城市信息!$B$1:$B$14,城市信息!$D$1:$D$14)</f>
        <v>一线</v>
      </c>
      <c r="O179">
        <f>_xlfn.XLOOKUP($D179,城市信息!$B$1:$B$14,城市信息!$E$1:$E$14)</f>
        <v>9854</v>
      </c>
      <c r="P179" cm="1">
        <f t="array" ref="P179:U179">_xlfn.XLOOKUP(A179&amp;B179,'[1]2.4自动化报表-8月获客数据-非乱码'!$A:$A&amp;'[1]2.4自动化报表-8月获客数据-非乱码'!$B:$B,'[1]2.4自动化报表-8月获客数据-非乱码'!$C:$H)</f>
        <v>1470</v>
      </c>
      <c r="Q179">
        <v>1452</v>
      </c>
      <c r="R179">
        <v>1410</v>
      </c>
      <c r="S179">
        <v>857</v>
      </c>
      <c r="T179">
        <v>550</v>
      </c>
      <c r="U179">
        <v>688</v>
      </c>
    </row>
    <row r="180" spans="1:21" x14ac:dyDescent="0.3">
      <c r="A180" s="1">
        <v>44050</v>
      </c>
      <c r="B180" t="s">
        <v>23</v>
      </c>
      <c r="C180" t="s">
        <v>108</v>
      </c>
      <c r="D180" t="s">
        <v>109</v>
      </c>
      <c r="E180" t="s">
        <v>110</v>
      </c>
      <c r="F180" s="2">
        <v>310942</v>
      </c>
      <c r="G180" s="2">
        <v>17193</v>
      </c>
      <c r="H180">
        <v>0</v>
      </c>
      <c r="I180" t="str">
        <f>_xlfn.XLOOKUP($C180,战区信息!$A$1:$A$5,战区信息!$B$1:$B$5)</f>
        <v>001</v>
      </c>
      <c r="J180" t="str">
        <f>_xlfn.XLOOKUP($C180,战区信息!$A$1:$A$5,战区信息!$C$1:$C$5)</f>
        <v>江永</v>
      </c>
      <c r="K180" t="str">
        <f>_xlfn.XLOOKUP($C180,战区信息!$A$1:$A$5,战区信息!$D$1:$D$5)</f>
        <v>一级战区</v>
      </c>
      <c r="L180" t="str">
        <f>_xlfn.XLOOKUP($D180,城市信息!$B$1:$B$14,城市信息!$A$1:$A$14)</f>
        <v>013</v>
      </c>
      <c r="M180" t="str">
        <f>_xlfn.XLOOKUP($D180,城市信息!$B$1:$B$14,城市信息!$C$1:$C$14)</f>
        <v>张建</v>
      </c>
      <c r="N180" t="str">
        <f>_xlfn.XLOOKUP($D180,城市信息!$B$1:$B$14,城市信息!$D$1:$D$14)</f>
        <v>二线</v>
      </c>
      <c r="O180">
        <f>_xlfn.XLOOKUP($D180,城市信息!$B$1:$B$14,城市信息!$E$1:$E$14)</f>
        <v>8800</v>
      </c>
      <c r="P180" cm="1">
        <f t="array" ref="P180:U180">_xlfn.XLOOKUP(A180&amp;B180,'[1]2.4自动化报表-8月获客数据-非乱码'!$A:$A&amp;'[1]2.4自动化报表-8月获客数据-非乱码'!$B:$B,'[1]2.4自动化报表-8月获客数据-非乱码'!$C:$H)</f>
        <v>5407</v>
      </c>
      <c r="Q180">
        <v>5224</v>
      </c>
      <c r="R180">
        <v>4994</v>
      </c>
      <c r="S180">
        <v>3015</v>
      </c>
      <c r="T180">
        <v>1519</v>
      </c>
      <c r="U180">
        <v>694</v>
      </c>
    </row>
    <row r="181" spans="1:21" x14ac:dyDescent="0.3">
      <c r="A181" s="1">
        <v>44050</v>
      </c>
      <c r="B181" t="s">
        <v>22</v>
      </c>
      <c r="C181" t="s">
        <v>108</v>
      </c>
      <c r="D181" t="s">
        <v>109</v>
      </c>
      <c r="E181" t="s">
        <v>111</v>
      </c>
      <c r="F181" s="2">
        <v>20134</v>
      </c>
      <c r="G181" s="2">
        <v>1128</v>
      </c>
      <c r="H181">
        <v>0</v>
      </c>
      <c r="I181" t="str">
        <f>_xlfn.XLOOKUP($C181,战区信息!$A$1:$A$5,战区信息!$B$1:$B$5)</f>
        <v>001</v>
      </c>
      <c r="J181" t="str">
        <f>_xlfn.XLOOKUP($C181,战区信息!$A$1:$A$5,战区信息!$C$1:$C$5)</f>
        <v>江永</v>
      </c>
      <c r="K181" t="str">
        <f>_xlfn.XLOOKUP($C181,战区信息!$A$1:$A$5,战区信息!$D$1:$D$5)</f>
        <v>一级战区</v>
      </c>
      <c r="L181" t="str">
        <f>_xlfn.XLOOKUP($D181,城市信息!$B$1:$B$14,城市信息!$A$1:$A$14)</f>
        <v>013</v>
      </c>
      <c r="M181" t="str">
        <f>_xlfn.XLOOKUP($D181,城市信息!$B$1:$B$14,城市信息!$C$1:$C$14)</f>
        <v>张建</v>
      </c>
      <c r="N181" t="str">
        <f>_xlfn.XLOOKUP($D181,城市信息!$B$1:$B$14,城市信息!$D$1:$D$14)</f>
        <v>二线</v>
      </c>
      <c r="O181">
        <f>_xlfn.XLOOKUP($D181,城市信息!$B$1:$B$14,城市信息!$E$1:$E$14)</f>
        <v>8800</v>
      </c>
      <c r="P181" cm="1">
        <f t="array" ref="P181:U181">_xlfn.XLOOKUP(A181&amp;B181,'[1]2.4自动化报表-8月获客数据-非乱码'!$A:$A&amp;'[1]2.4自动化报表-8月获客数据-非乱码'!$B:$B,'[1]2.4自动化报表-8月获客数据-非乱码'!$C:$H)</f>
        <v>361</v>
      </c>
      <c r="Q181">
        <v>355</v>
      </c>
      <c r="R181">
        <v>325</v>
      </c>
      <c r="S181">
        <v>193</v>
      </c>
      <c r="T181">
        <v>116</v>
      </c>
      <c r="U181">
        <v>691</v>
      </c>
    </row>
    <row r="182" spans="1:21" x14ac:dyDescent="0.3">
      <c r="A182" s="1">
        <v>44050</v>
      </c>
      <c r="B182" t="s">
        <v>21</v>
      </c>
      <c r="C182" t="s">
        <v>108</v>
      </c>
      <c r="D182" t="s">
        <v>109</v>
      </c>
      <c r="E182" t="s">
        <v>112</v>
      </c>
      <c r="F182" s="2">
        <v>216055</v>
      </c>
      <c r="G182" s="2">
        <v>12350</v>
      </c>
      <c r="H182">
        <v>789</v>
      </c>
      <c r="I182" t="str">
        <f>_xlfn.XLOOKUP($C182,战区信息!$A$1:$A$5,战区信息!$B$1:$B$5)</f>
        <v>001</v>
      </c>
      <c r="J182" t="str">
        <f>_xlfn.XLOOKUP($C182,战区信息!$A$1:$A$5,战区信息!$C$1:$C$5)</f>
        <v>江永</v>
      </c>
      <c r="K182" t="str">
        <f>_xlfn.XLOOKUP($C182,战区信息!$A$1:$A$5,战区信息!$D$1:$D$5)</f>
        <v>一级战区</v>
      </c>
      <c r="L182" t="str">
        <f>_xlfn.XLOOKUP($D182,城市信息!$B$1:$B$14,城市信息!$A$1:$A$14)</f>
        <v>013</v>
      </c>
      <c r="M182" t="str">
        <f>_xlfn.XLOOKUP($D182,城市信息!$B$1:$B$14,城市信息!$C$1:$C$14)</f>
        <v>张建</v>
      </c>
      <c r="N182" t="str">
        <f>_xlfn.XLOOKUP($D182,城市信息!$B$1:$B$14,城市信息!$D$1:$D$14)</f>
        <v>二线</v>
      </c>
      <c r="O182">
        <f>_xlfn.XLOOKUP($D182,城市信息!$B$1:$B$14,城市信息!$E$1:$E$14)</f>
        <v>8800</v>
      </c>
      <c r="P182" cm="1">
        <f t="array" ref="P182:U182">_xlfn.XLOOKUP(A182&amp;B182,'[1]2.4自动化报表-8月获客数据-非乱码'!$A:$A&amp;'[1]2.4自动化报表-8月获客数据-非乱码'!$B:$B,'[1]2.4自动化报表-8月获客数据-非乱码'!$C:$H)</f>
        <v>6577</v>
      </c>
      <c r="Q182">
        <v>6317</v>
      </c>
      <c r="R182">
        <v>6008</v>
      </c>
      <c r="S182">
        <v>3472</v>
      </c>
      <c r="T182">
        <v>1875</v>
      </c>
      <c r="U182">
        <v>696</v>
      </c>
    </row>
    <row r="183" spans="1:21" x14ac:dyDescent="0.3">
      <c r="A183" s="1">
        <v>44050</v>
      </c>
      <c r="B183" t="s">
        <v>20</v>
      </c>
      <c r="C183" t="s">
        <v>108</v>
      </c>
      <c r="D183" t="s">
        <v>56</v>
      </c>
      <c r="E183" t="s">
        <v>113</v>
      </c>
      <c r="F183" s="2">
        <v>249984</v>
      </c>
      <c r="G183" s="2">
        <v>15309</v>
      </c>
      <c r="H183">
        <v>0</v>
      </c>
      <c r="I183" t="str">
        <f>_xlfn.XLOOKUP($C183,战区信息!$A$1:$A$5,战区信息!$B$1:$B$5)</f>
        <v>001</v>
      </c>
      <c r="J183" t="str">
        <f>_xlfn.XLOOKUP($C183,战区信息!$A$1:$A$5,战区信息!$C$1:$C$5)</f>
        <v>江永</v>
      </c>
      <c r="K183" t="str">
        <f>_xlfn.XLOOKUP($C183,战区信息!$A$1:$A$5,战区信息!$D$1:$D$5)</f>
        <v>一级战区</v>
      </c>
      <c r="L183" t="str">
        <f>_xlfn.XLOOKUP($D183,城市信息!$B$1:$B$14,城市信息!$A$1:$A$14)</f>
        <v>001</v>
      </c>
      <c r="M183" t="str">
        <f>_xlfn.XLOOKUP($D183,城市信息!$B$1:$B$14,城市信息!$C$1:$C$14)</f>
        <v>吴刚</v>
      </c>
      <c r="N183" t="str">
        <f>_xlfn.XLOOKUP($D183,城市信息!$B$1:$B$14,城市信息!$D$1:$D$14)</f>
        <v>一线</v>
      </c>
      <c r="O183">
        <f>_xlfn.XLOOKUP($D183,城市信息!$B$1:$B$14,城市信息!$E$1:$E$14)</f>
        <v>12114</v>
      </c>
      <c r="P183" cm="1">
        <f t="array" ref="P183:U183">_xlfn.XLOOKUP(A183&amp;B183,'[1]2.4自动化报表-8月获客数据-非乱码'!$A:$A&amp;'[1]2.4自动化报表-8月获客数据-非乱码'!$B:$B,'[1]2.4自动化报表-8月获客数据-非乱码'!$C:$H)</f>
        <v>6397</v>
      </c>
      <c r="Q183">
        <v>6206</v>
      </c>
      <c r="R183">
        <v>5971</v>
      </c>
      <c r="S183">
        <v>3604</v>
      </c>
      <c r="T183">
        <v>1997</v>
      </c>
      <c r="U183">
        <v>693</v>
      </c>
    </row>
    <row r="184" spans="1:21" x14ac:dyDescent="0.3">
      <c r="A184" s="1">
        <v>44050</v>
      </c>
      <c r="B184" t="s">
        <v>19</v>
      </c>
      <c r="C184" t="s">
        <v>108</v>
      </c>
      <c r="D184" t="s">
        <v>56</v>
      </c>
      <c r="E184" t="s">
        <v>114</v>
      </c>
      <c r="F184" s="2">
        <v>39503</v>
      </c>
      <c r="G184" s="2">
        <v>2225</v>
      </c>
      <c r="H184" s="2">
        <v>1000</v>
      </c>
      <c r="I184" t="str">
        <f>_xlfn.XLOOKUP($C184,战区信息!$A$1:$A$5,战区信息!$B$1:$B$5)</f>
        <v>001</v>
      </c>
      <c r="J184" t="str">
        <f>_xlfn.XLOOKUP($C184,战区信息!$A$1:$A$5,战区信息!$C$1:$C$5)</f>
        <v>江永</v>
      </c>
      <c r="K184" t="str">
        <f>_xlfn.XLOOKUP($C184,战区信息!$A$1:$A$5,战区信息!$D$1:$D$5)</f>
        <v>一级战区</v>
      </c>
      <c r="L184" t="str">
        <f>_xlfn.XLOOKUP($D184,城市信息!$B$1:$B$14,城市信息!$A$1:$A$14)</f>
        <v>001</v>
      </c>
      <c r="M184" t="str">
        <f>_xlfn.XLOOKUP($D184,城市信息!$B$1:$B$14,城市信息!$C$1:$C$14)</f>
        <v>吴刚</v>
      </c>
      <c r="N184" t="str">
        <f>_xlfn.XLOOKUP($D184,城市信息!$B$1:$B$14,城市信息!$D$1:$D$14)</f>
        <v>一线</v>
      </c>
      <c r="O184">
        <f>_xlfn.XLOOKUP($D184,城市信息!$B$1:$B$14,城市信息!$E$1:$E$14)</f>
        <v>12114</v>
      </c>
      <c r="P184" cm="1">
        <f t="array" ref="P184:U184">_xlfn.XLOOKUP(A184&amp;B184,'[1]2.4自动化报表-8月获客数据-非乱码'!$A:$A&amp;'[1]2.4自动化报表-8月获客数据-非乱码'!$B:$B,'[1]2.4自动化报表-8月获客数据-非乱码'!$C:$H)</f>
        <v>2199</v>
      </c>
      <c r="Q184">
        <v>2160</v>
      </c>
      <c r="R184">
        <v>2085</v>
      </c>
      <c r="S184">
        <v>1198</v>
      </c>
      <c r="T184">
        <v>730</v>
      </c>
      <c r="U184">
        <v>693</v>
      </c>
    </row>
    <row r="185" spans="1:21" x14ac:dyDescent="0.3">
      <c r="A185" s="1">
        <v>44050</v>
      </c>
      <c r="B185" t="s">
        <v>18</v>
      </c>
      <c r="C185" t="s">
        <v>108</v>
      </c>
      <c r="D185" t="s">
        <v>56</v>
      </c>
      <c r="E185" t="s">
        <v>115</v>
      </c>
      <c r="F185" s="2">
        <v>138456</v>
      </c>
      <c r="G185" s="2">
        <v>8159</v>
      </c>
      <c r="H185" s="2">
        <v>1001</v>
      </c>
      <c r="I185" t="str">
        <f>_xlfn.XLOOKUP($C185,战区信息!$A$1:$A$5,战区信息!$B$1:$B$5)</f>
        <v>001</v>
      </c>
      <c r="J185" t="str">
        <f>_xlfn.XLOOKUP($C185,战区信息!$A$1:$A$5,战区信息!$C$1:$C$5)</f>
        <v>江永</v>
      </c>
      <c r="K185" t="str">
        <f>_xlfn.XLOOKUP($C185,战区信息!$A$1:$A$5,战区信息!$D$1:$D$5)</f>
        <v>一级战区</v>
      </c>
      <c r="L185" t="str">
        <f>_xlfn.XLOOKUP($D185,城市信息!$B$1:$B$14,城市信息!$A$1:$A$14)</f>
        <v>001</v>
      </c>
      <c r="M185" t="str">
        <f>_xlfn.XLOOKUP($D185,城市信息!$B$1:$B$14,城市信息!$C$1:$C$14)</f>
        <v>吴刚</v>
      </c>
      <c r="N185" t="str">
        <f>_xlfn.XLOOKUP($D185,城市信息!$B$1:$B$14,城市信息!$D$1:$D$14)</f>
        <v>一线</v>
      </c>
      <c r="O185">
        <f>_xlfn.XLOOKUP($D185,城市信息!$B$1:$B$14,城市信息!$E$1:$E$14)</f>
        <v>12114</v>
      </c>
      <c r="P185" cm="1">
        <f t="array" ref="P185:U185">_xlfn.XLOOKUP(A185&amp;B185,'[1]2.4自动化报表-8月获客数据-非乱码'!$A:$A&amp;'[1]2.4自动化报表-8月获客数据-非乱码'!$B:$B,'[1]2.4自动化报表-8月获客数据-非乱码'!$C:$H)</f>
        <v>3435</v>
      </c>
      <c r="Q185">
        <v>3380</v>
      </c>
      <c r="R185">
        <v>3240</v>
      </c>
      <c r="S185">
        <v>1944</v>
      </c>
      <c r="T185">
        <v>1048</v>
      </c>
      <c r="U185">
        <v>690</v>
      </c>
    </row>
    <row r="186" spans="1:21" x14ac:dyDescent="0.3">
      <c r="A186" s="1">
        <v>44050</v>
      </c>
      <c r="B186" t="s">
        <v>17</v>
      </c>
      <c r="C186" t="s">
        <v>108</v>
      </c>
      <c r="D186" t="s">
        <v>59</v>
      </c>
      <c r="E186" t="s">
        <v>116</v>
      </c>
      <c r="F186" s="2">
        <v>107039</v>
      </c>
      <c r="G186" s="2">
        <v>7751</v>
      </c>
      <c r="H186">
        <v>0</v>
      </c>
      <c r="I186" t="str">
        <f>_xlfn.XLOOKUP($C186,战区信息!$A$1:$A$5,战区信息!$B$1:$B$5)</f>
        <v>001</v>
      </c>
      <c r="J186" t="str">
        <f>_xlfn.XLOOKUP($C186,战区信息!$A$1:$A$5,战区信息!$C$1:$C$5)</f>
        <v>江永</v>
      </c>
      <c r="K186" t="str">
        <f>_xlfn.XLOOKUP($C186,战区信息!$A$1:$A$5,战区信息!$D$1:$D$5)</f>
        <v>一级战区</v>
      </c>
      <c r="L186" t="str">
        <f>_xlfn.XLOOKUP($D186,城市信息!$B$1:$B$14,城市信息!$A$1:$A$14)</f>
        <v>004</v>
      </c>
      <c r="M186" t="str">
        <f>_xlfn.XLOOKUP($D186,城市信息!$B$1:$B$14,城市信息!$C$1:$C$14)</f>
        <v>苏川</v>
      </c>
      <c r="N186" t="str">
        <f>_xlfn.XLOOKUP($D186,城市信息!$B$1:$B$14,城市信息!$D$1:$D$14)</f>
        <v>二线</v>
      </c>
      <c r="O186">
        <f>_xlfn.XLOOKUP($D186,城市信息!$B$1:$B$14,城市信息!$E$1:$E$14)</f>
        <v>9912</v>
      </c>
      <c r="P186" cm="1">
        <f t="array" ref="P186:U186">_xlfn.XLOOKUP(A186&amp;B186,'[1]2.4自动化报表-8月获客数据-非乱码'!$A:$A&amp;'[1]2.4自动化报表-8月获客数据-非乱码'!$B:$B,'[1]2.4自动化报表-8月获客数据-非乱码'!$C:$H)</f>
        <v>3966</v>
      </c>
      <c r="Q186">
        <v>3880</v>
      </c>
      <c r="R186">
        <v>3735</v>
      </c>
      <c r="S186">
        <v>2154</v>
      </c>
      <c r="T186">
        <v>1190</v>
      </c>
      <c r="U186">
        <v>697</v>
      </c>
    </row>
    <row r="187" spans="1:21" x14ac:dyDescent="0.3">
      <c r="A187" s="1">
        <v>44050</v>
      </c>
      <c r="B187" t="s">
        <v>16</v>
      </c>
      <c r="C187" t="s">
        <v>108</v>
      </c>
      <c r="D187" t="s">
        <v>59</v>
      </c>
      <c r="E187" t="s">
        <v>117</v>
      </c>
      <c r="F187" s="2">
        <v>39502</v>
      </c>
      <c r="G187" s="2">
        <v>2046</v>
      </c>
      <c r="H187">
        <v>0</v>
      </c>
      <c r="I187" t="str">
        <f>_xlfn.XLOOKUP($C187,战区信息!$A$1:$A$5,战区信息!$B$1:$B$5)</f>
        <v>001</v>
      </c>
      <c r="J187" t="str">
        <f>_xlfn.XLOOKUP($C187,战区信息!$A$1:$A$5,战区信息!$C$1:$C$5)</f>
        <v>江永</v>
      </c>
      <c r="K187" t="str">
        <f>_xlfn.XLOOKUP($C187,战区信息!$A$1:$A$5,战区信息!$D$1:$D$5)</f>
        <v>一级战区</v>
      </c>
      <c r="L187" t="str">
        <f>_xlfn.XLOOKUP($D187,城市信息!$B$1:$B$14,城市信息!$A$1:$A$14)</f>
        <v>004</v>
      </c>
      <c r="M187" t="str">
        <f>_xlfn.XLOOKUP($D187,城市信息!$B$1:$B$14,城市信息!$C$1:$C$14)</f>
        <v>苏川</v>
      </c>
      <c r="N187" t="str">
        <f>_xlfn.XLOOKUP($D187,城市信息!$B$1:$B$14,城市信息!$D$1:$D$14)</f>
        <v>二线</v>
      </c>
      <c r="O187">
        <f>_xlfn.XLOOKUP($D187,城市信息!$B$1:$B$14,城市信息!$E$1:$E$14)</f>
        <v>9912</v>
      </c>
      <c r="P187" cm="1">
        <f t="array" ref="P187:U187">_xlfn.XLOOKUP(A187&amp;B187,'[1]2.4自动化报表-8月获客数据-非乱码'!$A:$A&amp;'[1]2.4自动化报表-8月获客数据-非乱码'!$B:$B,'[1]2.4自动化报表-8月获客数据-非乱码'!$C:$H)</f>
        <v>998</v>
      </c>
      <c r="Q187">
        <v>974</v>
      </c>
      <c r="R187">
        <v>935</v>
      </c>
      <c r="S187">
        <v>513</v>
      </c>
      <c r="T187">
        <v>295</v>
      </c>
      <c r="U187">
        <v>694</v>
      </c>
    </row>
    <row r="188" spans="1:21" x14ac:dyDescent="0.3">
      <c r="A188" s="1">
        <v>44050</v>
      </c>
      <c r="B188" t="s">
        <v>15</v>
      </c>
      <c r="C188" t="s">
        <v>108</v>
      </c>
      <c r="D188" t="s">
        <v>59</v>
      </c>
      <c r="E188" t="s">
        <v>118</v>
      </c>
      <c r="F188" s="2">
        <v>56107</v>
      </c>
      <c r="G188" s="2">
        <v>5760</v>
      </c>
      <c r="H188">
        <v>0</v>
      </c>
      <c r="I188" t="str">
        <f>_xlfn.XLOOKUP($C188,战区信息!$A$1:$A$5,战区信息!$B$1:$B$5)</f>
        <v>001</v>
      </c>
      <c r="J188" t="str">
        <f>_xlfn.XLOOKUP($C188,战区信息!$A$1:$A$5,战区信息!$C$1:$C$5)</f>
        <v>江永</v>
      </c>
      <c r="K188" t="str">
        <f>_xlfn.XLOOKUP($C188,战区信息!$A$1:$A$5,战区信息!$D$1:$D$5)</f>
        <v>一级战区</v>
      </c>
      <c r="L188" t="str">
        <f>_xlfn.XLOOKUP($D188,城市信息!$B$1:$B$14,城市信息!$A$1:$A$14)</f>
        <v>004</v>
      </c>
      <c r="M188" t="str">
        <f>_xlfn.XLOOKUP($D188,城市信息!$B$1:$B$14,城市信息!$C$1:$C$14)</f>
        <v>苏川</v>
      </c>
      <c r="N188" t="str">
        <f>_xlfn.XLOOKUP($D188,城市信息!$B$1:$B$14,城市信息!$D$1:$D$14)</f>
        <v>二线</v>
      </c>
      <c r="O188">
        <f>_xlfn.XLOOKUP($D188,城市信息!$B$1:$B$14,城市信息!$E$1:$E$14)</f>
        <v>9912</v>
      </c>
      <c r="P188" cm="1">
        <f t="array" ref="P188:U188">_xlfn.XLOOKUP(A188&amp;B188,'[1]2.4自动化报表-8月获客数据-非乱码'!$A:$A&amp;'[1]2.4自动化报表-8月获客数据-非乱码'!$B:$B,'[1]2.4自动化报表-8月获客数据-非乱码'!$C:$H)</f>
        <v>2869</v>
      </c>
      <c r="Q188">
        <v>2815</v>
      </c>
      <c r="R188">
        <v>2713</v>
      </c>
      <c r="S188">
        <v>1648</v>
      </c>
      <c r="T188">
        <v>829</v>
      </c>
      <c r="U188">
        <v>698</v>
      </c>
    </row>
    <row r="189" spans="1:21" x14ac:dyDescent="0.3">
      <c r="A189" s="1">
        <v>44050</v>
      </c>
      <c r="B189" t="s">
        <v>14</v>
      </c>
      <c r="C189" t="s">
        <v>108</v>
      </c>
      <c r="D189" t="s">
        <v>59</v>
      </c>
      <c r="E189" t="s">
        <v>119</v>
      </c>
      <c r="F189" s="2">
        <v>35511</v>
      </c>
      <c r="G189" s="2">
        <v>2713</v>
      </c>
      <c r="H189">
        <v>0</v>
      </c>
      <c r="I189" t="str">
        <f>_xlfn.XLOOKUP($C189,战区信息!$A$1:$A$5,战区信息!$B$1:$B$5)</f>
        <v>001</v>
      </c>
      <c r="J189" t="str">
        <f>_xlfn.XLOOKUP($C189,战区信息!$A$1:$A$5,战区信息!$C$1:$C$5)</f>
        <v>江永</v>
      </c>
      <c r="K189" t="str">
        <f>_xlfn.XLOOKUP($C189,战区信息!$A$1:$A$5,战区信息!$D$1:$D$5)</f>
        <v>一级战区</v>
      </c>
      <c r="L189" t="str">
        <f>_xlfn.XLOOKUP($D189,城市信息!$B$1:$B$14,城市信息!$A$1:$A$14)</f>
        <v>004</v>
      </c>
      <c r="M189" t="str">
        <f>_xlfn.XLOOKUP($D189,城市信息!$B$1:$B$14,城市信息!$C$1:$C$14)</f>
        <v>苏川</v>
      </c>
      <c r="N189" t="str">
        <f>_xlfn.XLOOKUP($D189,城市信息!$B$1:$B$14,城市信息!$D$1:$D$14)</f>
        <v>二线</v>
      </c>
      <c r="O189">
        <f>_xlfn.XLOOKUP($D189,城市信息!$B$1:$B$14,城市信息!$E$1:$E$14)</f>
        <v>9912</v>
      </c>
      <c r="P189" cm="1">
        <f t="array" ref="P189:U189">_xlfn.XLOOKUP(A189&amp;B189,'[1]2.4自动化报表-8月获客数据-非乱码'!$A:$A&amp;'[1]2.4自动化报表-8月获客数据-非乱码'!$B:$B,'[1]2.4自动化报表-8月获客数据-非乱码'!$C:$H)</f>
        <v>1815</v>
      </c>
      <c r="Q189">
        <v>1759</v>
      </c>
      <c r="R189">
        <v>1685</v>
      </c>
      <c r="S189">
        <v>1060</v>
      </c>
      <c r="T189">
        <v>545</v>
      </c>
      <c r="U189">
        <v>699</v>
      </c>
    </row>
    <row r="190" spans="1:21" x14ac:dyDescent="0.3">
      <c r="A190" s="1">
        <v>44050</v>
      </c>
      <c r="B190" t="s">
        <v>13</v>
      </c>
      <c r="C190" t="s">
        <v>108</v>
      </c>
      <c r="D190" t="s">
        <v>60</v>
      </c>
      <c r="E190" t="s">
        <v>120</v>
      </c>
      <c r="F190" s="2">
        <v>87920</v>
      </c>
      <c r="G190" s="2">
        <v>5436</v>
      </c>
      <c r="H190">
        <v>0</v>
      </c>
      <c r="I190" t="str">
        <f>_xlfn.XLOOKUP($C190,战区信息!$A$1:$A$5,战区信息!$B$1:$B$5)</f>
        <v>001</v>
      </c>
      <c r="J190" t="str">
        <f>_xlfn.XLOOKUP($C190,战区信息!$A$1:$A$5,战区信息!$C$1:$C$5)</f>
        <v>江永</v>
      </c>
      <c r="K190" t="str">
        <f>_xlfn.XLOOKUP($C190,战区信息!$A$1:$A$5,战区信息!$D$1:$D$5)</f>
        <v>一级战区</v>
      </c>
      <c r="L190" t="str">
        <f>_xlfn.XLOOKUP($D190,城市信息!$B$1:$B$14,城市信息!$A$1:$A$14)</f>
        <v>005</v>
      </c>
      <c r="M190" t="str">
        <f>_xlfn.XLOOKUP($D190,城市信息!$B$1:$B$14,城市信息!$C$1:$C$14)</f>
        <v>侯阳冰</v>
      </c>
      <c r="N190" t="str">
        <f>_xlfn.XLOOKUP($D190,城市信息!$B$1:$B$14,城市信息!$D$1:$D$14)</f>
        <v>二线</v>
      </c>
      <c r="O190">
        <f>_xlfn.XLOOKUP($D190,城市信息!$B$1:$B$14,城市信息!$E$1:$E$14)</f>
        <v>8694</v>
      </c>
      <c r="P190" cm="1">
        <f t="array" ref="P190:U190">_xlfn.XLOOKUP(A190&amp;B190,'[1]2.4自动化报表-8月获客数据-非乱码'!$A:$A&amp;'[1]2.4自动化报表-8月获客数据-非乱码'!$B:$B,'[1]2.4自动化报表-8月获客数据-非乱码'!$C:$H)</f>
        <v>4384</v>
      </c>
      <c r="Q190">
        <v>4272</v>
      </c>
      <c r="R190">
        <v>4062</v>
      </c>
      <c r="S190">
        <v>2481</v>
      </c>
      <c r="T190">
        <v>1205</v>
      </c>
      <c r="U190">
        <v>693</v>
      </c>
    </row>
    <row r="191" spans="1:21" x14ac:dyDescent="0.3">
      <c r="A191" s="1">
        <v>44050</v>
      </c>
      <c r="B191" t="s">
        <v>12</v>
      </c>
      <c r="C191" t="s">
        <v>108</v>
      </c>
      <c r="D191" t="s">
        <v>60</v>
      </c>
      <c r="E191" t="s">
        <v>121</v>
      </c>
      <c r="F191" s="2">
        <v>51824</v>
      </c>
      <c r="G191" s="2">
        <v>4757</v>
      </c>
      <c r="H191">
        <v>0</v>
      </c>
      <c r="I191" t="str">
        <f>_xlfn.XLOOKUP($C191,战区信息!$A$1:$A$5,战区信息!$B$1:$B$5)</f>
        <v>001</v>
      </c>
      <c r="J191" t="str">
        <f>_xlfn.XLOOKUP($C191,战区信息!$A$1:$A$5,战区信息!$C$1:$C$5)</f>
        <v>江永</v>
      </c>
      <c r="K191" t="str">
        <f>_xlfn.XLOOKUP($C191,战区信息!$A$1:$A$5,战区信息!$D$1:$D$5)</f>
        <v>一级战区</v>
      </c>
      <c r="L191" t="str">
        <f>_xlfn.XLOOKUP($D191,城市信息!$B$1:$B$14,城市信息!$A$1:$A$14)</f>
        <v>005</v>
      </c>
      <c r="M191" t="str">
        <f>_xlfn.XLOOKUP($D191,城市信息!$B$1:$B$14,城市信息!$C$1:$C$14)</f>
        <v>侯阳冰</v>
      </c>
      <c r="N191" t="str">
        <f>_xlfn.XLOOKUP($D191,城市信息!$B$1:$B$14,城市信息!$D$1:$D$14)</f>
        <v>二线</v>
      </c>
      <c r="O191">
        <f>_xlfn.XLOOKUP($D191,城市信息!$B$1:$B$14,城市信息!$E$1:$E$14)</f>
        <v>8694</v>
      </c>
      <c r="P191" cm="1">
        <f t="array" ref="P191:U191">_xlfn.XLOOKUP(A191&amp;B191,'[1]2.4自动化报表-8月获客数据-非乱码'!$A:$A&amp;'[1]2.4自动化报表-8月获客数据-非乱码'!$B:$B,'[1]2.4自动化报表-8月获客数据-非乱码'!$C:$H)</f>
        <v>1307</v>
      </c>
      <c r="Q191">
        <v>1277</v>
      </c>
      <c r="R191">
        <v>1207</v>
      </c>
      <c r="S191">
        <v>770</v>
      </c>
      <c r="T191">
        <v>368</v>
      </c>
      <c r="U191">
        <v>697</v>
      </c>
    </row>
    <row r="192" spans="1:21" x14ac:dyDescent="0.3">
      <c r="A192" s="1">
        <v>44050</v>
      </c>
      <c r="B192" t="s">
        <v>11</v>
      </c>
      <c r="C192" t="s">
        <v>108</v>
      </c>
      <c r="D192" t="s">
        <v>58</v>
      </c>
      <c r="E192" t="s">
        <v>122</v>
      </c>
      <c r="F192" s="2">
        <v>242560</v>
      </c>
      <c r="G192" s="2">
        <v>15755</v>
      </c>
      <c r="H192" s="2">
        <v>19860</v>
      </c>
      <c r="I192" t="str">
        <f>_xlfn.XLOOKUP($C192,战区信息!$A$1:$A$5,战区信息!$B$1:$B$5)</f>
        <v>001</v>
      </c>
      <c r="J192" t="str">
        <f>_xlfn.XLOOKUP($C192,战区信息!$A$1:$A$5,战区信息!$C$1:$C$5)</f>
        <v>江永</v>
      </c>
      <c r="K192" t="str">
        <f>_xlfn.XLOOKUP($C192,战区信息!$A$1:$A$5,战区信息!$D$1:$D$5)</f>
        <v>一级战区</v>
      </c>
      <c r="L192" t="str">
        <f>_xlfn.XLOOKUP($D192,城市信息!$B$1:$B$14,城市信息!$A$1:$A$14)</f>
        <v>003</v>
      </c>
      <c r="M192" t="str">
        <f>_xlfn.XLOOKUP($D192,城市信息!$B$1:$B$14,城市信息!$C$1:$C$14)</f>
        <v>杜光亮</v>
      </c>
      <c r="N192" t="str">
        <f>_xlfn.XLOOKUP($D192,城市信息!$B$1:$B$14,城市信息!$D$1:$D$14)</f>
        <v>二线</v>
      </c>
      <c r="O192">
        <f>_xlfn.XLOOKUP($D192,城市信息!$B$1:$B$14,城市信息!$E$1:$E$14)</f>
        <v>10499</v>
      </c>
      <c r="P192" cm="1">
        <f t="array" ref="P192:U192">_xlfn.XLOOKUP(A192&amp;B192,'[1]2.4自动化报表-8月获客数据-非乱码'!$A:$A&amp;'[1]2.4自动化报表-8月获客数据-非乱码'!$B:$B,'[1]2.4自动化报表-8月获客数据-非乱码'!$C:$H)</f>
        <v>6548</v>
      </c>
      <c r="Q192">
        <v>6290</v>
      </c>
      <c r="R192">
        <v>5971</v>
      </c>
      <c r="S192">
        <v>3662</v>
      </c>
      <c r="T192">
        <v>1756</v>
      </c>
      <c r="U192">
        <v>701</v>
      </c>
    </row>
    <row r="193" spans="1:21" x14ac:dyDescent="0.3">
      <c r="A193" s="1">
        <v>44050</v>
      </c>
      <c r="B193" t="s">
        <v>10</v>
      </c>
      <c r="C193" t="s">
        <v>108</v>
      </c>
      <c r="D193" t="s">
        <v>58</v>
      </c>
      <c r="E193" t="s">
        <v>123</v>
      </c>
      <c r="F193" s="2">
        <v>103711</v>
      </c>
      <c r="G193" s="2">
        <v>6303</v>
      </c>
      <c r="H193">
        <v>0</v>
      </c>
      <c r="I193" t="str">
        <f>_xlfn.XLOOKUP($C193,战区信息!$A$1:$A$5,战区信息!$B$1:$B$5)</f>
        <v>001</v>
      </c>
      <c r="J193" t="str">
        <f>_xlfn.XLOOKUP($C193,战区信息!$A$1:$A$5,战区信息!$C$1:$C$5)</f>
        <v>江永</v>
      </c>
      <c r="K193" t="str">
        <f>_xlfn.XLOOKUP($C193,战区信息!$A$1:$A$5,战区信息!$D$1:$D$5)</f>
        <v>一级战区</v>
      </c>
      <c r="L193" t="str">
        <f>_xlfn.XLOOKUP($D193,城市信息!$B$1:$B$14,城市信息!$A$1:$A$14)</f>
        <v>003</v>
      </c>
      <c r="M193" t="str">
        <f>_xlfn.XLOOKUP($D193,城市信息!$B$1:$B$14,城市信息!$C$1:$C$14)</f>
        <v>杜光亮</v>
      </c>
      <c r="N193" t="str">
        <f>_xlfn.XLOOKUP($D193,城市信息!$B$1:$B$14,城市信息!$D$1:$D$14)</f>
        <v>二线</v>
      </c>
      <c r="O193">
        <f>_xlfn.XLOOKUP($D193,城市信息!$B$1:$B$14,城市信息!$E$1:$E$14)</f>
        <v>10499</v>
      </c>
      <c r="P193" cm="1">
        <f t="array" ref="P193:U193">_xlfn.XLOOKUP(A193&amp;B193,'[1]2.4自动化报表-8月获客数据-非乱码'!$A:$A&amp;'[1]2.4自动化报表-8月获客数据-非乱码'!$B:$B,'[1]2.4自动化报表-8月获客数据-非乱码'!$C:$H)</f>
        <v>1773</v>
      </c>
      <c r="Q193">
        <v>1738</v>
      </c>
      <c r="R193">
        <v>1690</v>
      </c>
      <c r="S193">
        <v>1017</v>
      </c>
      <c r="T193">
        <v>614</v>
      </c>
      <c r="U193">
        <v>701</v>
      </c>
    </row>
    <row r="194" spans="1:21" x14ac:dyDescent="0.3">
      <c r="A194" s="1">
        <v>44050</v>
      </c>
      <c r="B194" t="s">
        <v>9</v>
      </c>
      <c r="C194" t="s">
        <v>108</v>
      </c>
      <c r="D194" t="s">
        <v>58</v>
      </c>
      <c r="E194" t="s">
        <v>124</v>
      </c>
      <c r="F194" s="2">
        <v>145154</v>
      </c>
      <c r="G194" s="2">
        <v>9889</v>
      </c>
      <c r="H194">
        <v>0</v>
      </c>
      <c r="I194" t="str">
        <f>_xlfn.XLOOKUP($C194,战区信息!$A$1:$A$5,战区信息!$B$1:$B$5)</f>
        <v>001</v>
      </c>
      <c r="J194" t="str">
        <f>_xlfn.XLOOKUP($C194,战区信息!$A$1:$A$5,战区信息!$C$1:$C$5)</f>
        <v>江永</v>
      </c>
      <c r="K194" t="str">
        <f>_xlfn.XLOOKUP($C194,战区信息!$A$1:$A$5,战区信息!$D$1:$D$5)</f>
        <v>一级战区</v>
      </c>
      <c r="L194" t="str">
        <f>_xlfn.XLOOKUP($D194,城市信息!$B$1:$B$14,城市信息!$A$1:$A$14)</f>
        <v>003</v>
      </c>
      <c r="M194" t="str">
        <f>_xlfn.XLOOKUP($D194,城市信息!$B$1:$B$14,城市信息!$C$1:$C$14)</f>
        <v>杜光亮</v>
      </c>
      <c r="N194" t="str">
        <f>_xlfn.XLOOKUP($D194,城市信息!$B$1:$B$14,城市信息!$D$1:$D$14)</f>
        <v>二线</v>
      </c>
      <c r="O194">
        <f>_xlfn.XLOOKUP($D194,城市信息!$B$1:$B$14,城市信息!$E$1:$E$14)</f>
        <v>10499</v>
      </c>
      <c r="P194" cm="1">
        <f t="array" ref="P194:U194">_xlfn.XLOOKUP(A194&amp;B194,'[1]2.4自动化报表-8月获客数据-非乱码'!$A:$A&amp;'[1]2.4自动化报表-8月获客数据-非乱码'!$B:$B,'[1]2.4自动化报表-8月获客数据-非乱码'!$C:$H)</f>
        <v>4358</v>
      </c>
      <c r="Q194">
        <v>4244</v>
      </c>
      <c r="R194">
        <v>4089</v>
      </c>
      <c r="S194">
        <v>2366</v>
      </c>
      <c r="T194">
        <v>1302</v>
      </c>
      <c r="U194">
        <v>694</v>
      </c>
    </row>
    <row r="195" spans="1:21" x14ac:dyDescent="0.3">
      <c r="A195" s="1">
        <v>44050</v>
      </c>
      <c r="B195" t="s">
        <v>8</v>
      </c>
      <c r="C195" t="s">
        <v>125</v>
      </c>
      <c r="D195" t="s">
        <v>66</v>
      </c>
      <c r="E195" t="s">
        <v>126</v>
      </c>
      <c r="F195" s="2">
        <v>84228</v>
      </c>
      <c r="G195" s="2">
        <v>4731</v>
      </c>
      <c r="H195">
        <v>0</v>
      </c>
      <c r="I195" t="str">
        <f>_xlfn.XLOOKUP($C195,战区信息!$A$1:$A$5,战区信息!$B$1:$B$5)</f>
        <v>004</v>
      </c>
      <c r="J195" t="str">
        <f>_xlfn.XLOOKUP($C195,战区信息!$A$1:$A$5,战区信息!$C$1:$C$5)</f>
        <v>沈乐欣</v>
      </c>
      <c r="K195" t="str">
        <f>_xlfn.XLOOKUP($C195,战区信息!$A$1:$A$5,战区信息!$D$1:$D$5)</f>
        <v>三级战区</v>
      </c>
      <c r="L195" t="str">
        <f>_xlfn.XLOOKUP($D195,城市信息!$B$1:$B$14,城市信息!$A$1:$A$14)</f>
        <v>011</v>
      </c>
      <c r="M195" t="str">
        <f>_xlfn.XLOOKUP($D195,城市信息!$B$1:$B$14,城市信息!$C$1:$C$14)</f>
        <v>冯谦</v>
      </c>
      <c r="N195" t="str">
        <f>_xlfn.XLOOKUP($D195,城市信息!$B$1:$B$14,城市信息!$D$1:$D$14)</f>
        <v>一线</v>
      </c>
      <c r="O195">
        <f>_xlfn.XLOOKUP($D195,城市信息!$B$1:$B$14,城市信息!$E$1:$E$14)</f>
        <v>8244</v>
      </c>
      <c r="P195" cm="1">
        <f t="array" ref="P195:U195">_xlfn.XLOOKUP(A195&amp;B195,'[1]2.4自动化报表-8月获客数据-非乱码'!$A:$A&amp;'[1]2.4自动化报表-8月获客数据-非乱码'!$B:$B,'[1]2.4自动化报表-8月获客数据-非乱码'!$C:$H)</f>
        <v>1649</v>
      </c>
      <c r="Q195">
        <v>1630</v>
      </c>
      <c r="R195">
        <v>1583</v>
      </c>
      <c r="S195">
        <v>847</v>
      </c>
      <c r="T195">
        <v>532</v>
      </c>
      <c r="U195">
        <v>684</v>
      </c>
    </row>
    <row r="196" spans="1:21" x14ac:dyDescent="0.3">
      <c r="A196" s="1">
        <v>44050</v>
      </c>
      <c r="B196" t="s">
        <v>7</v>
      </c>
      <c r="C196" t="s">
        <v>125</v>
      </c>
      <c r="D196" t="s">
        <v>62</v>
      </c>
      <c r="E196" t="s">
        <v>127</v>
      </c>
      <c r="F196" s="2">
        <v>2000</v>
      </c>
      <c r="G196">
        <v>148</v>
      </c>
      <c r="H196">
        <v>0</v>
      </c>
      <c r="I196" t="str">
        <f>_xlfn.XLOOKUP($C196,战区信息!$A$1:$A$5,战区信息!$B$1:$B$5)</f>
        <v>004</v>
      </c>
      <c r="J196" t="str">
        <f>_xlfn.XLOOKUP($C196,战区信息!$A$1:$A$5,战区信息!$C$1:$C$5)</f>
        <v>沈乐欣</v>
      </c>
      <c r="K196" t="str">
        <f>_xlfn.XLOOKUP($C196,战区信息!$A$1:$A$5,战区信息!$D$1:$D$5)</f>
        <v>三级战区</v>
      </c>
      <c r="L196" t="str">
        <f>_xlfn.XLOOKUP($D196,城市信息!$B$1:$B$14,城市信息!$A$1:$A$14)</f>
        <v>007</v>
      </c>
      <c r="M196" t="str">
        <f>_xlfn.XLOOKUP($D196,城市信息!$B$1:$B$14,城市信息!$C$1:$C$14)</f>
        <v>范俊发</v>
      </c>
      <c r="N196" t="str">
        <f>_xlfn.XLOOKUP($D196,城市信息!$B$1:$B$14,城市信息!$D$1:$D$14)</f>
        <v>一线</v>
      </c>
      <c r="O196">
        <f>_xlfn.XLOOKUP($D196,城市信息!$B$1:$B$14,城市信息!$E$1:$E$14)</f>
        <v>12358</v>
      </c>
      <c r="P196" cm="1">
        <f t="array" ref="P196:U196">_xlfn.XLOOKUP(A196&amp;B196,'[1]2.4自动化报表-8月获客数据-非乱码'!$A:$A&amp;'[1]2.4自动化报表-8月获客数据-非乱码'!$B:$B,'[1]2.4自动化报表-8月获客数据-非乱码'!$C:$H)</f>
        <v>15</v>
      </c>
      <c r="Q196">
        <v>14</v>
      </c>
      <c r="R196">
        <v>13</v>
      </c>
      <c r="S196">
        <v>8</v>
      </c>
      <c r="T196">
        <v>3</v>
      </c>
      <c r="U196">
        <v>696</v>
      </c>
    </row>
    <row r="197" spans="1:21" x14ac:dyDescent="0.3">
      <c r="A197" s="1">
        <v>44050</v>
      </c>
      <c r="B197" t="s">
        <v>6</v>
      </c>
      <c r="C197" t="s">
        <v>125</v>
      </c>
      <c r="D197" t="s">
        <v>62</v>
      </c>
      <c r="E197" t="s">
        <v>128</v>
      </c>
      <c r="F197" s="2">
        <v>41272</v>
      </c>
      <c r="G197" s="2">
        <v>2702</v>
      </c>
      <c r="H197">
        <v>0</v>
      </c>
      <c r="I197" t="str">
        <f>_xlfn.XLOOKUP($C197,战区信息!$A$1:$A$5,战区信息!$B$1:$B$5)</f>
        <v>004</v>
      </c>
      <c r="J197" t="str">
        <f>_xlfn.XLOOKUP($C197,战区信息!$A$1:$A$5,战区信息!$C$1:$C$5)</f>
        <v>沈乐欣</v>
      </c>
      <c r="K197" t="str">
        <f>_xlfn.XLOOKUP($C197,战区信息!$A$1:$A$5,战区信息!$D$1:$D$5)</f>
        <v>三级战区</v>
      </c>
      <c r="L197" t="str">
        <f>_xlfn.XLOOKUP($D197,城市信息!$B$1:$B$14,城市信息!$A$1:$A$14)</f>
        <v>007</v>
      </c>
      <c r="M197" t="str">
        <f>_xlfn.XLOOKUP($D197,城市信息!$B$1:$B$14,城市信息!$C$1:$C$14)</f>
        <v>范俊发</v>
      </c>
      <c r="N197" t="str">
        <f>_xlfn.XLOOKUP($D197,城市信息!$B$1:$B$14,城市信息!$D$1:$D$14)</f>
        <v>一线</v>
      </c>
      <c r="O197">
        <f>_xlfn.XLOOKUP($D197,城市信息!$B$1:$B$14,城市信息!$E$1:$E$14)</f>
        <v>12358</v>
      </c>
      <c r="P197" cm="1">
        <f t="array" ref="P197:U197">_xlfn.XLOOKUP(A197&amp;B197,'[1]2.4自动化报表-8月获客数据-非乱码'!$A:$A&amp;'[1]2.4自动化报表-8月获客数据-非乱码'!$B:$B,'[1]2.4自动化报表-8月获客数据-非乱码'!$C:$H)</f>
        <v>1721</v>
      </c>
      <c r="Q197">
        <v>1698</v>
      </c>
      <c r="R197">
        <v>1663</v>
      </c>
      <c r="S197">
        <v>1003</v>
      </c>
      <c r="T197">
        <v>582</v>
      </c>
      <c r="U197">
        <v>688</v>
      </c>
    </row>
    <row r="198" spans="1:21" x14ac:dyDescent="0.3">
      <c r="A198" s="1">
        <v>44050</v>
      </c>
      <c r="B198" t="s">
        <v>5</v>
      </c>
      <c r="C198" t="s">
        <v>125</v>
      </c>
      <c r="D198" t="s">
        <v>62</v>
      </c>
      <c r="E198" t="s">
        <v>129</v>
      </c>
      <c r="F198" s="2">
        <v>48289</v>
      </c>
      <c r="G198" s="2">
        <v>2513</v>
      </c>
      <c r="H198" s="2">
        <v>4193</v>
      </c>
      <c r="I198" t="str">
        <f>_xlfn.XLOOKUP($C198,战区信息!$A$1:$A$5,战区信息!$B$1:$B$5)</f>
        <v>004</v>
      </c>
      <c r="J198" t="str">
        <f>_xlfn.XLOOKUP($C198,战区信息!$A$1:$A$5,战区信息!$C$1:$C$5)</f>
        <v>沈乐欣</v>
      </c>
      <c r="K198" t="str">
        <f>_xlfn.XLOOKUP($C198,战区信息!$A$1:$A$5,战区信息!$D$1:$D$5)</f>
        <v>三级战区</v>
      </c>
      <c r="L198" t="str">
        <f>_xlfn.XLOOKUP($D198,城市信息!$B$1:$B$14,城市信息!$A$1:$A$14)</f>
        <v>007</v>
      </c>
      <c r="M198" t="str">
        <f>_xlfn.XLOOKUP($D198,城市信息!$B$1:$B$14,城市信息!$C$1:$C$14)</f>
        <v>范俊发</v>
      </c>
      <c r="N198" t="str">
        <f>_xlfn.XLOOKUP($D198,城市信息!$B$1:$B$14,城市信息!$D$1:$D$14)</f>
        <v>一线</v>
      </c>
      <c r="O198">
        <f>_xlfn.XLOOKUP($D198,城市信息!$B$1:$B$14,城市信息!$E$1:$E$14)</f>
        <v>12358</v>
      </c>
      <c r="P198" cm="1">
        <f t="array" ref="P198:U198">_xlfn.XLOOKUP(A198&amp;B198,'[1]2.4自动化报表-8月获客数据-非乱码'!$A:$A&amp;'[1]2.4自动化报表-8月获客数据-非乱码'!$B:$B,'[1]2.4自动化报表-8月获客数据-非乱码'!$C:$H)</f>
        <v>3095</v>
      </c>
      <c r="Q198">
        <v>3034</v>
      </c>
      <c r="R198">
        <v>2909</v>
      </c>
      <c r="S198">
        <v>1815</v>
      </c>
      <c r="T198">
        <v>933</v>
      </c>
      <c r="U198">
        <v>689</v>
      </c>
    </row>
    <row r="199" spans="1:21" x14ac:dyDescent="0.3">
      <c r="A199" s="1">
        <v>44050</v>
      </c>
      <c r="B199" t="s">
        <v>33</v>
      </c>
      <c r="C199" t="s">
        <v>125</v>
      </c>
      <c r="D199" t="s">
        <v>62</v>
      </c>
      <c r="E199" t="s">
        <v>130</v>
      </c>
      <c r="F199" s="2">
        <v>19000</v>
      </c>
      <c r="G199" s="2">
        <v>1005</v>
      </c>
      <c r="H199">
        <v>0</v>
      </c>
      <c r="I199" t="str">
        <f>_xlfn.XLOOKUP($C199,战区信息!$A$1:$A$5,战区信息!$B$1:$B$5)</f>
        <v>004</v>
      </c>
      <c r="J199" t="str">
        <f>_xlfn.XLOOKUP($C199,战区信息!$A$1:$A$5,战区信息!$C$1:$C$5)</f>
        <v>沈乐欣</v>
      </c>
      <c r="K199" t="str">
        <f>_xlfn.XLOOKUP($C199,战区信息!$A$1:$A$5,战区信息!$D$1:$D$5)</f>
        <v>三级战区</v>
      </c>
      <c r="L199" t="str">
        <f>_xlfn.XLOOKUP($D199,城市信息!$B$1:$B$14,城市信息!$A$1:$A$14)</f>
        <v>007</v>
      </c>
      <c r="M199" t="str">
        <f>_xlfn.XLOOKUP($D199,城市信息!$B$1:$B$14,城市信息!$C$1:$C$14)</f>
        <v>范俊发</v>
      </c>
      <c r="N199" t="str">
        <f>_xlfn.XLOOKUP($D199,城市信息!$B$1:$B$14,城市信息!$D$1:$D$14)</f>
        <v>一线</v>
      </c>
      <c r="O199">
        <f>_xlfn.XLOOKUP($D199,城市信息!$B$1:$B$14,城市信息!$E$1:$E$14)</f>
        <v>12358</v>
      </c>
      <c r="P199" cm="1">
        <f t="array" ref="P199:U199">_xlfn.XLOOKUP(A199&amp;B199,'[1]2.4自动化报表-8月获客数据-非乱码'!$A:$A&amp;'[1]2.4自动化报表-8月获客数据-非乱码'!$B:$B,'[1]2.4自动化报表-8月获客数据-非乱码'!$C:$H)</f>
        <v>10</v>
      </c>
      <c r="Q199">
        <v>10</v>
      </c>
      <c r="R199">
        <v>10</v>
      </c>
      <c r="S199">
        <v>7</v>
      </c>
      <c r="T199">
        <v>5</v>
      </c>
      <c r="U199">
        <v>685</v>
      </c>
    </row>
    <row r="200" spans="1:21" x14ac:dyDescent="0.3">
      <c r="A200" s="1">
        <v>44051</v>
      </c>
      <c r="B200" t="s">
        <v>32</v>
      </c>
      <c r="C200" t="s">
        <v>97</v>
      </c>
      <c r="D200" t="s">
        <v>67</v>
      </c>
      <c r="E200" t="s">
        <v>98</v>
      </c>
      <c r="F200" s="2">
        <v>122182</v>
      </c>
      <c r="G200" s="2">
        <v>7846</v>
      </c>
      <c r="H200">
        <v>0</v>
      </c>
      <c r="I200" t="str">
        <f>_xlfn.XLOOKUP($C200,战区信息!$A$1:$A$5,战区信息!$B$1:$B$5)</f>
        <v>003</v>
      </c>
      <c r="J200" t="str">
        <f>_xlfn.XLOOKUP($C200,战区信息!$A$1:$A$5,战区信息!$C$1:$C$5)</f>
        <v>田楠</v>
      </c>
      <c r="K200" t="str">
        <f>_xlfn.XLOOKUP($C200,战区信息!$A$1:$A$5,战区信息!$D$1:$D$5)</f>
        <v>二级战区</v>
      </c>
      <c r="L200" t="str">
        <f>_xlfn.XLOOKUP($D200,城市信息!$B$1:$B$14,城市信息!$A$1:$A$14)</f>
        <v>012</v>
      </c>
      <c r="M200" t="str">
        <f>_xlfn.XLOOKUP($D200,城市信息!$B$1:$B$14,城市信息!$C$1:$C$14)</f>
        <v>于子默</v>
      </c>
      <c r="N200" t="str">
        <f>_xlfn.XLOOKUP($D200,城市信息!$B$1:$B$14,城市信息!$D$1:$D$14)</f>
        <v>二线</v>
      </c>
      <c r="O200">
        <f>_xlfn.XLOOKUP($D200,城市信息!$B$1:$B$14,城市信息!$E$1:$E$14)</f>
        <v>9713</v>
      </c>
      <c r="P200" cm="1">
        <f t="array" ref="P200:U200">_xlfn.XLOOKUP(A200&amp;B200,'[1]2.4自动化报表-8月获客数据-非乱码'!$A:$A&amp;'[1]2.4自动化报表-8月获客数据-非乱码'!$B:$B,'[1]2.4自动化报表-8月获客数据-非乱码'!$C:$H)</f>
        <v>2583</v>
      </c>
      <c r="Q200">
        <v>2540</v>
      </c>
      <c r="R200">
        <v>2470</v>
      </c>
      <c r="S200">
        <v>1542</v>
      </c>
      <c r="T200">
        <v>855</v>
      </c>
      <c r="U200">
        <v>690</v>
      </c>
    </row>
    <row r="201" spans="1:21" x14ac:dyDescent="0.3">
      <c r="A201" s="1">
        <v>44051</v>
      </c>
      <c r="B201" t="s">
        <v>31</v>
      </c>
      <c r="C201" t="s">
        <v>97</v>
      </c>
      <c r="D201" t="s">
        <v>65</v>
      </c>
      <c r="E201" t="s">
        <v>99</v>
      </c>
      <c r="F201" s="2">
        <v>114681</v>
      </c>
      <c r="G201" s="2">
        <v>7698</v>
      </c>
      <c r="H201" s="2">
        <v>9224</v>
      </c>
      <c r="I201" t="str">
        <f>_xlfn.XLOOKUP($C201,战区信息!$A$1:$A$5,战区信息!$B$1:$B$5)</f>
        <v>003</v>
      </c>
      <c r="J201" t="str">
        <f>_xlfn.XLOOKUP($C201,战区信息!$A$1:$A$5,战区信息!$C$1:$C$5)</f>
        <v>田楠</v>
      </c>
      <c r="K201" t="str">
        <f>_xlfn.XLOOKUP($C201,战区信息!$A$1:$A$5,战区信息!$D$1:$D$5)</f>
        <v>二级战区</v>
      </c>
      <c r="L201" t="str">
        <f>_xlfn.XLOOKUP($D201,城市信息!$B$1:$B$14,城市信息!$A$1:$A$14)</f>
        <v>010</v>
      </c>
      <c r="M201" t="str">
        <f>_xlfn.XLOOKUP($D201,城市信息!$B$1:$B$14,城市信息!$C$1:$C$14)</f>
        <v>黄鹏天</v>
      </c>
      <c r="N201" t="str">
        <f>_xlfn.XLOOKUP($D201,城市信息!$B$1:$B$14,城市信息!$D$1:$D$14)</f>
        <v>二线</v>
      </c>
      <c r="O201">
        <f>_xlfn.XLOOKUP($D201,城市信息!$B$1:$B$14,城市信息!$E$1:$E$14)</f>
        <v>8295</v>
      </c>
      <c r="P201" cm="1">
        <f t="array" ref="P201:U201">_xlfn.XLOOKUP(A201&amp;B201,'[1]2.4自动化报表-8月获客数据-非乱码'!$A:$A&amp;'[1]2.4自动化报表-8月获客数据-非乱码'!$B:$B,'[1]2.4自动化报表-8月获客数据-非乱码'!$C:$H)</f>
        <v>2969</v>
      </c>
      <c r="Q201">
        <v>2920</v>
      </c>
      <c r="R201">
        <v>2830</v>
      </c>
      <c r="S201">
        <v>1732</v>
      </c>
      <c r="T201">
        <v>979</v>
      </c>
      <c r="U201">
        <v>692</v>
      </c>
    </row>
    <row r="202" spans="1:21" x14ac:dyDescent="0.3">
      <c r="A202" s="1">
        <v>44051</v>
      </c>
      <c r="B202" t="s">
        <v>30</v>
      </c>
      <c r="C202" t="s">
        <v>97</v>
      </c>
      <c r="D202" t="s">
        <v>61</v>
      </c>
      <c r="E202" t="s">
        <v>100</v>
      </c>
      <c r="F202" s="2">
        <v>218513</v>
      </c>
      <c r="G202" s="2">
        <v>15577</v>
      </c>
      <c r="H202">
        <v>0</v>
      </c>
      <c r="I202" t="str">
        <f>_xlfn.XLOOKUP($C202,战区信息!$A$1:$A$5,战区信息!$B$1:$B$5)</f>
        <v>003</v>
      </c>
      <c r="J202" t="str">
        <f>_xlfn.XLOOKUP($C202,战区信息!$A$1:$A$5,战区信息!$C$1:$C$5)</f>
        <v>田楠</v>
      </c>
      <c r="K202" t="str">
        <f>_xlfn.XLOOKUP($C202,战区信息!$A$1:$A$5,战区信息!$D$1:$D$5)</f>
        <v>二级战区</v>
      </c>
      <c r="L202" t="str">
        <f>_xlfn.XLOOKUP($D202,城市信息!$B$1:$B$14,城市信息!$A$1:$A$14)</f>
        <v>006</v>
      </c>
      <c r="M202" t="str">
        <f>_xlfn.XLOOKUP($D202,城市信息!$B$1:$B$14,城市信息!$C$1:$C$14)</f>
        <v>王刚</v>
      </c>
      <c r="N202" t="str">
        <f>_xlfn.XLOOKUP($D202,城市信息!$B$1:$B$14,城市信息!$D$1:$D$14)</f>
        <v>二线</v>
      </c>
      <c r="O202">
        <f>_xlfn.XLOOKUP($D202,城市信息!$B$1:$B$14,城市信息!$E$1:$E$14)</f>
        <v>9107</v>
      </c>
      <c r="P202" cm="1">
        <f t="array" ref="P202:U202">_xlfn.XLOOKUP(A202&amp;B202,'[1]2.4自动化报表-8月获客数据-非乱码'!$A:$A&amp;'[1]2.4自动化报表-8月获客数据-非乱码'!$B:$B,'[1]2.4自动化报表-8月获客数据-非乱码'!$C:$H)</f>
        <v>2538</v>
      </c>
      <c r="Q202">
        <v>2483</v>
      </c>
      <c r="R202">
        <v>2387</v>
      </c>
      <c r="S202">
        <v>1460</v>
      </c>
      <c r="T202">
        <v>736</v>
      </c>
      <c r="U202">
        <v>698</v>
      </c>
    </row>
    <row r="203" spans="1:21" x14ac:dyDescent="0.3">
      <c r="A203" s="1">
        <v>44051</v>
      </c>
      <c r="B203" t="s">
        <v>29</v>
      </c>
      <c r="C203" t="s">
        <v>97</v>
      </c>
      <c r="D203" t="s">
        <v>64</v>
      </c>
      <c r="E203" t="s">
        <v>101</v>
      </c>
      <c r="F203" s="2">
        <v>44648</v>
      </c>
      <c r="G203" s="2">
        <v>2650</v>
      </c>
      <c r="H203">
        <v>0</v>
      </c>
      <c r="I203" t="str">
        <f>_xlfn.XLOOKUP($C203,战区信息!$A$1:$A$5,战区信息!$B$1:$B$5)</f>
        <v>003</v>
      </c>
      <c r="J203" t="str">
        <f>_xlfn.XLOOKUP($C203,战区信息!$A$1:$A$5,战区信息!$C$1:$C$5)</f>
        <v>田楠</v>
      </c>
      <c r="K203" t="str">
        <f>_xlfn.XLOOKUP($C203,战区信息!$A$1:$A$5,战区信息!$D$1:$D$5)</f>
        <v>二级战区</v>
      </c>
      <c r="L203" t="str">
        <f>_xlfn.XLOOKUP($D203,城市信息!$B$1:$B$14,城市信息!$A$1:$A$14)</f>
        <v>009</v>
      </c>
      <c r="M203" t="str">
        <f>_xlfn.XLOOKUP($D203,城市信息!$B$1:$B$14,城市信息!$C$1:$C$14)</f>
        <v>叶超</v>
      </c>
      <c r="N203" t="str">
        <f>_xlfn.XLOOKUP($D203,城市信息!$B$1:$B$14,城市信息!$D$1:$D$14)</f>
        <v>二线</v>
      </c>
      <c r="O203">
        <f>_xlfn.XLOOKUP($D203,城市信息!$B$1:$B$14,城市信息!$E$1:$E$14)</f>
        <v>9016</v>
      </c>
      <c r="P203" cm="1">
        <f t="array" ref="P203:U203">_xlfn.XLOOKUP(A203&amp;B203,'[1]2.4自动化报表-8月获客数据-非乱码'!$A:$A&amp;'[1]2.4自动化报表-8月获客数据-非乱码'!$B:$B,'[1]2.4自动化报表-8月获客数据-非乱码'!$C:$H)</f>
        <v>2743</v>
      </c>
      <c r="Q203">
        <v>2676</v>
      </c>
      <c r="R203">
        <v>2581</v>
      </c>
      <c r="S203">
        <v>1655</v>
      </c>
      <c r="T203">
        <v>928</v>
      </c>
      <c r="U203">
        <v>691</v>
      </c>
    </row>
    <row r="204" spans="1:21" x14ac:dyDescent="0.3">
      <c r="A204" s="1">
        <v>44051</v>
      </c>
      <c r="B204" t="s">
        <v>28</v>
      </c>
      <c r="C204" t="s">
        <v>97</v>
      </c>
      <c r="D204" t="s">
        <v>64</v>
      </c>
      <c r="E204" t="s">
        <v>102</v>
      </c>
      <c r="F204" s="2">
        <v>45001</v>
      </c>
      <c r="G204" s="2">
        <v>1811</v>
      </c>
      <c r="H204">
        <v>0</v>
      </c>
      <c r="I204" t="str">
        <f>_xlfn.XLOOKUP($C204,战区信息!$A$1:$A$5,战区信息!$B$1:$B$5)</f>
        <v>003</v>
      </c>
      <c r="J204" t="str">
        <f>_xlfn.XLOOKUP($C204,战区信息!$A$1:$A$5,战区信息!$C$1:$C$5)</f>
        <v>田楠</v>
      </c>
      <c r="K204" t="str">
        <f>_xlfn.XLOOKUP($C204,战区信息!$A$1:$A$5,战区信息!$D$1:$D$5)</f>
        <v>二级战区</v>
      </c>
      <c r="L204" t="str">
        <f>_xlfn.XLOOKUP($D204,城市信息!$B$1:$B$14,城市信息!$A$1:$A$14)</f>
        <v>009</v>
      </c>
      <c r="M204" t="str">
        <f>_xlfn.XLOOKUP($D204,城市信息!$B$1:$B$14,城市信息!$C$1:$C$14)</f>
        <v>叶超</v>
      </c>
      <c r="N204" t="str">
        <f>_xlfn.XLOOKUP($D204,城市信息!$B$1:$B$14,城市信息!$D$1:$D$14)</f>
        <v>二线</v>
      </c>
      <c r="O204">
        <f>_xlfn.XLOOKUP($D204,城市信息!$B$1:$B$14,城市信息!$E$1:$E$14)</f>
        <v>9016</v>
      </c>
      <c r="P204" cm="1">
        <f t="array" ref="P204:U204">_xlfn.XLOOKUP(A204&amp;B204,'[1]2.4自动化报表-8月获客数据-非乱码'!$A:$A&amp;'[1]2.4自动化报表-8月获客数据-非乱码'!$B:$B,'[1]2.4自动化报表-8月获客数据-非乱码'!$C:$H)</f>
        <v>672</v>
      </c>
      <c r="Q204">
        <v>662</v>
      </c>
      <c r="R204">
        <v>643</v>
      </c>
      <c r="S204">
        <v>443</v>
      </c>
      <c r="T204">
        <v>209</v>
      </c>
      <c r="U204">
        <v>692</v>
      </c>
    </row>
    <row r="205" spans="1:21" x14ac:dyDescent="0.3">
      <c r="A205" s="1">
        <v>44051</v>
      </c>
      <c r="B205" t="s">
        <v>27</v>
      </c>
      <c r="C205" t="s">
        <v>103</v>
      </c>
      <c r="D205" t="s">
        <v>63</v>
      </c>
      <c r="E205" t="s">
        <v>104</v>
      </c>
      <c r="F205" s="2">
        <v>94817</v>
      </c>
      <c r="G205" s="2">
        <v>4859</v>
      </c>
      <c r="H205" s="2">
        <v>1362</v>
      </c>
      <c r="I205" t="str">
        <f>_xlfn.XLOOKUP($C205,战区信息!$A$1:$A$5,战区信息!$B$1:$B$5)</f>
        <v>002</v>
      </c>
      <c r="J205" t="str">
        <f>_xlfn.XLOOKUP($C205,战区信息!$A$1:$A$5,战区信息!$C$1:$C$5)</f>
        <v>高安平</v>
      </c>
      <c r="K205" t="str">
        <f>_xlfn.XLOOKUP($C205,战区信息!$A$1:$A$5,战区信息!$D$1:$D$5)</f>
        <v>二级战区</v>
      </c>
      <c r="L205" t="str">
        <f>_xlfn.XLOOKUP($D205,城市信息!$B$1:$B$14,城市信息!$A$1:$A$14)</f>
        <v>008</v>
      </c>
      <c r="M205" t="str">
        <f>_xlfn.XLOOKUP($D205,城市信息!$B$1:$B$14,城市信息!$C$1:$C$14)</f>
        <v>高弘壮</v>
      </c>
      <c r="N205" t="str">
        <f>_xlfn.XLOOKUP($D205,城市信息!$B$1:$B$14,城市信息!$D$1:$D$14)</f>
        <v>一线</v>
      </c>
      <c r="O205">
        <f>_xlfn.XLOOKUP($D205,城市信息!$B$1:$B$14,城市信息!$E$1:$E$14)</f>
        <v>11498</v>
      </c>
      <c r="P205" cm="1">
        <f t="array" ref="P205:U205">_xlfn.XLOOKUP(A205&amp;B205,'[1]2.4自动化报表-8月获客数据-非乱码'!$A:$A&amp;'[1]2.4自动化报表-8月获客数据-非乱码'!$B:$B,'[1]2.4自动化报表-8月获客数据-非乱码'!$C:$H)</f>
        <v>3823</v>
      </c>
      <c r="Q205">
        <v>3708</v>
      </c>
      <c r="R205">
        <v>3535</v>
      </c>
      <c r="S205">
        <v>2103</v>
      </c>
      <c r="T205">
        <v>1122</v>
      </c>
      <c r="U205">
        <v>689</v>
      </c>
    </row>
    <row r="206" spans="1:21" x14ac:dyDescent="0.3">
      <c r="A206" s="1">
        <v>44051</v>
      </c>
      <c r="B206" t="s">
        <v>26</v>
      </c>
      <c r="C206" t="s">
        <v>103</v>
      </c>
      <c r="D206" t="s">
        <v>57</v>
      </c>
      <c r="E206" t="s">
        <v>105</v>
      </c>
      <c r="F206" s="2">
        <v>338601</v>
      </c>
      <c r="G206" s="2">
        <v>17740</v>
      </c>
      <c r="H206" s="2">
        <v>6511</v>
      </c>
      <c r="I206" t="str">
        <f>_xlfn.XLOOKUP($C206,战区信息!$A$1:$A$5,战区信息!$B$1:$B$5)</f>
        <v>002</v>
      </c>
      <c r="J206" t="str">
        <f>_xlfn.XLOOKUP($C206,战区信息!$A$1:$A$5,战区信息!$C$1:$C$5)</f>
        <v>高安平</v>
      </c>
      <c r="K206" t="str">
        <f>_xlfn.XLOOKUP($C206,战区信息!$A$1:$A$5,战区信息!$D$1:$D$5)</f>
        <v>二级战区</v>
      </c>
      <c r="L206" t="str">
        <f>_xlfn.XLOOKUP($D206,城市信息!$B$1:$B$14,城市信息!$A$1:$A$14)</f>
        <v>002</v>
      </c>
      <c r="M206" t="str">
        <f>_xlfn.XLOOKUP($D206,城市信息!$B$1:$B$14,城市信息!$C$1:$C$14)</f>
        <v>孙乒</v>
      </c>
      <c r="N206" t="str">
        <f>_xlfn.XLOOKUP($D206,城市信息!$B$1:$B$14,城市信息!$D$1:$D$14)</f>
        <v>一线</v>
      </c>
      <c r="O206">
        <f>_xlfn.XLOOKUP($D206,城市信息!$B$1:$B$14,城市信息!$E$1:$E$14)</f>
        <v>9854</v>
      </c>
      <c r="P206" cm="1">
        <f t="array" ref="P206:U206">_xlfn.XLOOKUP(A206&amp;B206,'[1]2.4自动化报表-8月获客数据-非乱码'!$A:$A&amp;'[1]2.4自动化报表-8月获客数据-非乱码'!$B:$B,'[1]2.4自动化报表-8月获客数据-非乱码'!$C:$H)</f>
        <v>6284</v>
      </c>
      <c r="Q206">
        <v>6145</v>
      </c>
      <c r="R206">
        <v>5890</v>
      </c>
      <c r="S206">
        <v>3622</v>
      </c>
      <c r="T206">
        <v>2009</v>
      </c>
      <c r="U206">
        <v>687</v>
      </c>
    </row>
    <row r="207" spans="1:21" x14ac:dyDescent="0.3">
      <c r="A207" s="1">
        <v>44051</v>
      </c>
      <c r="B207" t="s">
        <v>25</v>
      </c>
      <c r="C207" t="s">
        <v>103</v>
      </c>
      <c r="D207" t="s">
        <v>57</v>
      </c>
      <c r="E207" t="s">
        <v>106</v>
      </c>
      <c r="F207" s="2">
        <v>114130</v>
      </c>
      <c r="G207" s="2">
        <v>7595</v>
      </c>
      <c r="H207" s="2">
        <v>1884</v>
      </c>
      <c r="I207" t="str">
        <f>_xlfn.XLOOKUP($C207,战区信息!$A$1:$A$5,战区信息!$B$1:$B$5)</f>
        <v>002</v>
      </c>
      <c r="J207" t="str">
        <f>_xlfn.XLOOKUP($C207,战区信息!$A$1:$A$5,战区信息!$C$1:$C$5)</f>
        <v>高安平</v>
      </c>
      <c r="K207" t="str">
        <f>_xlfn.XLOOKUP($C207,战区信息!$A$1:$A$5,战区信息!$D$1:$D$5)</f>
        <v>二级战区</v>
      </c>
      <c r="L207" t="str">
        <f>_xlfn.XLOOKUP($D207,城市信息!$B$1:$B$14,城市信息!$A$1:$A$14)</f>
        <v>002</v>
      </c>
      <c r="M207" t="str">
        <f>_xlfn.XLOOKUP($D207,城市信息!$B$1:$B$14,城市信息!$C$1:$C$14)</f>
        <v>孙乒</v>
      </c>
      <c r="N207" t="str">
        <f>_xlfn.XLOOKUP($D207,城市信息!$B$1:$B$14,城市信息!$D$1:$D$14)</f>
        <v>一线</v>
      </c>
      <c r="O207">
        <f>_xlfn.XLOOKUP($D207,城市信息!$B$1:$B$14,城市信息!$E$1:$E$14)</f>
        <v>9854</v>
      </c>
      <c r="P207" cm="1">
        <f t="array" ref="P207:U207">_xlfn.XLOOKUP(A207&amp;B207,'[1]2.4自动化报表-8月获客数据-非乱码'!$A:$A&amp;'[1]2.4自动化报表-8月获客数据-非乱码'!$B:$B,'[1]2.4自动化报表-8月获客数据-非乱码'!$C:$H)</f>
        <v>3868</v>
      </c>
      <c r="Q207">
        <v>3765</v>
      </c>
      <c r="R207">
        <v>3575</v>
      </c>
      <c r="S207">
        <v>2129</v>
      </c>
      <c r="T207">
        <v>1197</v>
      </c>
      <c r="U207">
        <v>688</v>
      </c>
    </row>
    <row r="208" spans="1:21" x14ac:dyDescent="0.3">
      <c r="A208" s="1">
        <v>44051</v>
      </c>
      <c r="B208" t="s">
        <v>24</v>
      </c>
      <c r="C208" t="s">
        <v>103</v>
      </c>
      <c r="D208" t="s">
        <v>57</v>
      </c>
      <c r="E208" t="s">
        <v>107</v>
      </c>
      <c r="F208" s="2">
        <v>223024</v>
      </c>
      <c r="G208" s="2">
        <v>16366</v>
      </c>
      <c r="H208">
        <v>0</v>
      </c>
      <c r="I208" t="str">
        <f>_xlfn.XLOOKUP($C208,战区信息!$A$1:$A$5,战区信息!$B$1:$B$5)</f>
        <v>002</v>
      </c>
      <c r="J208" t="str">
        <f>_xlfn.XLOOKUP($C208,战区信息!$A$1:$A$5,战区信息!$C$1:$C$5)</f>
        <v>高安平</v>
      </c>
      <c r="K208" t="str">
        <f>_xlfn.XLOOKUP($C208,战区信息!$A$1:$A$5,战区信息!$D$1:$D$5)</f>
        <v>二级战区</v>
      </c>
      <c r="L208" t="str">
        <f>_xlfn.XLOOKUP($D208,城市信息!$B$1:$B$14,城市信息!$A$1:$A$14)</f>
        <v>002</v>
      </c>
      <c r="M208" t="str">
        <f>_xlfn.XLOOKUP($D208,城市信息!$B$1:$B$14,城市信息!$C$1:$C$14)</f>
        <v>孙乒</v>
      </c>
      <c r="N208" t="str">
        <f>_xlfn.XLOOKUP($D208,城市信息!$B$1:$B$14,城市信息!$D$1:$D$14)</f>
        <v>一线</v>
      </c>
      <c r="O208">
        <f>_xlfn.XLOOKUP($D208,城市信息!$B$1:$B$14,城市信息!$E$1:$E$14)</f>
        <v>9854</v>
      </c>
      <c r="P208" cm="1">
        <f t="array" ref="P208:U208">_xlfn.XLOOKUP(A208&amp;B208,'[1]2.4自动化报表-8月获客数据-非乱码'!$A:$A&amp;'[1]2.4自动化报表-8月获客数据-非乱码'!$B:$B,'[1]2.4自动化报表-8月获客数据-非乱码'!$C:$H)</f>
        <v>3608</v>
      </c>
      <c r="Q208">
        <v>3532</v>
      </c>
      <c r="R208">
        <v>3366</v>
      </c>
      <c r="S208">
        <v>2083</v>
      </c>
      <c r="T208">
        <v>1204</v>
      </c>
      <c r="U208">
        <v>691</v>
      </c>
    </row>
    <row r="209" spans="1:21" x14ac:dyDescent="0.3">
      <c r="A209" s="1">
        <v>44051</v>
      </c>
      <c r="B209" t="s">
        <v>23</v>
      </c>
      <c r="C209" t="s">
        <v>108</v>
      </c>
      <c r="D209" t="s">
        <v>109</v>
      </c>
      <c r="E209" t="s">
        <v>110</v>
      </c>
      <c r="F209" s="2">
        <v>194218</v>
      </c>
      <c r="G209" s="2">
        <v>14136</v>
      </c>
      <c r="H209">
        <v>0</v>
      </c>
      <c r="I209" t="str">
        <f>_xlfn.XLOOKUP($C209,战区信息!$A$1:$A$5,战区信息!$B$1:$B$5)</f>
        <v>001</v>
      </c>
      <c r="J209" t="str">
        <f>_xlfn.XLOOKUP($C209,战区信息!$A$1:$A$5,战区信息!$C$1:$C$5)</f>
        <v>江永</v>
      </c>
      <c r="K209" t="str">
        <f>_xlfn.XLOOKUP($C209,战区信息!$A$1:$A$5,战区信息!$D$1:$D$5)</f>
        <v>一级战区</v>
      </c>
      <c r="L209" t="str">
        <f>_xlfn.XLOOKUP($D209,城市信息!$B$1:$B$14,城市信息!$A$1:$A$14)</f>
        <v>013</v>
      </c>
      <c r="M209" t="str">
        <f>_xlfn.XLOOKUP($D209,城市信息!$B$1:$B$14,城市信息!$C$1:$C$14)</f>
        <v>张建</v>
      </c>
      <c r="N209" t="str">
        <f>_xlfn.XLOOKUP($D209,城市信息!$B$1:$B$14,城市信息!$D$1:$D$14)</f>
        <v>二线</v>
      </c>
      <c r="O209">
        <f>_xlfn.XLOOKUP($D209,城市信息!$B$1:$B$14,城市信息!$E$1:$E$14)</f>
        <v>8800</v>
      </c>
      <c r="P209" cm="1">
        <f t="array" ref="P209:U209">_xlfn.XLOOKUP(A209&amp;B209,'[1]2.4自动化报表-8月获客数据-非乱码'!$A:$A&amp;'[1]2.4自动化报表-8月获客数据-非乱码'!$B:$B,'[1]2.4自动化报表-8月获客数据-非乱码'!$C:$H)</f>
        <v>5539</v>
      </c>
      <c r="Q209">
        <v>5354</v>
      </c>
      <c r="R209">
        <v>5123</v>
      </c>
      <c r="S209">
        <v>3095</v>
      </c>
      <c r="T209">
        <v>1569</v>
      </c>
      <c r="U209">
        <v>694</v>
      </c>
    </row>
    <row r="210" spans="1:21" x14ac:dyDescent="0.3">
      <c r="A210" s="1">
        <v>44051</v>
      </c>
      <c r="B210" t="s">
        <v>21</v>
      </c>
      <c r="C210" t="s">
        <v>108</v>
      </c>
      <c r="D210" t="s">
        <v>109</v>
      </c>
      <c r="E210" t="s">
        <v>112</v>
      </c>
      <c r="F210" s="2">
        <v>200973</v>
      </c>
      <c r="G210" s="2">
        <v>13838</v>
      </c>
      <c r="H210" s="2">
        <v>2082</v>
      </c>
      <c r="I210" t="str">
        <f>_xlfn.XLOOKUP($C210,战区信息!$A$1:$A$5,战区信息!$B$1:$B$5)</f>
        <v>001</v>
      </c>
      <c r="J210" t="str">
        <f>_xlfn.XLOOKUP($C210,战区信息!$A$1:$A$5,战区信息!$C$1:$C$5)</f>
        <v>江永</v>
      </c>
      <c r="K210" t="str">
        <f>_xlfn.XLOOKUP($C210,战区信息!$A$1:$A$5,战区信息!$D$1:$D$5)</f>
        <v>一级战区</v>
      </c>
      <c r="L210" t="str">
        <f>_xlfn.XLOOKUP($D210,城市信息!$B$1:$B$14,城市信息!$A$1:$A$14)</f>
        <v>013</v>
      </c>
      <c r="M210" t="str">
        <f>_xlfn.XLOOKUP($D210,城市信息!$B$1:$B$14,城市信息!$C$1:$C$14)</f>
        <v>张建</v>
      </c>
      <c r="N210" t="str">
        <f>_xlfn.XLOOKUP($D210,城市信息!$B$1:$B$14,城市信息!$D$1:$D$14)</f>
        <v>二线</v>
      </c>
      <c r="O210">
        <f>_xlfn.XLOOKUP($D210,城市信息!$B$1:$B$14,城市信息!$E$1:$E$14)</f>
        <v>8800</v>
      </c>
      <c r="P210" cm="1">
        <f t="array" ref="P210:U210">_xlfn.XLOOKUP(A210&amp;B210,'[1]2.4自动化报表-8月获客数据-非乱码'!$A:$A&amp;'[1]2.4自动化报表-8月获客数据-非乱码'!$B:$B,'[1]2.4自动化报表-8月获客数据-非乱码'!$C:$H)</f>
        <v>4650</v>
      </c>
      <c r="Q210">
        <v>4488</v>
      </c>
      <c r="R210">
        <v>4248</v>
      </c>
      <c r="S210">
        <v>2513</v>
      </c>
      <c r="T210">
        <v>1382</v>
      </c>
      <c r="U210">
        <v>695</v>
      </c>
    </row>
    <row r="211" spans="1:21" x14ac:dyDescent="0.3">
      <c r="A211" s="1">
        <v>44051</v>
      </c>
      <c r="B211" t="s">
        <v>20</v>
      </c>
      <c r="C211" t="s">
        <v>108</v>
      </c>
      <c r="D211" t="s">
        <v>56</v>
      </c>
      <c r="E211" t="s">
        <v>113</v>
      </c>
      <c r="F211" s="2">
        <v>175197</v>
      </c>
      <c r="G211" s="2">
        <v>12441</v>
      </c>
      <c r="H211">
        <v>0</v>
      </c>
      <c r="I211" t="str">
        <f>_xlfn.XLOOKUP($C211,战区信息!$A$1:$A$5,战区信息!$B$1:$B$5)</f>
        <v>001</v>
      </c>
      <c r="J211" t="str">
        <f>_xlfn.XLOOKUP($C211,战区信息!$A$1:$A$5,战区信息!$C$1:$C$5)</f>
        <v>江永</v>
      </c>
      <c r="K211" t="str">
        <f>_xlfn.XLOOKUP($C211,战区信息!$A$1:$A$5,战区信息!$D$1:$D$5)</f>
        <v>一级战区</v>
      </c>
      <c r="L211" t="str">
        <f>_xlfn.XLOOKUP($D211,城市信息!$B$1:$B$14,城市信息!$A$1:$A$14)</f>
        <v>001</v>
      </c>
      <c r="M211" t="str">
        <f>_xlfn.XLOOKUP($D211,城市信息!$B$1:$B$14,城市信息!$C$1:$C$14)</f>
        <v>吴刚</v>
      </c>
      <c r="N211" t="str">
        <f>_xlfn.XLOOKUP($D211,城市信息!$B$1:$B$14,城市信息!$D$1:$D$14)</f>
        <v>一线</v>
      </c>
      <c r="O211">
        <f>_xlfn.XLOOKUP($D211,城市信息!$B$1:$B$14,城市信息!$E$1:$E$14)</f>
        <v>12114</v>
      </c>
      <c r="P211" cm="1">
        <f t="array" ref="P211:U211">_xlfn.XLOOKUP(A211&amp;B211,'[1]2.4自动化报表-8月获客数据-非乱码'!$A:$A&amp;'[1]2.4自动化报表-8月获客数据-非乱码'!$B:$B,'[1]2.4自动化报表-8月获客数据-非乱码'!$C:$H)</f>
        <v>5509</v>
      </c>
      <c r="Q211">
        <v>5335</v>
      </c>
      <c r="R211">
        <v>5150</v>
      </c>
      <c r="S211">
        <v>3113</v>
      </c>
      <c r="T211">
        <v>1733</v>
      </c>
      <c r="U211">
        <v>694</v>
      </c>
    </row>
    <row r="212" spans="1:21" x14ac:dyDescent="0.3">
      <c r="A212" s="1">
        <v>44051</v>
      </c>
      <c r="B212" t="s">
        <v>19</v>
      </c>
      <c r="C212" t="s">
        <v>108</v>
      </c>
      <c r="D212" t="s">
        <v>56</v>
      </c>
      <c r="E212" t="s">
        <v>114</v>
      </c>
      <c r="F212" s="2">
        <v>124139</v>
      </c>
      <c r="G212" s="2">
        <v>7420</v>
      </c>
      <c r="H212">
        <v>0</v>
      </c>
      <c r="I212" t="str">
        <f>_xlfn.XLOOKUP($C212,战区信息!$A$1:$A$5,战区信息!$B$1:$B$5)</f>
        <v>001</v>
      </c>
      <c r="J212" t="str">
        <f>_xlfn.XLOOKUP($C212,战区信息!$A$1:$A$5,战区信息!$C$1:$C$5)</f>
        <v>江永</v>
      </c>
      <c r="K212" t="str">
        <f>_xlfn.XLOOKUP($C212,战区信息!$A$1:$A$5,战区信息!$D$1:$D$5)</f>
        <v>一级战区</v>
      </c>
      <c r="L212" t="str">
        <f>_xlfn.XLOOKUP($D212,城市信息!$B$1:$B$14,城市信息!$A$1:$A$14)</f>
        <v>001</v>
      </c>
      <c r="M212" t="str">
        <f>_xlfn.XLOOKUP($D212,城市信息!$B$1:$B$14,城市信息!$C$1:$C$14)</f>
        <v>吴刚</v>
      </c>
      <c r="N212" t="str">
        <f>_xlfn.XLOOKUP($D212,城市信息!$B$1:$B$14,城市信息!$D$1:$D$14)</f>
        <v>一线</v>
      </c>
      <c r="O212">
        <f>_xlfn.XLOOKUP($D212,城市信息!$B$1:$B$14,城市信息!$E$1:$E$14)</f>
        <v>12114</v>
      </c>
      <c r="P212" cm="1">
        <f t="array" ref="P212:U212">_xlfn.XLOOKUP(A212&amp;B212,'[1]2.4自动化报表-8月获客数据-非乱码'!$A:$A&amp;'[1]2.4自动化报表-8月获客数据-非乱码'!$B:$B,'[1]2.4自动化报表-8月获客数据-非乱码'!$C:$H)</f>
        <v>2925</v>
      </c>
      <c r="Q212">
        <v>2858</v>
      </c>
      <c r="R212">
        <v>2747</v>
      </c>
      <c r="S212">
        <v>1612</v>
      </c>
      <c r="T212">
        <v>968</v>
      </c>
      <c r="U212">
        <v>696</v>
      </c>
    </row>
    <row r="213" spans="1:21" x14ac:dyDescent="0.3">
      <c r="A213" s="1">
        <v>44051</v>
      </c>
      <c r="B213" t="s">
        <v>18</v>
      </c>
      <c r="C213" t="s">
        <v>108</v>
      </c>
      <c r="D213" t="s">
        <v>56</v>
      </c>
      <c r="E213" t="s">
        <v>115</v>
      </c>
      <c r="F213" s="2">
        <v>126356</v>
      </c>
      <c r="G213" s="2">
        <v>10415</v>
      </c>
      <c r="H213">
        <v>798</v>
      </c>
      <c r="I213" t="str">
        <f>_xlfn.XLOOKUP($C213,战区信息!$A$1:$A$5,战区信息!$B$1:$B$5)</f>
        <v>001</v>
      </c>
      <c r="J213" t="str">
        <f>_xlfn.XLOOKUP($C213,战区信息!$A$1:$A$5,战区信息!$C$1:$C$5)</f>
        <v>江永</v>
      </c>
      <c r="K213" t="str">
        <f>_xlfn.XLOOKUP($C213,战区信息!$A$1:$A$5,战区信息!$D$1:$D$5)</f>
        <v>一级战区</v>
      </c>
      <c r="L213" t="str">
        <f>_xlfn.XLOOKUP($D213,城市信息!$B$1:$B$14,城市信息!$A$1:$A$14)</f>
        <v>001</v>
      </c>
      <c r="M213" t="str">
        <f>_xlfn.XLOOKUP($D213,城市信息!$B$1:$B$14,城市信息!$C$1:$C$14)</f>
        <v>吴刚</v>
      </c>
      <c r="N213" t="str">
        <f>_xlfn.XLOOKUP($D213,城市信息!$B$1:$B$14,城市信息!$D$1:$D$14)</f>
        <v>一线</v>
      </c>
      <c r="O213">
        <f>_xlfn.XLOOKUP($D213,城市信息!$B$1:$B$14,城市信息!$E$1:$E$14)</f>
        <v>12114</v>
      </c>
      <c r="P213" cm="1">
        <f t="array" ref="P213:U213">_xlfn.XLOOKUP(A213&amp;B213,'[1]2.4自动化报表-8月获客数据-非乱码'!$A:$A&amp;'[1]2.4自动化报表-8月获客数据-非乱码'!$B:$B,'[1]2.4自动化报表-8月获客数据-非乱码'!$C:$H)</f>
        <v>3603</v>
      </c>
      <c r="Q213">
        <v>3543</v>
      </c>
      <c r="R213">
        <v>3395</v>
      </c>
      <c r="S213">
        <v>2031</v>
      </c>
      <c r="T213">
        <v>1078</v>
      </c>
      <c r="U213">
        <v>690</v>
      </c>
    </row>
    <row r="214" spans="1:21" x14ac:dyDescent="0.3">
      <c r="A214" s="1">
        <v>44051</v>
      </c>
      <c r="B214" t="s">
        <v>17</v>
      </c>
      <c r="C214" t="s">
        <v>108</v>
      </c>
      <c r="D214" t="s">
        <v>59</v>
      </c>
      <c r="E214" t="s">
        <v>116</v>
      </c>
      <c r="F214" s="2">
        <v>120049</v>
      </c>
      <c r="G214" s="2">
        <v>8564</v>
      </c>
      <c r="H214">
        <v>0</v>
      </c>
      <c r="I214" t="str">
        <f>_xlfn.XLOOKUP($C214,战区信息!$A$1:$A$5,战区信息!$B$1:$B$5)</f>
        <v>001</v>
      </c>
      <c r="J214" t="str">
        <f>_xlfn.XLOOKUP($C214,战区信息!$A$1:$A$5,战区信息!$C$1:$C$5)</f>
        <v>江永</v>
      </c>
      <c r="K214" t="str">
        <f>_xlfn.XLOOKUP($C214,战区信息!$A$1:$A$5,战区信息!$D$1:$D$5)</f>
        <v>一级战区</v>
      </c>
      <c r="L214" t="str">
        <f>_xlfn.XLOOKUP($D214,城市信息!$B$1:$B$14,城市信息!$A$1:$A$14)</f>
        <v>004</v>
      </c>
      <c r="M214" t="str">
        <f>_xlfn.XLOOKUP($D214,城市信息!$B$1:$B$14,城市信息!$C$1:$C$14)</f>
        <v>苏川</v>
      </c>
      <c r="N214" t="str">
        <f>_xlfn.XLOOKUP($D214,城市信息!$B$1:$B$14,城市信息!$D$1:$D$14)</f>
        <v>二线</v>
      </c>
      <c r="O214">
        <f>_xlfn.XLOOKUP($D214,城市信息!$B$1:$B$14,城市信息!$E$1:$E$14)</f>
        <v>9912</v>
      </c>
      <c r="P214" cm="1">
        <f t="array" ref="P214:U214">_xlfn.XLOOKUP(A214&amp;B214,'[1]2.4自动化报表-8月获客数据-非乱码'!$A:$A&amp;'[1]2.4自动化报表-8月获客数据-非乱码'!$B:$B,'[1]2.4自动化报表-8月获客数据-非乱码'!$C:$H)</f>
        <v>3576</v>
      </c>
      <c r="Q214">
        <v>3498</v>
      </c>
      <c r="R214">
        <v>3371</v>
      </c>
      <c r="S214">
        <v>1956</v>
      </c>
      <c r="T214">
        <v>1085</v>
      </c>
      <c r="U214">
        <v>697</v>
      </c>
    </row>
    <row r="215" spans="1:21" x14ac:dyDescent="0.3">
      <c r="A215" s="1">
        <v>44051</v>
      </c>
      <c r="B215" t="s">
        <v>16</v>
      </c>
      <c r="C215" t="s">
        <v>108</v>
      </c>
      <c r="D215" t="s">
        <v>59</v>
      </c>
      <c r="E215" t="s">
        <v>117</v>
      </c>
      <c r="F215" s="2">
        <v>82001</v>
      </c>
      <c r="G215" s="2">
        <v>4127</v>
      </c>
      <c r="H215">
        <v>0</v>
      </c>
      <c r="I215" t="str">
        <f>_xlfn.XLOOKUP($C215,战区信息!$A$1:$A$5,战区信息!$B$1:$B$5)</f>
        <v>001</v>
      </c>
      <c r="J215" t="str">
        <f>_xlfn.XLOOKUP($C215,战区信息!$A$1:$A$5,战区信息!$C$1:$C$5)</f>
        <v>江永</v>
      </c>
      <c r="K215" t="str">
        <f>_xlfn.XLOOKUP($C215,战区信息!$A$1:$A$5,战区信息!$D$1:$D$5)</f>
        <v>一级战区</v>
      </c>
      <c r="L215" t="str">
        <f>_xlfn.XLOOKUP($D215,城市信息!$B$1:$B$14,城市信息!$A$1:$A$14)</f>
        <v>004</v>
      </c>
      <c r="M215" t="str">
        <f>_xlfn.XLOOKUP($D215,城市信息!$B$1:$B$14,城市信息!$C$1:$C$14)</f>
        <v>苏川</v>
      </c>
      <c r="N215" t="str">
        <f>_xlfn.XLOOKUP($D215,城市信息!$B$1:$B$14,城市信息!$D$1:$D$14)</f>
        <v>二线</v>
      </c>
      <c r="O215">
        <f>_xlfn.XLOOKUP($D215,城市信息!$B$1:$B$14,城市信息!$E$1:$E$14)</f>
        <v>9912</v>
      </c>
      <c r="P215" cm="1">
        <f t="array" ref="P215:U215">_xlfn.XLOOKUP(A215&amp;B215,'[1]2.4自动化报表-8月获客数据-非乱码'!$A:$A&amp;'[1]2.4自动化报表-8月获客数据-非乱码'!$B:$B,'[1]2.4自动化报表-8月获客数据-非乱码'!$C:$H)</f>
        <v>1402</v>
      </c>
      <c r="Q215">
        <v>1368</v>
      </c>
      <c r="R215">
        <v>1311</v>
      </c>
      <c r="S215">
        <v>766</v>
      </c>
      <c r="T215">
        <v>467</v>
      </c>
      <c r="U215">
        <v>696</v>
      </c>
    </row>
    <row r="216" spans="1:21" x14ac:dyDescent="0.3">
      <c r="A216" s="1">
        <v>44051</v>
      </c>
      <c r="B216" t="s">
        <v>15</v>
      </c>
      <c r="C216" t="s">
        <v>108</v>
      </c>
      <c r="D216" t="s">
        <v>59</v>
      </c>
      <c r="E216" t="s">
        <v>118</v>
      </c>
      <c r="F216" s="2">
        <v>43957</v>
      </c>
      <c r="G216" s="2">
        <v>3918</v>
      </c>
      <c r="H216">
        <v>0</v>
      </c>
      <c r="I216" t="str">
        <f>_xlfn.XLOOKUP($C216,战区信息!$A$1:$A$5,战区信息!$B$1:$B$5)</f>
        <v>001</v>
      </c>
      <c r="J216" t="str">
        <f>_xlfn.XLOOKUP($C216,战区信息!$A$1:$A$5,战区信息!$C$1:$C$5)</f>
        <v>江永</v>
      </c>
      <c r="K216" t="str">
        <f>_xlfn.XLOOKUP($C216,战区信息!$A$1:$A$5,战区信息!$D$1:$D$5)</f>
        <v>一级战区</v>
      </c>
      <c r="L216" t="str">
        <f>_xlfn.XLOOKUP($D216,城市信息!$B$1:$B$14,城市信息!$A$1:$A$14)</f>
        <v>004</v>
      </c>
      <c r="M216" t="str">
        <f>_xlfn.XLOOKUP($D216,城市信息!$B$1:$B$14,城市信息!$C$1:$C$14)</f>
        <v>苏川</v>
      </c>
      <c r="N216" t="str">
        <f>_xlfn.XLOOKUP($D216,城市信息!$B$1:$B$14,城市信息!$D$1:$D$14)</f>
        <v>二线</v>
      </c>
      <c r="O216">
        <f>_xlfn.XLOOKUP($D216,城市信息!$B$1:$B$14,城市信息!$E$1:$E$14)</f>
        <v>9912</v>
      </c>
      <c r="P216" cm="1">
        <f t="array" ref="P216:U216">_xlfn.XLOOKUP(A216&amp;B216,'[1]2.4自动化报表-8月获客数据-非乱码'!$A:$A&amp;'[1]2.4自动化报表-8月获客数据-非乱码'!$B:$B,'[1]2.4自动化报表-8月获客数据-非乱码'!$C:$H)</f>
        <v>1637</v>
      </c>
      <c r="Q216">
        <v>1606</v>
      </c>
      <c r="R216">
        <v>1546</v>
      </c>
      <c r="S216">
        <v>919</v>
      </c>
      <c r="T216">
        <v>446</v>
      </c>
      <c r="U216">
        <v>697</v>
      </c>
    </row>
    <row r="217" spans="1:21" x14ac:dyDescent="0.3">
      <c r="A217" s="1">
        <v>44051</v>
      </c>
      <c r="B217" t="s">
        <v>14</v>
      </c>
      <c r="C217" t="s">
        <v>108</v>
      </c>
      <c r="D217" t="s">
        <v>59</v>
      </c>
      <c r="E217" t="s">
        <v>119</v>
      </c>
      <c r="F217" s="2">
        <v>27500</v>
      </c>
      <c r="G217" s="2">
        <v>2066</v>
      </c>
      <c r="H217">
        <v>0</v>
      </c>
      <c r="I217" t="str">
        <f>_xlfn.XLOOKUP($C217,战区信息!$A$1:$A$5,战区信息!$B$1:$B$5)</f>
        <v>001</v>
      </c>
      <c r="J217" t="str">
        <f>_xlfn.XLOOKUP($C217,战区信息!$A$1:$A$5,战区信息!$C$1:$C$5)</f>
        <v>江永</v>
      </c>
      <c r="K217" t="str">
        <f>_xlfn.XLOOKUP($C217,战区信息!$A$1:$A$5,战区信息!$D$1:$D$5)</f>
        <v>一级战区</v>
      </c>
      <c r="L217" t="str">
        <f>_xlfn.XLOOKUP($D217,城市信息!$B$1:$B$14,城市信息!$A$1:$A$14)</f>
        <v>004</v>
      </c>
      <c r="M217" t="str">
        <f>_xlfn.XLOOKUP($D217,城市信息!$B$1:$B$14,城市信息!$C$1:$C$14)</f>
        <v>苏川</v>
      </c>
      <c r="N217" t="str">
        <f>_xlfn.XLOOKUP($D217,城市信息!$B$1:$B$14,城市信息!$D$1:$D$14)</f>
        <v>二线</v>
      </c>
      <c r="O217">
        <f>_xlfn.XLOOKUP($D217,城市信息!$B$1:$B$14,城市信息!$E$1:$E$14)</f>
        <v>9912</v>
      </c>
      <c r="P217" cm="1">
        <f t="array" ref="P217:U217">_xlfn.XLOOKUP(A217&amp;B217,'[1]2.4自动化报表-8月获客数据-非乱码'!$A:$A&amp;'[1]2.4自动化报表-8月获客数据-非乱码'!$B:$B,'[1]2.4自动化报表-8月获客数据-非乱码'!$C:$H)</f>
        <v>1606</v>
      </c>
      <c r="Q217">
        <v>1557</v>
      </c>
      <c r="R217">
        <v>1492</v>
      </c>
      <c r="S217">
        <v>962</v>
      </c>
      <c r="T217">
        <v>507</v>
      </c>
      <c r="U217">
        <v>701</v>
      </c>
    </row>
    <row r="218" spans="1:21" x14ac:dyDescent="0.3">
      <c r="A218" s="1">
        <v>44051</v>
      </c>
      <c r="B218" t="s">
        <v>13</v>
      </c>
      <c r="C218" t="s">
        <v>108</v>
      </c>
      <c r="D218" t="s">
        <v>60</v>
      </c>
      <c r="E218" t="s">
        <v>120</v>
      </c>
      <c r="F218" s="2">
        <v>165210</v>
      </c>
      <c r="G218" s="2">
        <v>11055</v>
      </c>
      <c r="H218">
        <v>672</v>
      </c>
      <c r="I218" t="str">
        <f>_xlfn.XLOOKUP($C218,战区信息!$A$1:$A$5,战区信息!$B$1:$B$5)</f>
        <v>001</v>
      </c>
      <c r="J218" t="str">
        <f>_xlfn.XLOOKUP($C218,战区信息!$A$1:$A$5,战区信息!$C$1:$C$5)</f>
        <v>江永</v>
      </c>
      <c r="K218" t="str">
        <f>_xlfn.XLOOKUP($C218,战区信息!$A$1:$A$5,战区信息!$D$1:$D$5)</f>
        <v>一级战区</v>
      </c>
      <c r="L218" t="str">
        <f>_xlfn.XLOOKUP($D218,城市信息!$B$1:$B$14,城市信息!$A$1:$A$14)</f>
        <v>005</v>
      </c>
      <c r="M218" t="str">
        <f>_xlfn.XLOOKUP($D218,城市信息!$B$1:$B$14,城市信息!$C$1:$C$14)</f>
        <v>侯阳冰</v>
      </c>
      <c r="N218" t="str">
        <f>_xlfn.XLOOKUP($D218,城市信息!$B$1:$B$14,城市信息!$D$1:$D$14)</f>
        <v>二线</v>
      </c>
      <c r="O218">
        <f>_xlfn.XLOOKUP($D218,城市信息!$B$1:$B$14,城市信息!$E$1:$E$14)</f>
        <v>8694</v>
      </c>
      <c r="P218" cm="1">
        <f t="array" ref="P218:U218">_xlfn.XLOOKUP(A218&amp;B218,'[1]2.4自动化报表-8月获客数据-非乱码'!$A:$A&amp;'[1]2.4自动化报表-8月获客数据-非乱码'!$B:$B,'[1]2.4自动化报表-8月获客数据-非乱码'!$C:$H)</f>
        <v>5881</v>
      </c>
      <c r="Q218">
        <v>5738</v>
      </c>
      <c r="R218">
        <v>5474</v>
      </c>
      <c r="S218">
        <v>3433</v>
      </c>
      <c r="T218">
        <v>1676</v>
      </c>
      <c r="U218">
        <v>697</v>
      </c>
    </row>
    <row r="219" spans="1:21" x14ac:dyDescent="0.3">
      <c r="A219" s="1">
        <v>44051</v>
      </c>
      <c r="B219" t="s">
        <v>12</v>
      </c>
      <c r="C219" t="s">
        <v>108</v>
      </c>
      <c r="D219" t="s">
        <v>60</v>
      </c>
      <c r="E219" t="s">
        <v>121</v>
      </c>
      <c r="F219" s="2">
        <v>97213</v>
      </c>
      <c r="G219" s="2">
        <v>5092</v>
      </c>
      <c r="H219">
        <v>0</v>
      </c>
      <c r="I219" t="str">
        <f>_xlfn.XLOOKUP($C219,战区信息!$A$1:$A$5,战区信息!$B$1:$B$5)</f>
        <v>001</v>
      </c>
      <c r="J219" t="str">
        <f>_xlfn.XLOOKUP($C219,战区信息!$A$1:$A$5,战区信息!$C$1:$C$5)</f>
        <v>江永</v>
      </c>
      <c r="K219" t="str">
        <f>_xlfn.XLOOKUP($C219,战区信息!$A$1:$A$5,战区信息!$D$1:$D$5)</f>
        <v>一级战区</v>
      </c>
      <c r="L219" t="str">
        <f>_xlfn.XLOOKUP($D219,城市信息!$B$1:$B$14,城市信息!$A$1:$A$14)</f>
        <v>005</v>
      </c>
      <c r="M219" t="str">
        <f>_xlfn.XLOOKUP($D219,城市信息!$B$1:$B$14,城市信息!$C$1:$C$14)</f>
        <v>侯阳冰</v>
      </c>
      <c r="N219" t="str">
        <f>_xlfn.XLOOKUP($D219,城市信息!$B$1:$B$14,城市信息!$D$1:$D$14)</f>
        <v>二线</v>
      </c>
      <c r="O219">
        <f>_xlfn.XLOOKUP($D219,城市信息!$B$1:$B$14,城市信息!$E$1:$E$14)</f>
        <v>8694</v>
      </c>
      <c r="P219" cm="1">
        <f t="array" ref="P219:U219">_xlfn.XLOOKUP(A219&amp;B219,'[1]2.4自动化报表-8月获客数据-非乱码'!$A:$A&amp;'[1]2.4自动化报表-8月获客数据-非乱码'!$B:$B,'[1]2.4自动化报表-8月获客数据-非乱码'!$C:$H)</f>
        <v>1292</v>
      </c>
      <c r="Q219">
        <v>1268</v>
      </c>
      <c r="R219">
        <v>1213</v>
      </c>
      <c r="S219">
        <v>757</v>
      </c>
      <c r="T219">
        <v>391</v>
      </c>
      <c r="U219">
        <v>696</v>
      </c>
    </row>
    <row r="220" spans="1:21" x14ac:dyDescent="0.3">
      <c r="A220" s="1">
        <v>44051</v>
      </c>
      <c r="B220" t="s">
        <v>11</v>
      </c>
      <c r="C220" t="s">
        <v>108</v>
      </c>
      <c r="D220" t="s">
        <v>58</v>
      </c>
      <c r="E220" t="s">
        <v>122</v>
      </c>
      <c r="F220" s="2">
        <v>248978</v>
      </c>
      <c r="G220" s="2">
        <v>16513</v>
      </c>
      <c r="H220">
        <v>0</v>
      </c>
      <c r="I220" t="str">
        <f>_xlfn.XLOOKUP($C220,战区信息!$A$1:$A$5,战区信息!$B$1:$B$5)</f>
        <v>001</v>
      </c>
      <c r="J220" t="str">
        <f>_xlfn.XLOOKUP($C220,战区信息!$A$1:$A$5,战区信息!$C$1:$C$5)</f>
        <v>江永</v>
      </c>
      <c r="K220" t="str">
        <f>_xlfn.XLOOKUP($C220,战区信息!$A$1:$A$5,战区信息!$D$1:$D$5)</f>
        <v>一级战区</v>
      </c>
      <c r="L220" t="str">
        <f>_xlfn.XLOOKUP($D220,城市信息!$B$1:$B$14,城市信息!$A$1:$A$14)</f>
        <v>003</v>
      </c>
      <c r="M220" t="str">
        <f>_xlfn.XLOOKUP($D220,城市信息!$B$1:$B$14,城市信息!$C$1:$C$14)</f>
        <v>杜光亮</v>
      </c>
      <c r="N220" t="str">
        <f>_xlfn.XLOOKUP($D220,城市信息!$B$1:$B$14,城市信息!$D$1:$D$14)</f>
        <v>二线</v>
      </c>
      <c r="O220">
        <f>_xlfn.XLOOKUP($D220,城市信息!$B$1:$B$14,城市信息!$E$1:$E$14)</f>
        <v>10499</v>
      </c>
      <c r="P220" cm="1">
        <f t="array" ref="P220:U220">_xlfn.XLOOKUP(A220&amp;B220,'[1]2.4自动化报表-8月获客数据-非乱码'!$A:$A&amp;'[1]2.4自动化报表-8月获客数据-非乱码'!$B:$B,'[1]2.4自动化报表-8月获客数据-非乱码'!$C:$H)</f>
        <v>6742</v>
      </c>
      <c r="Q220">
        <v>6482</v>
      </c>
      <c r="R220">
        <v>6142</v>
      </c>
      <c r="S220">
        <v>3799</v>
      </c>
      <c r="T220">
        <v>1789</v>
      </c>
      <c r="U220">
        <v>702</v>
      </c>
    </row>
    <row r="221" spans="1:21" x14ac:dyDescent="0.3">
      <c r="A221" s="1">
        <v>44051</v>
      </c>
      <c r="B221" t="s">
        <v>10</v>
      </c>
      <c r="C221" t="s">
        <v>108</v>
      </c>
      <c r="D221" t="s">
        <v>58</v>
      </c>
      <c r="E221" t="s">
        <v>123</v>
      </c>
      <c r="F221" s="2">
        <v>46374</v>
      </c>
      <c r="G221" s="2">
        <v>2959</v>
      </c>
      <c r="H221">
        <v>0</v>
      </c>
      <c r="I221" t="str">
        <f>_xlfn.XLOOKUP($C221,战区信息!$A$1:$A$5,战区信息!$B$1:$B$5)</f>
        <v>001</v>
      </c>
      <c r="J221" t="str">
        <f>_xlfn.XLOOKUP($C221,战区信息!$A$1:$A$5,战区信息!$C$1:$C$5)</f>
        <v>江永</v>
      </c>
      <c r="K221" t="str">
        <f>_xlfn.XLOOKUP($C221,战区信息!$A$1:$A$5,战区信息!$D$1:$D$5)</f>
        <v>一级战区</v>
      </c>
      <c r="L221" t="str">
        <f>_xlfn.XLOOKUP($D221,城市信息!$B$1:$B$14,城市信息!$A$1:$A$14)</f>
        <v>003</v>
      </c>
      <c r="M221" t="str">
        <f>_xlfn.XLOOKUP($D221,城市信息!$B$1:$B$14,城市信息!$C$1:$C$14)</f>
        <v>杜光亮</v>
      </c>
      <c r="N221" t="str">
        <f>_xlfn.XLOOKUP($D221,城市信息!$B$1:$B$14,城市信息!$D$1:$D$14)</f>
        <v>二线</v>
      </c>
      <c r="O221">
        <f>_xlfn.XLOOKUP($D221,城市信息!$B$1:$B$14,城市信息!$E$1:$E$14)</f>
        <v>10499</v>
      </c>
      <c r="P221" cm="1">
        <f t="array" ref="P221:U221">_xlfn.XLOOKUP(A221&amp;B221,'[1]2.4自动化报表-8月获客数据-非乱码'!$A:$A&amp;'[1]2.4自动化报表-8月获客数据-非乱码'!$B:$B,'[1]2.4自动化报表-8月获客数据-非乱码'!$C:$H)</f>
        <v>1773</v>
      </c>
      <c r="Q221">
        <v>1738</v>
      </c>
      <c r="R221">
        <v>1690</v>
      </c>
      <c r="S221">
        <v>1017</v>
      </c>
      <c r="T221">
        <v>614</v>
      </c>
      <c r="U221">
        <v>701</v>
      </c>
    </row>
    <row r="222" spans="1:21" x14ac:dyDescent="0.3">
      <c r="A222" s="1">
        <v>44051</v>
      </c>
      <c r="B222" t="s">
        <v>9</v>
      </c>
      <c r="C222" t="s">
        <v>108</v>
      </c>
      <c r="D222" t="s">
        <v>58</v>
      </c>
      <c r="E222" t="s">
        <v>124</v>
      </c>
      <c r="F222" s="2">
        <v>207853</v>
      </c>
      <c r="G222" s="2">
        <v>14753</v>
      </c>
      <c r="H222">
        <v>0</v>
      </c>
      <c r="I222" t="str">
        <f>_xlfn.XLOOKUP($C222,战区信息!$A$1:$A$5,战区信息!$B$1:$B$5)</f>
        <v>001</v>
      </c>
      <c r="J222" t="str">
        <f>_xlfn.XLOOKUP($C222,战区信息!$A$1:$A$5,战区信息!$C$1:$C$5)</f>
        <v>江永</v>
      </c>
      <c r="K222" t="str">
        <f>_xlfn.XLOOKUP($C222,战区信息!$A$1:$A$5,战区信息!$D$1:$D$5)</f>
        <v>一级战区</v>
      </c>
      <c r="L222" t="str">
        <f>_xlfn.XLOOKUP($D222,城市信息!$B$1:$B$14,城市信息!$A$1:$A$14)</f>
        <v>003</v>
      </c>
      <c r="M222" t="str">
        <f>_xlfn.XLOOKUP($D222,城市信息!$B$1:$B$14,城市信息!$C$1:$C$14)</f>
        <v>杜光亮</v>
      </c>
      <c r="N222" t="str">
        <f>_xlfn.XLOOKUP($D222,城市信息!$B$1:$B$14,城市信息!$D$1:$D$14)</f>
        <v>二线</v>
      </c>
      <c r="O222">
        <f>_xlfn.XLOOKUP($D222,城市信息!$B$1:$B$14,城市信息!$E$1:$E$14)</f>
        <v>10499</v>
      </c>
      <c r="P222" cm="1">
        <f t="array" ref="P222:U222">_xlfn.XLOOKUP(A222&amp;B222,'[1]2.4自动化报表-8月获客数据-非乱码'!$A:$A&amp;'[1]2.4自动化报表-8月获客数据-非乱码'!$B:$B,'[1]2.4自动化报表-8月获客数据-非乱码'!$C:$H)</f>
        <v>5283</v>
      </c>
      <c r="Q222">
        <v>5146</v>
      </c>
      <c r="R222">
        <v>4976</v>
      </c>
      <c r="S222">
        <v>2839</v>
      </c>
      <c r="T222">
        <v>1597</v>
      </c>
      <c r="U222">
        <v>694</v>
      </c>
    </row>
    <row r="223" spans="1:21" x14ac:dyDescent="0.3">
      <c r="A223" s="1">
        <v>44051</v>
      </c>
      <c r="B223" t="s">
        <v>8</v>
      </c>
      <c r="C223" t="s">
        <v>125</v>
      </c>
      <c r="D223" t="s">
        <v>66</v>
      </c>
      <c r="E223" t="s">
        <v>126</v>
      </c>
      <c r="F223" s="2">
        <v>44422</v>
      </c>
      <c r="G223" s="2">
        <v>3730</v>
      </c>
      <c r="H223">
        <v>0</v>
      </c>
      <c r="I223" t="str">
        <f>_xlfn.XLOOKUP($C223,战区信息!$A$1:$A$5,战区信息!$B$1:$B$5)</f>
        <v>004</v>
      </c>
      <c r="J223" t="str">
        <f>_xlfn.XLOOKUP($C223,战区信息!$A$1:$A$5,战区信息!$C$1:$C$5)</f>
        <v>沈乐欣</v>
      </c>
      <c r="K223" t="str">
        <f>_xlfn.XLOOKUP($C223,战区信息!$A$1:$A$5,战区信息!$D$1:$D$5)</f>
        <v>三级战区</v>
      </c>
      <c r="L223" t="str">
        <f>_xlfn.XLOOKUP($D223,城市信息!$B$1:$B$14,城市信息!$A$1:$A$14)</f>
        <v>011</v>
      </c>
      <c r="M223" t="str">
        <f>_xlfn.XLOOKUP($D223,城市信息!$B$1:$B$14,城市信息!$C$1:$C$14)</f>
        <v>冯谦</v>
      </c>
      <c r="N223" t="str">
        <f>_xlfn.XLOOKUP($D223,城市信息!$B$1:$B$14,城市信息!$D$1:$D$14)</f>
        <v>一线</v>
      </c>
      <c r="O223">
        <f>_xlfn.XLOOKUP($D223,城市信息!$B$1:$B$14,城市信息!$E$1:$E$14)</f>
        <v>8244</v>
      </c>
      <c r="P223" cm="1">
        <f t="array" ref="P223:U223">_xlfn.XLOOKUP(A223&amp;B223,'[1]2.4自动化报表-8月获客数据-非乱码'!$A:$A&amp;'[1]2.4自动化报表-8月获客数据-非乱码'!$B:$B,'[1]2.4自动化报表-8月获客数据-非乱码'!$C:$H)</f>
        <v>1124</v>
      </c>
      <c r="Q223">
        <v>1111</v>
      </c>
      <c r="R223">
        <v>1072</v>
      </c>
      <c r="S223">
        <v>591</v>
      </c>
      <c r="T223">
        <v>360</v>
      </c>
      <c r="U223">
        <v>685</v>
      </c>
    </row>
    <row r="224" spans="1:21" x14ac:dyDescent="0.3">
      <c r="A224" s="1">
        <v>44051</v>
      </c>
      <c r="B224" t="s">
        <v>7</v>
      </c>
      <c r="C224" t="s">
        <v>125</v>
      </c>
      <c r="D224" t="s">
        <v>62</v>
      </c>
      <c r="E224" t="s">
        <v>127</v>
      </c>
      <c r="F224" s="2">
        <v>18000</v>
      </c>
      <c r="G224" s="2">
        <v>1102</v>
      </c>
      <c r="H224">
        <v>0</v>
      </c>
      <c r="I224" t="str">
        <f>_xlfn.XLOOKUP($C224,战区信息!$A$1:$A$5,战区信息!$B$1:$B$5)</f>
        <v>004</v>
      </c>
      <c r="J224" t="str">
        <f>_xlfn.XLOOKUP($C224,战区信息!$A$1:$A$5,战区信息!$C$1:$C$5)</f>
        <v>沈乐欣</v>
      </c>
      <c r="K224" t="str">
        <f>_xlfn.XLOOKUP($C224,战区信息!$A$1:$A$5,战区信息!$D$1:$D$5)</f>
        <v>三级战区</v>
      </c>
      <c r="L224" t="str">
        <f>_xlfn.XLOOKUP($D224,城市信息!$B$1:$B$14,城市信息!$A$1:$A$14)</f>
        <v>007</v>
      </c>
      <c r="M224" t="str">
        <f>_xlfn.XLOOKUP($D224,城市信息!$B$1:$B$14,城市信息!$C$1:$C$14)</f>
        <v>范俊发</v>
      </c>
      <c r="N224" t="str">
        <f>_xlfn.XLOOKUP($D224,城市信息!$B$1:$B$14,城市信息!$D$1:$D$14)</f>
        <v>一线</v>
      </c>
      <c r="O224">
        <f>_xlfn.XLOOKUP($D224,城市信息!$B$1:$B$14,城市信息!$E$1:$E$14)</f>
        <v>12358</v>
      </c>
      <c r="P224" cm="1">
        <f t="array" ref="P224:U224">_xlfn.XLOOKUP(A224&amp;B224,'[1]2.4自动化报表-8月获客数据-非乱码'!$A:$A&amp;'[1]2.4自动化报表-8月获客数据-非乱码'!$B:$B,'[1]2.4自动化报表-8月获客数据-非乱码'!$C:$H)</f>
        <v>95</v>
      </c>
      <c r="Q224">
        <v>91</v>
      </c>
      <c r="R224">
        <v>85</v>
      </c>
      <c r="S224">
        <v>45</v>
      </c>
      <c r="T224">
        <v>25</v>
      </c>
      <c r="U224">
        <v>686</v>
      </c>
    </row>
    <row r="225" spans="1:21" x14ac:dyDescent="0.3">
      <c r="A225" s="1">
        <v>44051</v>
      </c>
      <c r="B225" t="s">
        <v>6</v>
      </c>
      <c r="C225" t="s">
        <v>125</v>
      </c>
      <c r="D225" t="s">
        <v>62</v>
      </c>
      <c r="E225" t="s">
        <v>128</v>
      </c>
      <c r="F225" s="2">
        <v>69857</v>
      </c>
      <c r="G225" s="2">
        <v>4130</v>
      </c>
      <c r="H225">
        <v>0</v>
      </c>
      <c r="I225" t="str">
        <f>_xlfn.XLOOKUP($C225,战区信息!$A$1:$A$5,战区信息!$B$1:$B$5)</f>
        <v>004</v>
      </c>
      <c r="J225" t="str">
        <f>_xlfn.XLOOKUP($C225,战区信息!$A$1:$A$5,战区信息!$C$1:$C$5)</f>
        <v>沈乐欣</v>
      </c>
      <c r="K225" t="str">
        <f>_xlfn.XLOOKUP($C225,战区信息!$A$1:$A$5,战区信息!$D$1:$D$5)</f>
        <v>三级战区</v>
      </c>
      <c r="L225" t="str">
        <f>_xlfn.XLOOKUP($D225,城市信息!$B$1:$B$14,城市信息!$A$1:$A$14)</f>
        <v>007</v>
      </c>
      <c r="M225" t="str">
        <f>_xlfn.XLOOKUP($D225,城市信息!$B$1:$B$14,城市信息!$C$1:$C$14)</f>
        <v>范俊发</v>
      </c>
      <c r="N225" t="str">
        <f>_xlfn.XLOOKUP($D225,城市信息!$B$1:$B$14,城市信息!$D$1:$D$14)</f>
        <v>一线</v>
      </c>
      <c r="O225">
        <f>_xlfn.XLOOKUP($D225,城市信息!$B$1:$B$14,城市信息!$E$1:$E$14)</f>
        <v>12358</v>
      </c>
      <c r="P225" cm="1">
        <f t="array" ref="P225:U225">_xlfn.XLOOKUP(A225&amp;B225,'[1]2.4自动化报表-8月获客数据-非乱码'!$A:$A&amp;'[1]2.4自动化报表-8月获客数据-非乱码'!$B:$B,'[1]2.4自动化报表-8月获客数据-非乱码'!$C:$H)</f>
        <v>1721</v>
      </c>
      <c r="Q225">
        <v>1698</v>
      </c>
      <c r="R225">
        <v>1663</v>
      </c>
      <c r="S225">
        <v>1003</v>
      </c>
      <c r="T225">
        <v>582</v>
      </c>
      <c r="U225">
        <v>688</v>
      </c>
    </row>
    <row r="226" spans="1:21" x14ac:dyDescent="0.3">
      <c r="A226" s="1">
        <v>44051</v>
      </c>
      <c r="B226" t="s">
        <v>5</v>
      </c>
      <c r="C226" t="s">
        <v>125</v>
      </c>
      <c r="D226" t="s">
        <v>62</v>
      </c>
      <c r="E226" t="s">
        <v>129</v>
      </c>
      <c r="F226" s="2">
        <v>6986</v>
      </c>
      <c r="G226">
        <v>471</v>
      </c>
      <c r="H226">
        <v>0</v>
      </c>
      <c r="I226" t="str">
        <f>_xlfn.XLOOKUP($C226,战区信息!$A$1:$A$5,战区信息!$B$1:$B$5)</f>
        <v>004</v>
      </c>
      <c r="J226" t="str">
        <f>_xlfn.XLOOKUP($C226,战区信息!$A$1:$A$5,战区信息!$C$1:$C$5)</f>
        <v>沈乐欣</v>
      </c>
      <c r="K226" t="str">
        <f>_xlfn.XLOOKUP($C226,战区信息!$A$1:$A$5,战区信息!$D$1:$D$5)</f>
        <v>三级战区</v>
      </c>
      <c r="L226" t="str">
        <f>_xlfn.XLOOKUP($D226,城市信息!$B$1:$B$14,城市信息!$A$1:$A$14)</f>
        <v>007</v>
      </c>
      <c r="M226" t="str">
        <f>_xlfn.XLOOKUP($D226,城市信息!$B$1:$B$14,城市信息!$C$1:$C$14)</f>
        <v>范俊发</v>
      </c>
      <c r="N226" t="str">
        <f>_xlfn.XLOOKUP($D226,城市信息!$B$1:$B$14,城市信息!$D$1:$D$14)</f>
        <v>一线</v>
      </c>
      <c r="O226">
        <f>_xlfn.XLOOKUP($D226,城市信息!$B$1:$B$14,城市信息!$E$1:$E$14)</f>
        <v>12358</v>
      </c>
      <c r="P226" cm="1">
        <f t="array" ref="P226:U226">_xlfn.XLOOKUP(A226&amp;B226,'[1]2.4自动化报表-8月获客数据-非乱码'!$A:$A&amp;'[1]2.4自动化报表-8月获客数据-非乱码'!$B:$B,'[1]2.4自动化报表-8月获客数据-非乱码'!$C:$H)</f>
        <v>1275</v>
      </c>
      <c r="Q226">
        <v>1256</v>
      </c>
      <c r="R226">
        <v>1208</v>
      </c>
      <c r="S226">
        <v>731</v>
      </c>
      <c r="T226">
        <v>377</v>
      </c>
      <c r="U226">
        <v>689</v>
      </c>
    </row>
    <row r="227" spans="1:21" x14ac:dyDescent="0.3">
      <c r="A227" s="1">
        <v>44052</v>
      </c>
      <c r="B227" t="s">
        <v>32</v>
      </c>
      <c r="C227" t="s">
        <v>97</v>
      </c>
      <c r="D227" t="s">
        <v>67</v>
      </c>
      <c r="E227" t="s">
        <v>98</v>
      </c>
      <c r="F227" s="2">
        <v>38007</v>
      </c>
      <c r="G227" s="2">
        <v>2108</v>
      </c>
      <c r="H227">
        <v>0</v>
      </c>
      <c r="I227" t="str">
        <f>_xlfn.XLOOKUP($C227,战区信息!$A$1:$A$5,战区信息!$B$1:$B$5)</f>
        <v>003</v>
      </c>
      <c r="J227" t="str">
        <f>_xlfn.XLOOKUP($C227,战区信息!$A$1:$A$5,战区信息!$C$1:$C$5)</f>
        <v>田楠</v>
      </c>
      <c r="K227" t="str">
        <f>_xlfn.XLOOKUP($C227,战区信息!$A$1:$A$5,战区信息!$D$1:$D$5)</f>
        <v>二级战区</v>
      </c>
      <c r="L227" t="str">
        <f>_xlfn.XLOOKUP($D227,城市信息!$B$1:$B$14,城市信息!$A$1:$A$14)</f>
        <v>012</v>
      </c>
      <c r="M227" t="str">
        <f>_xlfn.XLOOKUP($D227,城市信息!$B$1:$B$14,城市信息!$C$1:$C$14)</f>
        <v>于子默</v>
      </c>
      <c r="N227" t="str">
        <f>_xlfn.XLOOKUP($D227,城市信息!$B$1:$B$14,城市信息!$D$1:$D$14)</f>
        <v>二线</v>
      </c>
      <c r="O227">
        <f>_xlfn.XLOOKUP($D227,城市信息!$B$1:$B$14,城市信息!$E$1:$E$14)</f>
        <v>9713</v>
      </c>
      <c r="P227" cm="1">
        <f t="array" ref="P227:U227">_xlfn.XLOOKUP(A227&amp;B227,'[1]2.4自动化报表-8月获客数据-非乱码'!$A:$A&amp;'[1]2.4自动化报表-8月获客数据-非乱码'!$B:$B,'[1]2.4自动化报表-8月获客数据-非乱码'!$C:$H)</f>
        <v>2133</v>
      </c>
      <c r="Q227">
        <v>2102</v>
      </c>
      <c r="R227">
        <v>2043</v>
      </c>
      <c r="S227">
        <v>1310</v>
      </c>
      <c r="T227">
        <v>719</v>
      </c>
      <c r="U227">
        <v>691</v>
      </c>
    </row>
    <row r="228" spans="1:21" x14ac:dyDescent="0.3">
      <c r="A228" s="1">
        <v>44052</v>
      </c>
      <c r="B228" t="s">
        <v>31</v>
      </c>
      <c r="C228" t="s">
        <v>97</v>
      </c>
      <c r="D228" t="s">
        <v>65</v>
      </c>
      <c r="E228" t="s">
        <v>99</v>
      </c>
      <c r="F228" s="2">
        <v>115472</v>
      </c>
      <c r="G228" s="2">
        <v>5980</v>
      </c>
      <c r="H228">
        <v>0</v>
      </c>
      <c r="I228" t="str">
        <f>_xlfn.XLOOKUP($C228,战区信息!$A$1:$A$5,战区信息!$B$1:$B$5)</f>
        <v>003</v>
      </c>
      <c r="J228" t="str">
        <f>_xlfn.XLOOKUP($C228,战区信息!$A$1:$A$5,战区信息!$C$1:$C$5)</f>
        <v>田楠</v>
      </c>
      <c r="K228" t="str">
        <f>_xlfn.XLOOKUP($C228,战区信息!$A$1:$A$5,战区信息!$D$1:$D$5)</f>
        <v>二级战区</v>
      </c>
      <c r="L228" t="str">
        <f>_xlfn.XLOOKUP($D228,城市信息!$B$1:$B$14,城市信息!$A$1:$A$14)</f>
        <v>010</v>
      </c>
      <c r="M228" t="str">
        <f>_xlfn.XLOOKUP($D228,城市信息!$B$1:$B$14,城市信息!$C$1:$C$14)</f>
        <v>黄鹏天</v>
      </c>
      <c r="N228" t="str">
        <f>_xlfn.XLOOKUP($D228,城市信息!$B$1:$B$14,城市信息!$D$1:$D$14)</f>
        <v>二线</v>
      </c>
      <c r="O228">
        <f>_xlfn.XLOOKUP($D228,城市信息!$B$1:$B$14,城市信息!$E$1:$E$14)</f>
        <v>8295</v>
      </c>
      <c r="P228" cm="1">
        <f t="array" ref="P228:U228">_xlfn.XLOOKUP(A228&amp;B228,'[1]2.4自动化报表-8月获客数据-非乱码'!$A:$A&amp;'[1]2.4自动化报表-8月获客数据-非乱码'!$B:$B,'[1]2.4自动化报表-8月获客数据-非乱码'!$C:$H)</f>
        <v>3717</v>
      </c>
      <c r="Q228">
        <v>3652</v>
      </c>
      <c r="R228">
        <v>3534</v>
      </c>
      <c r="S228">
        <v>2135</v>
      </c>
      <c r="T228">
        <v>1196</v>
      </c>
      <c r="U228">
        <v>691</v>
      </c>
    </row>
    <row r="229" spans="1:21" x14ac:dyDescent="0.3">
      <c r="A229" s="1">
        <v>44052</v>
      </c>
      <c r="B229" t="s">
        <v>30</v>
      </c>
      <c r="C229" t="s">
        <v>97</v>
      </c>
      <c r="D229" t="s">
        <v>61</v>
      </c>
      <c r="E229" t="s">
        <v>100</v>
      </c>
      <c r="F229" s="2">
        <v>96011</v>
      </c>
      <c r="G229" s="2">
        <v>6193</v>
      </c>
      <c r="H229">
        <v>0</v>
      </c>
      <c r="I229" t="str">
        <f>_xlfn.XLOOKUP($C229,战区信息!$A$1:$A$5,战区信息!$B$1:$B$5)</f>
        <v>003</v>
      </c>
      <c r="J229" t="str">
        <f>_xlfn.XLOOKUP($C229,战区信息!$A$1:$A$5,战区信息!$C$1:$C$5)</f>
        <v>田楠</v>
      </c>
      <c r="K229" t="str">
        <f>_xlfn.XLOOKUP($C229,战区信息!$A$1:$A$5,战区信息!$D$1:$D$5)</f>
        <v>二级战区</v>
      </c>
      <c r="L229" t="str">
        <f>_xlfn.XLOOKUP($D229,城市信息!$B$1:$B$14,城市信息!$A$1:$A$14)</f>
        <v>006</v>
      </c>
      <c r="M229" t="str">
        <f>_xlfn.XLOOKUP($D229,城市信息!$B$1:$B$14,城市信息!$C$1:$C$14)</f>
        <v>王刚</v>
      </c>
      <c r="N229" t="str">
        <f>_xlfn.XLOOKUP($D229,城市信息!$B$1:$B$14,城市信息!$D$1:$D$14)</f>
        <v>二线</v>
      </c>
      <c r="O229">
        <f>_xlfn.XLOOKUP($D229,城市信息!$B$1:$B$14,城市信息!$E$1:$E$14)</f>
        <v>9107</v>
      </c>
      <c r="P229" cm="1">
        <f t="array" ref="P229:U229">_xlfn.XLOOKUP(A229&amp;B229,'[1]2.4自动化报表-8月获客数据-非乱码'!$A:$A&amp;'[1]2.4自动化报表-8月获客数据-非乱码'!$B:$B,'[1]2.4自动化报表-8月获客数据-非乱码'!$C:$H)</f>
        <v>1378</v>
      </c>
      <c r="Q229">
        <v>1349</v>
      </c>
      <c r="R229">
        <v>1304</v>
      </c>
      <c r="S229">
        <v>773</v>
      </c>
      <c r="T229">
        <v>450</v>
      </c>
      <c r="U229">
        <v>695</v>
      </c>
    </row>
    <row r="230" spans="1:21" x14ac:dyDescent="0.3">
      <c r="A230" s="1">
        <v>44052</v>
      </c>
      <c r="B230" t="s">
        <v>29</v>
      </c>
      <c r="C230" t="s">
        <v>97</v>
      </c>
      <c r="D230" t="s">
        <v>64</v>
      </c>
      <c r="E230" t="s">
        <v>101</v>
      </c>
      <c r="F230" s="2">
        <v>81510</v>
      </c>
      <c r="G230" s="2">
        <v>5256</v>
      </c>
      <c r="H230">
        <v>0</v>
      </c>
      <c r="I230" t="str">
        <f>_xlfn.XLOOKUP($C230,战区信息!$A$1:$A$5,战区信息!$B$1:$B$5)</f>
        <v>003</v>
      </c>
      <c r="J230" t="str">
        <f>_xlfn.XLOOKUP($C230,战区信息!$A$1:$A$5,战区信息!$C$1:$C$5)</f>
        <v>田楠</v>
      </c>
      <c r="K230" t="str">
        <f>_xlfn.XLOOKUP($C230,战区信息!$A$1:$A$5,战区信息!$D$1:$D$5)</f>
        <v>二级战区</v>
      </c>
      <c r="L230" t="str">
        <f>_xlfn.XLOOKUP($D230,城市信息!$B$1:$B$14,城市信息!$A$1:$A$14)</f>
        <v>009</v>
      </c>
      <c r="M230" t="str">
        <f>_xlfn.XLOOKUP($D230,城市信息!$B$1:$B$14,城市信息!$C$1:$C$14)</f>
        <v>叶超</v>
      </c>
      <c r="N230" t="str">
        <f>_xlfn.XLOOKUP($D230,城市信息!$B$1:$B$14,城市信息!$D$1:$D$14)</f>
        <v>二线</v>
      </c>
      <c r="O230">
        <f>_xlfn.XLOOKUP($D230,城市信息!$B$1:$B$14,城市信息!$E$1:$E$14)</f>
        <v>9016</v>
      </c>
      <c r="P230" cm="1">
        <f t="array" ref="P230:U230">_xlfn.XLOOKUP(A230&amp;B230,'[1]2.4自动化报表-8月获客数据-非乱码'!$A:$A&amp;'[1]2.4自动化报表-8月获客数据-非乱码'!$B:$B,'[1]2.4自动化报表-8月获客数据-非乱码'!$C:$H)</f>
        <v>1946</v>
      </c>
      <c r="Q230">
        <v>1900</v>
      </c>
      <c r="R230">
        <v>1835</v>
      </c>
      <c r="S230">
        <v>1189</v>
      </c>
      <c r="T230">
        <v>695</v>
      </c>
      <c r="U230">
        <v>693</v>
      </c>
    </row>
    <row r="231" spans="1:21" x14ac:dyDescent="0.3">
      <c r="A231" s="1">
        <v>44052</v>
      </c>
      <c r="B231" t="s">
        <v>28</v>
      </c>
      <c r="C231" t="s">
        <v>97</v>
      </c>
      <c r="D231" t="s">
        <v>64</v>
      </c>
      <c r="E231" t="s">
        <v>102</v>
      </c>
      <c r="F231" s="2">
        <v>25000</v>
      </c>
      <c r="G231" s="2">
        <v>1445</v>
      </c>
      <c r="H231">
        <v>0</v>
      </c>
      <c r="I231" t="str">
        <f>_xlfn.XLOOKUP($C231,战区信息!$A$1:$A$5,战区信息!$B$1:$B$5)</f>
        <v>003</v>
      </c>
      <c r="J231" t="str">
        <f>_xlfn.XLOOKUP($C231,战区信息!$A$1:$A$5,战区信息!$C$1:$C$5)</f>
        <v>田楠</v>
      </c>
      <c r="K231" t="str">
        <f>_xlfn.XLOOKUP($C231,战区信息!$A$1:$A$5,战区信息!$D$1:$D$5)</f>
        <v>二级战区</v>
      </c>
      <c r="L231" t="str">
        <f>_xlfn.XLOOKUP($D231,城市信息!$B$1:$B$14,城市信息!$A$1:$A$14)</f>
        <v>009</v>
      </c>
      <c r="M231" t="str">
        <f>_xlfn.XLOOKUP($D231,城市信息!$B$1:$B$14,城市信息!$C$1:$C$14)</f>
        <v>叶超</v>
      </c>
      <c r="N231" t="str">
        <f>_xlfn.XLOOKUP($D231,城市信息!$B$1:$B$14,城市信息!$D$1:$D$14)</f>
        <v>二线</v>
      </c>
      <c r="O231">
        <f>_xlfn.XLOOKUP($D231,城市信息!$B$1:$B$14,城市信息!$E$1:$E$14)</f>
        <v>9016</v>
      </c>
      <c r="P231" cm="1">
        <f t="array" ref="P231:U231">_xlfn.XLOOKUP(A231&amp;B231,'[1]2.4自动化报表-8月获客数据-非乱码'!$A:$A&amp;'[1]2.4自动化报表-8月获客数据-非乱码'!$B:$B,'[1]2.4自动化报表-8月获客数据-非乱码'!$C:$H)</f>
        <v>672</v>
      </c>
      <c r="Q231">
        <v>662</v>
      </c>
      <c r="R231">
        <v>643</v>
      </c>
      <c r="S231">
        <v>443</v>
      </c>
      <c r="T231">
        <v>209</v>
      </c>
      <c r="U231">
        <v>692</v>
      </c>
    </row>
    <row r="232" spans="1:21" x14ac:dyDescent="0.3">
      <c r="A232" s="1">
        <v>44052</v>
      </c>
      <c r="B232" t="s">
        <v>27</v>
      </c>
      <c r="C232" t="s">
        <v>103</v>
      </c>
      <c r="D232" t="s">
        <v>63</v>
      </c>
      <c r="E232" t="s">
        <v>104</v>
      </c>
      <c r="F232" s="2">
        <v>105713</v>
      </c>
      <c r="G232" s="2">
        <v>7932</v>
      </c>
      <c r="H232">
        <v>0</v>
      </c>
      <c r="I232" t="str">
        <f>_xlfn.XLOOKUP($C232,战区信息!$A$1:$A$5,战区信息!$B$1:$B$5)</f>
        <v>002</v>
      </c>
      <c r="J232" t="str">
        <f>_xlfn.XLOOKUP($C232,战区信息!$A$1:$A$5,战区信息!$C$1:$C$5)</f>
        <v>高安平</v>
      </c>
      <c r="K232" t="str">
        <f>_xlfn.XLOOKUP($C232,战区信息!$A$1:$A$5,战区信息!$D$1:$D$5)</f>
        <v>二级战区</v>
      </c>
      <c r="L232" t="str">
        <f>_xlfn.XLOOKUP($D232,城市信息!$B$1:$B$14,城市信息!$A$1:$A$14)</f>
        <v>008</v>
      </c>
      <c r="M232" t="str">
        <f>_xlfn.XLOOKUP($D232,城市信息!$B$1:$B$14,城市信息!$C$1:$C$14)</f>
        <v>高弘壮</v>
      </c>
      <c r="N232" t="str">
        <f>_xlfn.XLOOKUP($D232,城市信息!$B$1:$B$14,城市信息!$D$1:$D$14)</f>
        <v>一线</v>
      </c>
      <c r="O232">
        <f>_xlfn.XLOOKUP($D232,城市信息!$B$1:$B$14,城市信息!$E$1:$E$14)</f>
        <v>11498</v>
      </c>
      <c r="P232" cm="1">
        <f t="array" ref="P232:U232">_xlfn.XLOOKUP(A232&amp;B232,'[1]2.4自动化报表-8月获客数据-非乱码'!$A:$A&amp;'[1]2.4自动化报表-8月获客数据-非乱码'!$B:$B,'[1]2.4自动化报表-8月获客数据-非乱码'!$C:$H)</f>
        <v>3120</v>
      </c>
      <c r="Q232">
        <v>3018</v>
      </c>
      <c r="R232">
        <v>2877</v>
      </c>
      <c r="S232">
        <v>1701</v>
      </c>
      <c r="T232">
        <v>900</v>
      </c>
      <c r="U232">
        <v>689</v>
      </c>
    </row>
    <row r="233" spans="1:21" x14ac:dyDescent="0.3">
      <c r="A233" s="1">
        <v>44052</v>
      </c>
      <c r="B233" t="s">
        <v>26</v>
      </c>
      <c r="C233" t="s">
        <v>103</v>
      </c>
      <c r="D233" t="s">
        <v>57</v>
      </c>
      <c r="E233" t="s">
        <v>105</v>
      </c>
      <c r="F233" s="2">
        <v>428285</v>
      </c>
      <c r="G233" s="2">
        <v>22108</v>
      </c>
      <c r="H233" s="2">
        <v>26094</v>
      </c>
      <c r="I233" t="str">
        <f>_xlfn.XLOOKUP($C233,战区信息!$A$1:$A$5,战区信息!$B$1:$B$5)</f>
        <v>002</v>
      </c>
      <c r="J233" t="str">
        <f>_xlfn.XLOOKUP($C233,战区信息!$A$1:$A$5,战区信息!$C$1:$C$5)</f>
        <v>高安平</v>
      </c>
      <c r="K233" t="str">
        <f>_xlfn.XLOOKUP($C233,战区信息!$A$1:$A$5,战区信息!$D$1:$D$5)</f>
        <v>二级战区</v>
      </c>
      <c r="L233" t="str">
        <f>_xlfn.XLOOKUP($D233,城市信息!$B$1:$B$14,城市信息!$A$1:$A$14)</f>
        <v>002</v>
      </c>
      <c r="M233" t="str">
        <f>_xlfn.XLOOKUP($D233,城市信息!$B$1:$B$14,城市信息!$C$1:$C$14)</f>
        <v>孙乒</v>
      </c>
      <c r="N233" t="str">
        <f>_xlfn.XLOOKUP($D233,城市信息!$B$1:$B$14,城市信息!$D$1:$D$14)</f>
        <v>一线</v>
      </c>
      <c r="O233">
        <f>_xlfn.XLOOKUP($D233,城市信息!$B$1:$B$14,城市信息!$E$1:$E$14)</f>
        <v>9854</v>
      </c>
      <c r="P233" cm="1">
        <f t="array" ref="P233:U233">_xlfn.XLOOKUP(A233&amp;B233,'[1]2.4自动化报表-8月获客数据-非乱码'!$A:$A&amp;'[1]2.4自动化报表-8月获客数据-非乱码'!$B:$B,'[1]2.4自动化报表-8月获客数据-非乱码'!$C:$H)</f>
        <v>6382</v>
      </c>
      <c r="Q233">
        <v>6226</v>
      </c>
      <c r="R233">
        <v>5957</v>
      </c>
      <c r="S233">
        <v>3717</v>
      </c>
      <c r="T233">
        <v>2085</v>
      </c>
      <c r="U233">
        <v>688</v>
      </c>
    </row>
    <row r="234" spans="1:21" x14ac:dyDescent="0.3">
      <c r="A234" s="1">
        <v>44052</v>
      </c>
      <c r="B234" t="s">
        <v>25</v>
      </c>
      <c r="C234" t="s">
        <v>103</v>
      </c>
      <c r="D234" t="s">
        <v>57</v>
      </c>
      <c r="E234" t="s">
        <v>106</v>
      </c>
      <c r="F234" s="2">
        <v>136624</v>
      </c>
      <c r="G234" s="2">
        <v>6605</v>
      </c>
      <c r="H234" s="2">
        <v>2606</v>
      </c>
      <c r="I234" t="str">
        <f>_xlfn.XLOOKUP($C234,战区信息!$A$1:$A$5,战区信息!$B$1:$B$5)</f>
        <v>002</v>
      </c>
      <c r="J234" t="str">
        <f>_xlfn.XLOOKUP($C234,战区信息!$A$1:$A$5,战区信息!$C$1:$C$5)</f>
        <v>高安平</v>
      </c>
      <c r="K234" t="str">
        <f>_xlfn.XLOOKUP($C234,战区信息!$A$1:$A$5,战区信息!$D$1:$D$5)</f>
        <v>二级战区</v>
      </c>
      <c r="L234" t="str">
        <f>_xlfn.XLOOKUP($D234,城市信息!$B$1:$B$14,城市信息!$A$1:$A$14)</f>
        <v>002</v>
      </c>
      <c r="M234" t="str">
        <f>_xlfn.XLOOKUP($D234,城市信息!$B$1:$B$14,城市信息!$C$1:$C$14)</f>
        <v>孙乒</v>
      </c>
      <c r="N234" t="str">
        <f>_xlfn.XLOOKUP($D234,城市信息!$B$1:$B$14,城市信息!$D$1:$D$14)</f>
        <v>一线</v>
      </c>
      <c r="O234">
        <f>_xlfn.XLOOKUP($D234,城市信息!$B$1:$B$14,城市信息!$E$1:$E$14)</f>
        <v>9854</v>
      </c>
      <c r="P234" cm="1">
        <f t="array" ref="P234:U234">_xlfn.XLOOKUP(A234&amp;B234,'[1]2.4自动化报表-8月获客数据-非乱码'!$A:$A&amp;'[1]2.4自动化报表-8月获客数据-非乱码'!$B:$B,'[1]2.4自动化报表-8月获客数据-非乱码'!$C:$H)</f>
        <v>3836</v>
      </c>
      <c r="Q234">
        <v>3734</v>
      </c>
      <c r="R234">
        <v>3542</v>
      </c>
      <c r="S234">
        <v>2108</v>
      </c>
      <c r="T234">
        <v>1190</v>
      </c>
      <c r="U234">
        <v>688</v>
      </c>
    </row>
    <row r="235" spans="1:21" x14ac:dyDescent="0.3">
      <c r="A235" s="1">
        <v>44052</v>
      </c>
      <c r="B235" t="s">
        <v>24</v>
      </c>
      <c r="C235" t="s">
        <v>103</v>
      </c>
      <c r="D235" t="s">
        <v>57</v>
      </c>
      <c r="E235" t="s">
        <v>107</v>
      </c>
      <c r="F235" s="2">
        <v>121724</v>
      </c>
      <c r="G235" s="2">
        <v>5488</v>
      </c>
      <c r="H235" s="2">
        <v>8276</v>
      </c>
      <c r="I235" t="str">
        <f>_xlfn.XLOOKUP($C235,战区信息!$A$1:$A$5,战区信息!$B$1:$B$5)</f>
        <v>002</v>
      </c>
      <c r="J235" t="str">
        <f>_xlfn.XLOOKUP($C235,战区信息!$A$1:$A$5,战区信息!$C$1:$C$5)</f>
        <v>高安平</v>
      </c>
      <c r="K235" t="str">
        <f>_xlfn.XLOOKUP($C235,战区信息!$A$1:$A$5,战区信息!$D$1:$D$5)</f>
        <v>二级战区</v>
      </c>
      <c r="L235" t="str">
        <f>_xlfn.XLOOKUP($D235,城市信息!$B$1:$B$14,城市信息!$A$1:$A$14)</f>
        <v>002</v>
      </c>
      <c r="M235" t="str">
        <f>_xlfn.XLOOKUP($D235,城市信息!$B$1:$B$14,城市信息!$C$1:$C$14)</f>
        <v>孙乒</v>
      </c>
      <c r="N235" t="str">
        <f>_xlfn.XLOOKUP($D235,城市信息!$B$1:$B$14,城市信息!$D$1:$D$14)</f>
        <v>一线</v>
      </c>
      <c r="O235">
        <f>_xlfn.XLOOKUP($D235,城市信息!$B$1:$B$14,城市信息!$E$1:$E$14)</f>
        <v>9854</v>
      </c>
      <c r="P235" cm="1">
        <f t="array" ref="P235:U235">_xlfn.XLOOKUP(A235&amp;B235,'[1]2.4自动化报表-8月获客数据-非乱码'!$A:$A&amp;'[1]2.4自动化报表-8月获客数据-非乱码'!$B:$B,'[1]2.4自动化报表-8月获客数据-非乱码'!$C:$H)</f>
        <v>4484</v>
      </c>
      <c r="Q235">
        <v>4394</v>
      </c>
      <c r="R235">
        <v>4200</v>
      </c>
      <c r="S235">
        <v>2583</v>
      </c>
      <c r="T235">
        <v>1493</v>
      </c>
      <c r="U235">
        <v>691</v>
      </c>
    </row>
    <row r="236" spans="1:21" x14ac:dyDescent="0.3">
      <c r="A236" s="1">
        <v>44052</v>
      </c>
      <c r="B236" t="s">
        <v>23</v>
      </c>
      <c r="C236" t="s">
        <v>108</v>
      </c>
      <c r="D236" t="s">
        <v>109</v>
      </c>
      <c r="E236" t="s">
        <v>110</v>
      </c>
      <c r="F236" s="2">
        <v>146109</v>
      </c>
      <c r="G236" s="2">
        <v>7186</v>
      </c>
      <c r="H236">
        <v>0</v>
      </c>
      <c r="I236" t="str">
        <f>_xlfn.XLOOKUP($C236,战区信息!$A$1:$A$5,战区信息!$B$1:$B$5)</f>
        <v>001</v>
      </c>
      <c r="J236" t="str">
        <f>_xlfn.XLOOKUP($C236,战区信息!$A$1:$A$5,战区信息!$C$1:$C$5)</f>
        <v>江永</v>
      </c>
      <c r="K236" t="str">
        <f>_xlfn.XLOOKUP($C236,战区信息!$A$1:$A$5,战区信息!$D$1:$D$5)</f>
        <v>一级战区</v>
      </c>
      <c r="L236" t="str">
        <f>_xlfn.XLOOKUP($D236,城市信息!$B$1:$B$14,城市信息!$A$1:$A$14)</f>
        <v>013</v>
      </c>
      <c r="M236" t="str">
        <f>_xlfn.XLOOKUP($D236,城市信息!$B$1:$B$14,城市信息!$C$1:$C$14)</f>
        <v>张建</v>
      </c>
      <c r="N236" t="str">
        <f>_xlfn.XLOOKUP($D236,城市信息!$B$1:$B$14,城市信息!$D$1:$D$14)</f>
        <v>二线</v>
      </c>
      <c r="O236">
        <f>_xlfn.XLOOKUP($D236,城市信息!$B$1:$B$14,城市信息!$E$1:$E$14)</f>
        <v>8800</v>
      </c>
      <c r="P236" cm="1">
        <f t="array" ref="P236:U236">_xlfn.XLOOKUP(A236&amp;B236,'[1]2.4自动化报表-8月获客数据-非乱码'!$A:$A&amp;'[1]2.4自动化报表-8月获客数据-非乱码'!$B:$B,'[1]2.4自动化报表-8月获客数据-非乱码'!$C:$H)</f>
        <v>5709</v>
      </c>
      <c r="Q236">
        <v>5521</v>
      </c>
      <c r="R236">
        <v>5276</v>
      </c>
      <c r="S236">
        <v>3164</v>
      </c>
      <c r="T236">
        <v>1591</v>
      </c>
      <c r="U236">
        <v>694</v>
      </c>
    </row>
    <row r="237" spans="1:21" x14ac:dyDescent="0.3">
      <c r="A237" s="1">
        <v>44052</v>
      </c>
      <c r="B237" t="s">
        <v>22</v>
      </c>
      <c r="C237" t="s">
        <v>108</v>
      </c>
      <c r="D237" t="s">
        <v>109</v>
      </c>
      <c r="E237" t="s">
        <v>111</v>
      </c>
      <c r="F237" s="2">
        <v>18001</v>
      </c>
      <c r="G237" s="2">
        <v>1132</v>
      </c>
      <c r="H237">
        <v>0</v>
      </c>
      <c r="I237" t="str">
        <f>_xlfn.XLOOKUP($C237,战区信息!$A$1:$A$5,战区信息!$B$1:$B$5)</f>
        <v>001</v>
      </c>
      <c r="J237" t="str">
        <f>_xlfn.XLOOKUP($C237,战区信息!$A$1:$A$5,战区信息!$C$1:$C$5)</f>
        <v>江永</v>
      </c>
      <c r="K237" t="str">
        <f>_xlfn.XLOOKUP($C237,战区信息!$A$1:$A$5,战区信息!$D$1:$D$5)</f>
        <v>一级战区</v>
      </c>
      <c r="L237" t="str">
        <f>_xlfn.XLOOKUP($D237,城市信息!$B$1:$B$14,城市信息!$A$1:$A$14)</f>
        <v>013</v>
      </c>
      <c r="M237" t="str">
        <f>_xlfn.XLOOKUP($D237,城市信息!$B$1:$B$14,城市信息!$C$1:$C$14)</f>
        <v>张建</v>
      </c>
      <c r="N237" t="str">
        <f>_xlfn.XLOOKUP($D237,城市信息!$B$1:$B$14,城市信息!$D$1:$D$14)</f>
        <v>二线</v>
      </c>
      <c r="O237">
        <f>_xlfn.XLOOKUP($D237,城市信息!$B$1:$B$14,城市信息!$E$1:$E$14)</f>
        <v>8800</v>
      </c>
      <c r="P237" cm="1">
        <f t="array" ref="P237:U237">_xlfn.XLOOKUP(A237&amp;B237,'[1]2.4自动化报表-8月获客数据-非乱码'!$A:$A&amp;'[1]2.4自动化报表-8月获客数据-非乱码'!$B:$B,'[1]2.4自动化报表-8月获客数据-非乱码'!$C:$H)</f>
        <v>83</v>
      </c>
      <c r="Q237">
        <v>80</v>
      </c>
      <c r="R237">
        <v>70</v>
      </c>
      <c r="S237">
        <v>41</v>
      </c>
      <c r="T237">
        <v>18</v>
      </c>
      <c r="U237">
        <v>684</v>
      </c>
    </row>
    <row r="238" spans="1:21" x14ac:dyDescent="0.3">
      <c r="A238" s="1">
        <v>44052</v>
      </c>
      <c r="B238" t="s">
        <v>21</v>
      </c>
      <c r="C238" t="s">
        <v>108</v>
      </c>
      <c r="D238" t="s">
        <v>109</v>
      </c>
      <c r="E238" t="s">
        <v>112</v>
      </c>
      <c r="F238" s="2">
        <v>314583</v>
      </c>
      <c r="G238" s="2">
        <v>18328</v>
      </c>
      <c r="H238">
        <v>187</v>
      </c>
      <c r="I238" t="str">
        <f>_xlfn.XLOOKUP($C238,战区信息!$A$1:$A$5,战区信息!$B$1:$B$5)</f>
        <v>001</v>
      </c>
      <c r="J238" t="str">
        <f>_xlfn.XLOOKUP($C238,战区信息!$A$1:$A$5,战区信息!$C$1:$C$5)</f>
        <v>江永</v>
      </c>
      <c r="K238" t="str">
        <f>_xlfn.XLOOKUP($C238,战区信息!$A$1:$A$5,战区信息!$D$1:$D$5)</f>
        <v>一级战区</v>
      </c>
      <c r="L238" t="str">
        <f>_xlfn.XLOOKUP($D238,城市信息!$B$1:$B$14,城市信息!$A$1:$A$14)</f>
        <v>013</v>
      </c>
      <c r="M238" t="str">
        <f>_xlfn.XLOOKUP($D238,城市信息!$B$1:$B$14,城市信息!$C$1:$C$14)</f>
        <v>张建</v>
      </c>
      <c r="N238" t="str">
        <f>_xlfn.XLOOKUP($D238,城市信息!$B$1:$B$14,城市信息!$D$1:$D$14)</f>
        <v>二线</v>
      </c>
      <c r="O238">
        <f>_xlfn.XLOOKUP($D238,城市信息!$B$1:$B$14,城市信息!$E$1:$E$14)</f>
        <v>8800</v>
      </c>
      <c r="P238" cm="1">
        <f t="array" ref="P238:U238">_xlfn.XLOOKUP(A238&amp;B238,'[1]2.4自动化报表-8月获客数据-非乱码'!$A:$A&amp;'[1]2.4自动化报表-8月获客数据-非乱码'!$B:$B,'[1]2.4自动化报表-8月获客数据-非乱码'!$C:$H)</f>
        <v>7055</v>
      </c>
      <c r="Q238">
        <v>6772</v>
      </c>
      <c r="R238">
        <v>6439</v>
      </c>
      <c r="S238">
        <v>3733</v>
      </c>
      <c r="T238">
        <v>2027</v>
      </c>
      <c r="U238">
        <v>696</v>
      </c>
    </row>
    <row r="239" spans="1:21" x14ac:dyDescent="0.3">
      <c r="A239" s="1">
        <v>44052</v>
      </c>
      <c r="B239" t="s">
        <v>20</v>
      </c>
      <c r="C239" t="s">
        <v>108</v>
      </c>
      <c r="D239" t="s">
        <v>56</v>
      </c>
      <c r="E239" t="s">
        <v>113</v>
      </c>
      <c r="F239" s="2">
        <v>147382</v>
      </c>
      <c r="G239" s="2">
        <v>5681</v>
      </c>
      <c r="H239" s="2">
        <v>9224</v>
      </c>
      <c r="I239" t="str">
        <f>_xlfn.XLOOKUP($C239,战区信息!$A$1:$A$5,战区信息!$B$1:$B$5)</f>
        <v>001</v>
      </c>
      <c r="J239" t="str">
        <f>_xlfn.XLOOKUP($C239,战区信息!$A$1:$A$5,战区信息!$C$1:$C$5)</f>
        <v>江永</v>
      </c>
      <c r="K239" t="str">
        <f>_xlfn.XLOOKUP($C239,战区信息!$A$1:$A$5,战区信息!$D$1:$D$5)</f>
        <v>一级战区</v>
      </c>
      <c r="L239" t="str">
        <f>_xlfn.XLOOKUP($D239,城市信息!$B$1:$B$14,城市信息!$A$1:$A$14)</f>
        <v>001</v>
      </c>
      <c r="M239" t="str">
        <f>_xlfn.XLOOKUP($D239,城市信息!$B$1:$B$14,城市信息!$C$1:$C$14)</f>
        <v>吴刚</v>
      </c>
      <c r="N239" t="str">
        <f>_xlfn.XLOOKUP($D239,城市信息!$B$1:$B$14,城市信息!$D$1:$D$14)</f>
        <v>一线</v>
      </c>
      <c r="O239">
        <f>_xlfn.XLOOKUP($D239,城市信息!$B$1:$B$14,城市信息!$E$1:$E$14)</f>
        <v>12114</v>
      </c>
      <c r="P239" cm="1">
        <f t="array" ref="P239:U239">_xlfn.XLOOKUP(A239&amp;B239,'[1]2.4自动化报表-8月获客数据-非乱码'!$A:$A&amp;'[1]2.4自动化报表-8月获客数据-非乱码'!$B:$B,'[1]2.4自动化报表-8月获客数据-非乱码'!$C:$H)</f>
        <v>6164</v>
      </c>
      <c r="Q239">
        <v>5974</v>
      </c>
      <c r="R239">
        <v>5748</v>
      </c>
      <c r="S239">
        <v>3467</v>
      </c>
      <c r="T239">
        <v>1907</v>
      </c>
      <c r="U239">
        <v>694</v>
      </c>
    </row>
    <row r="240" spans="1:21" x14ac:dyDescent="0.3">
      <c r="A240" s="1">
        <v>44052</v>
      </c>
      <c r="B240" t="s">
        <v>19</v>
      </c>
      <c r="C240" t="s">
        <v>108</v>
      </c>
      <c r="D240" t="s">
        <v>56</v>
      </c>
      <c r="E240" t="s">
        <v>114</v>
      </c>
      <c r="F240" s="2">
        <v>97423</v>
      </c>
      <c r="G240" s="2">
        <v>6588</v>
      </c>
      <c r="H240">
        <v>0</v>
      </c>
      <c r="I240" t="str">
        <f>_xlfn.XLOOKUP($C240,战区信息!$A$1:$A$5,战区信息!$B$1:$B$5)</f>
        <v>001</v>
      </c>
      <c r="J240" t="str">
        <f>_xlfn.XLOOKUP($C240,战区信息!$A$1:$A$5,战区信息!$C$1:$C$5)</f>
        <v>江永</v>
      </c>
      <c r="K240" t="str">
        <f>_xlfn.XLOOKUP($C240,战区信息!$A$1:$A$5,战区信息!$D$1:$D$5)</f>
        <v>一级战区</v>
      </c>
      <c r="L240" t="str">
        <f>_xlfn.XLOOKUP($D240,城市信息!$B$1:$B$14,城市信息!$A$1:$A$14)</f>
        <v>001</v>
      </c>
      <c r="M240" t="str">
        <f>_xlfn.XLOOKUP($D240,城市信息!$B$1:$B$14,城市信息!$C$1:$C$14)</f>
        <v>吴刚</v>
      </c>
      <c r="N240" t="str">
        <f>_xlfn.XLOOKUP($D240,城市信息!$B$1:$B$14,城市信息!$D$1:$D$14)</f>
        <v>一线</v>
      </c>
      <c r="O240">
        <f>_xlfn.XLOOKUP($D240,城市信息!$B$1:$B$14,城市信息!$E$1:$E$14)</f>
        <v>12114</v>
      </c>
      <c r="P240" cm="1">
        <f t="array" ref="P240:U240">_xlfn.XLOOKUP(A240&amp;B240,'[1]2.4自动化报表-8月获客数据-非乱码'!$A:$A&amp;'[1]2.4自动化报表-8月获客数据-非乱码'!$B:$B,'[1]2.4自动化报表-8月获客数据-非乱码'!$C:$H)</f>
        <v>2925</v>
      </c>
      <c r="Q240">
        <v>2858</v>
      </c>
      <c r="R240">
        <v>2747</v>
      </c>
      <c r="S240">
        <v>1612</v>
      </c>
      <c r="T240">
        <v>968</v>
      </c>
      <c r="U240">
        <v>696</v>
      </c>
    </row>
    <row r="241" spans="1:21" x14ac:dyDescent="0.3">
      <c r="A241" s="1">
        <v>44052</v>
      </c>
      <c r="B241" t="s">
        <v>18</v>
      </c>
      <c r="C241" t="s">
        <v>108</v>
      </c>
      <c r="D241" t="s">
        <v>56</v>
      </c>
      <c r="E241" t="s">
        <v>115</v>
      </c>
      <c r="F241" s="2">
        <v>146874</v>
      </c>
      <c r="G241" s="2">
        <v>8684</v>
      </c>
      <c r="H241">
        <v>0</v>
      </c>
      <c r="I241" t="str">
        <f>_xlfn.XLOOKUP($C241,战区信息!$A$1:$A$5,战区信息!$B$1:$B$5)</f>
        <v>001</v>
      </c>
      <c r="J241" t="str">
        <f>_xlfn.XLOOKUP($C241,战区信息!$A$1:$A$5,战区信息!$C$1:$C$5)</f>
        <v>江永</v>
      </c>
      <c r="K241" t="str">
        <f>_xlfn.XLOOKUP($C241,战区信息!$A$1:$A$5,战区信息!$D$1:$D$5)</f>
        <v>一级战区</v>
      </c>
      <c r="L241" t="str">
        <f>_xlfn.XLOOKUP($D241,城市信息!$B$1:$B$14,城市信息!$A$1:$A$14)</f>
        <v>001</v>
      </c>
      <c r="M241" t="str">
        <f>_xlfn.XLOOKUP($D241,城市信息!$B$1:$B$14,城市信息!$C$1:$C$14)</f>
        <v>吴刚</v>
      </c>
      <c r="N241" t="str">
        <f>_xlfn.XLOOKUP($D241,城市信息!$B$1:$B$14,城市信息!$D$1:$D$14)</f>
        <v>一线</v>
      </c>
      <c r="O241">
        <f>_xlfn.XLOOKUP($D241,城市信息!$B$1:$B$14,城市信息!$E$1:$E$14)</f>
        <v>12114</v>
      </c>
      <c r="P241" cm="1">
        <f t="array" ref="P241:U241">_xlfn.XLOOKUP(A241&amp;B241,'[1]2.4自动化报表-8月获客数据-非乱码'!$A:$A&amp;'[1]2.4自动化报表-8月获客数据-非乱码'!$B:$B,'[1]2.4自动化报表-8月获客数据-非乱码'!$C:$H)</f>
        <v>3511</v>
      </c>
      <c r="Q241">
        <v>3450</v>
      </c>
      <c r="R241">
        <v>3299</v>
      </c>
      <c r="S241">
        <v>1966</v>
      </c>
      <c r="T241">
        <v>1070</v>
      </c>
      <c r="U241">
        <v>690</v>
      </c>
    </row>
    <row r="242" spans="1:21" x14ac:dyDescent="0.3">
      <c r="A242" s="1">
        <v>44052</v>
      </c>
      <c r="B242" t="s">
        <v>17</v>
      </c>
      <c r="C242" t="s">
        <v>108</v>
      </c>
      <c r="D242" t="s">
        <v>59</v>
      </c>
      <c r="E242" t="s">
        <v>116</v>
      </c>
      <c r="F242" s="2">
        <v>141537</v>
      </c>
      <c r="G242" s="2">
        <v>9100</v>
      </c>
      <c r="H242" s="2">
        <v>1494</v>
      </c>
      <c r="I242" t="str">
        <f>_xlfn.XLOOKUP($C242,战区信息!$A$1:$A$5,战区信息!$B$1:$B$5)</f>
        <v>001</v>
      </c>
      <c r="J242" t="str">
        <f>_xlfn.XLOOKUP($C242,战区信息!$A$1:$A$5,战区信息!$C$1:$C$5)</f>
        <v>江永</v>
      </c>
      <c r="K242" t="str">
        <f>_xlfn.XLOOKUP($C242,战区信息!$A$1:$A$5,战区信息!$D$1:$D$5)</f>
        <v>一级战区</v>
      </c>
      <c r="L242" t="str">
        <f>_xlfn.XLOOKUP($D242,城市信息!$B$1:$B$14,城市信息!$A$1:$A$14)</f>
        <v>004</v>
      </c>
      <c r="M242" t="str">
        <f>_xlfn.XLOOKUP($D242,城市信息!$B$1:$B$14,城市信息!$C$1:$C$14)</f>
        <v>苏川</v>
      </c>
      <c r="N242" t="str">
        <f>_xlfn.XLOOKUP($D242,城市信息!$B$1:$B$14,城市信息!$D$1:$D$14)</f>
        <v>二线</v>
      </c>
      <c r="O242">
        <f>_xlfn.XLOOKUP($D242,城市信息!$B$1:$B$14,城市信息!$E$1:$E$14)</f>
        <v>9912</v>
      </c>
      <c r="P242" cm="1">
        <f t="array" ref="P242:U242">_xlfn.XLOOKUP(A242&amp;B242,'[1]2.4自动化报表-8月获客数据-非乱码'!$A:$A&amp;'[1]2.4自动化报表-8月获客数据-非乱码'!$B:$B,'[1]2.4自动化报表-8月获客数据-非乱码'!$C:$H)</f>
        <v>2164</v>
      </c>
      <c r="Q242">
        <v>2123</v>
      </c>
      <c r="R242">
        <v>2051</v>
      </c>
      <c r="S242">
        <v>1184</v>
      </c>
      <c r="T242">
        <v>652</v>
      </c>
      <c r="U242">
        <v>696</v>
      </c>
    </row>
    <row r="243" spans="1:21" x14ac:dyDescent="0.3">
      <c r="A243" s="1">
        <v>44052</v>
      </c>
      <c r="B243" t="s">
        <v>16</v>
      </c>
      <c r="C243" t="s">
        <v>108</v>
      </c>
      <c r="D243" t="s">
        <v>59</v>
      </c>
      <c r="E243" t="s">
        <v>117</v>
      </c>
      <c r="F243" s="2">
        <v>49030</v>
      </c>
      <c r="G243" s="2">
        <v>2041</v>
      </c>
      <c r="H243">
        <v>0</v>
      </c>
      <c r="I243" t="str">
        <f>_xlfn.XLOOKUP($C243,战区信息!$A$1:$A$5,战区信息!$B$1:$B$5)</f>
        <v>001</v>
      </c>
      <c r="J243" t="str">
        <f>_xlfn.XLOOKUP($C243,战区信息!$A$1:$A$5,战区信息!$C$1:$C$5)</f>
        <v>江永</v>
      </c>
      <c r="K243" t="str">
        <f>_xlfn.XLOOKUP($C243,战区信息!$A$1:$A$5,战区信息!$D$1:$D$5)</f>
        <v>一级战区</v>
      </c>
      <c r="L243" t="str">
        <f>_xlfn.XLOOKUP($D243,城市信息!$B$1:$B$14,城市信息!$A$1:$A$14)</f>
        <v>004</v>
      </c>
      <c r="M243" t="str">
        <f>_xlfn.XLOOKUP($D243,城市信息!$B$1:$B$14,城市信息!$C$1:$C$14)</f>
        <v>苏川</v>
      </c>
      <c r="N243" t="str">
        <f>_xlfn.XLOOKUP($D243,城市信息!$B$1:$B$14,城市信息!$D$1:$D$14)</f>
        <v>二线</v>
      </c>
      <c r="O243">
        <f>_xlfn.XLOOKUP($D243,城市信息!$B$1:$B$14,城市信息!$E$1:$E$14)</f>
        <v>9912</v>
      </c>
      <c r="P243" cm="1">
        <f t="array" ref="P243:U243">_xlfn.XLOOKUP(A243&amp;B243,'[1]2.4自动化报表-8月获客数据-非乱码'!$A:$A&amp;'[1]2.4自动化报表-8月获客数据-非乱码'!$B:$B,'[1]2.4自动化报表-8月获客数据-非乱码'!$C:$H)</f>
        <v>1907</v>
      </c>
      <c r="Q243">
        <v>1854</v>
      </c>
      <c r="R243">
        <v>1776</v>
      </c>
      <c r="S243">
        <v>1048</v>
      </c>
      <c r="T243">
        <v>592</v>
      </c>
      <c r="U243">
        <v>696</v>
      </c>
    </row>
    <row r="244" spans="1:21" x14ac:dyDescent="0.3">
      <c r="A244" s="1">
        <v>44052</v>
      </c>
      <c r="B244" t="s">
        <v>15</v>
      </c>
      <c r="C244" t="s">
        <v>108</v>
      </c>
      <c r="D244" t="s">
        <v>59</v>
      </c>
      <c r="E244" t="s">
        <v>118</v>
      </c>
      <c r="F244" s="2">
        <v>93542</v>
      </c>
      <c r="G244" s="2">
        <v>4354</v>
      </c>
      <c r="H244">
        <v>0</v>
      </c>
      <c r="I244" t="str">
        <f>_xlfn.XLOOKUP($C244,战区信息!$A$1:$A$5,战区信息!$B$1:$B$5)</f>
        <v>001</v>
      </c>
      <c r="J244" t="str">
        <f>_xlfn.XLOOKUP($C244,战区信息!$A$1:$A$5,战区信息!$C$1:$C$5)</f>
        <v>江永</v>
      </c>
      <c r="K244" t="str">
        <f>_xlfn.XLOOKUP($C244,战区信息!$A$1:$A$5,战区信息!$D$1:$D$5)</f>
        <v>一级战区</v>
      </c>
      <c r="L244" t="str">
        <f>_xlfn.XLOOKUP($D244,城市信息!$B$1:$B$14,城市信息!$A$1:$A$14)</f>
        <v>004</v>
      </c>
      <c r="M244" t="str">
        <f>_xlfn.XLOOKUP($D244,城市信息!$B$1:$B$14,城市信息!$C$1:$C$14)</f>
        <v>苏川</v>
      </c>
      <c r="N244" t="str">
        <f>_xlfn.XLOOKUP($D244,城市信息!$B$1:$B$14,城市信息!$D$1:$D$14)</f>
        <v>二线</v>
      </c>
      <c r="O244">
        <f>_xlfn.XLOOKUP($D244,城市信息!$B$1:$B$14,城市信息!$E$1:$E$14)</f>
        <v>9912</v>
      </c>
      <c r="P244" cm="1">
        <f t="array" ref="P244:U244">_xlfn.XLOOKUP(A244&amp;B244,'[1]2.4自动化报表-8月获客数据-非乱码'!$A:$A&amp;'[1]2.4自动化报表-8月获客数据-非乱码'!$B:$B,'[1]2.4自动化报表-8月获客数据-非乱码'!$C:$H)</f>
        <v>2869</v>
      </c>
      <c r="Q244">
        <v>2815</v>
      </c>
      <c r="R244">
        <v>2713</v>
      </c>
      <c r="S244">
        <v>1648</v>
      </c>
      <c r="T244">
        <v>829</v>
      </c>
      <c r="U244">
        <v>698</v>
      </c>
    </row>
    <row r="245" spans="1:21" x14ac:dyDescent="0.3">
      <c r="A245" s="1">
        <v>44052</v>
      </c>
      <c r="B245" t="s">
        <v>14</v>
      </c>
      <c r="C245" t="s">
        <v>108</v>
      </c>
      <c r="D245" t="s">
        <v>59</v>
      </c>
      <c r="E245" t="s">
        <v>119</v>
      </c>
      <c r="F245" s="2">
        <v>150306</v>
      </c>
      <c r="G245" s="2">
        <v>8515</v>
      </c>
      <c r="H245" s="2">
        <v>21163</v>
      </c>
      <c r="I245" t="str">
        <f>_xlfn.XLOOKUP($C245,战区信息!$A$1:$A$5,战区信息!$B$1:$B$5)</f>
        <v>001</v>
      </c>
      <c r="J245" t="str">
        <f>_xlfn.XLOOKUP($C245,战区信息!$A$1:$A$5,战区信息!$C$1:$C$5)</f>
        <v>江永</v>
      </c>
      <c r="K245" t="str">
        <f>_xlfn.XLOOKUP($C245,战区信息!$A$1:$A$5,战区信息!$D$1:$D$5)</f>
        <v>一级战区</v>
      </c>
      <c r="L245" t="str">
        <f>_xlfn.XLOOKUP($D245,城市信息!$B$1:$B$14,城市信息!$A$1:$A$14)</f>
        <v>004</v>
      </c>
      <c r="M245" t="str">
        <f>_xlfn.XLOOKUP($D245,城市信息!$B$1:$B$14,城市信息!$C$1:$C$14)</f>
        <v>苏川</v>
      </c>
      <c r="N245" t="str">
        <f>_xlfn.XLOOKUP($D245,城市信息!$B$1:$B$14,城市信息!$D$1:$D$14)</f>
        <v>二线</v>
      </c>
      <c r="O245">
        <f>_xlfn.XLOOKUP($D245,城市信息!$B$1:$B$14,城市信息!$E$1:$E$14)</f>
        <v>9912</v>
      </c>
      <c r="P245" cm="1">
        <f t="array" ref="P245:U245">_xlfn.XLOOKUP(A245&amp;B245,'[1]2.4自动化报表-8月获客数据-非乱码'!$A:$A&amp;'[1]2.4自动化报表-8月获客数据-非乱码'!$B:$B,'[1]2.4自动化报表-8月获客数据-非乱码'!$C:$H)</f>
        <v>2750</v>
      </c>
      <c r="Q245">
        <v>2659</v>
      </c>
      <c r="R245">
        <v>2549</v>
      </c>
      <c r="S245">
        <v>1581</v>
      </c>
      <c r="T245">
        <v>811</v>
      </c>
      <c r="U245">
        <v>698</v>
      </c>
    </row>
    <row r="246" spans="1:21" x14ac:dyDescent="0.3">
      <c r="A246" s="1">
        <v>44052</v>
      </c>
      <c r="B246" t="s">
        <v>13</v>
      </c>
      <c r="C246" t="s">
        <v>108</v>
      </c>
      <c r="D246" t="s">
        <v>60</v>
      </c>
      <c r="E246" t="s">
        <v>120</v>
      </c>
      <c r="F246" s="2">
        <v>202419</v>
      </c>
      <c r="G246" s="2">
        <v>8947</v>
      </c>
      <c r="H246" s="2">
        <v>1380</v>
      </c>
      <c r="I246" t="str">
        <f>_xlfn.XLOOKUP($C246,战区信息!$A$1:$A$5,战区信息!$B$1:$B$5)</f>
        <v>001</v>
      </c>
      <c r="J246" t="str">
        <f>_xlfn.XLOOKUP($C246,战区信息!$A$1:$A$5,战区信息!$C$1:$C$5)</f>
        <v>江永</v>
      </c>
      <c r="K246" t="str">
        <f>_xlfn.XLOOKUP($C246,战区信息!$A$1:$A$5,战区信息!$D$1:$D$5)</f>
        <v>一级战区</v>
      </c>
      <c r="L246" t="str">
        <f>_xlfn.XLOOKUP($D246,城市信息!$B$1:$B$14,城市信息!$A$1:$A$14)</f>
        <v>005</v>
      </c>
      <c r="M246" t="str">
        <f>_xlfn.XLOOKUP($D246,城市信息!$B$1:$B$14,城市信息!$C$1:$C$14)</f>
        <v>侯阳冰</v>
      </c>
      <c r="N246" t="str">
        <f>_xlfn.XLOOKUP($D246,城市信息!$B$1:$B$14,城市信息!$D$1:$D$14)</f>
        <v>二线</v>
      </c>
      <c r="O246">
        <f>_xlfn.XLOOKUP($D246,城市信息!$B$1:$B$14,城市信息!$E$1:$E$14)</f>
        <v>8694</v>
      </c>
      <c r="P246" cm="1">
        <f t="array" ref="P246:U246">_xlfn.XLOOKUP(A246&amp;B246,'[1]2.4自动化报表-8月获客数据-非乱码'!$A:$A&amp;'[1]2.4自动化报表-8月获客数据-非乱码'!$B:$B,'[1]2.4自动化报表-8月获客数据-非乱码'!$C:$H)</f>
        <v>4888</v>
      </c>
      <c r="Q246">
        <v>4780</v>
      </c>
      <c r="R246">
        <v>4560</v>
      </c>
      <c r="S246">
        <v>2832</v>
      </c>
      <c r="T246">
        <v>1370</v>
      </c>
      <c r="U246">
        <v>695</v>
      </c>
    </row>
    <row r="247" spans="1:21" x14ac:dyDescent="0.3">
      <c r="A247" s="1">
        <v>44052</v>
      </c>
      <c r="B247" t="s">
        <v>12</v>
      </c>
      <c r="C247" t="s">
        <v>108</v>
      </c>
      <c r="D247" t="s">
        <v>60</v>
      </c>
      <c r="E247" t="s">
        <v>121</v>
      </c>
      <c r="F247" s="2">
        <v>23577</v>
      </c>
      <c r="G247" s="2">
        <v>1401</v>
      </c>
      <c r="H247">
        <v>0</v>
      </c>
      <c r="I247" t="str">
        <f>_xlfn.XLOOKUP($C247,战区信息!$A$1:$A$5,战区信息!$B$1:$B$5)</f>
        <v>001</v>
      </c>
      <c r="J247" t="str">
        <f>_xlfn.XLOOKUP($C247,战区信息!$A$1:$A$5,战区信息!$C$1:$C$5)</f>
        <v>江永</v>
      </c>
      <c r="K247" t="str">
        <f>_xlfn.XLOOKUP($C247,战区信息!$A$1:$A$5,战区信息!$D$1:$D$5)</f>
        <v>一级战区</v>
      </c>
      <c r="L247" t="str">
        <f>_xlfn.XLOOKUP($D247,城市信息!$B$1:$B$14,城市信息!$A$1:$A$14)</f>
        <v>005</v>
      </c>
      <c r="M247" t="str">
        <f>_xlfn.XLOOKUP($D247,城市信息!$B$1:$B$14,城市信息!$C$1:$C$14)</f>
        <v>侯阳冰</v>
      </c>
      <c r="N247" t="str">
        <f>_xlfn.XLOOKUP($D247,城市信息!$B$1:$B$14,城市信息!$D$1:$D$14)</f>
        <v>二线</v>
      </c>
      <c r="O247">
        <f>_xlfn.XLOOKUP($D247,城市信息!$B$1:$B$14,城市信息!$E$1:$E$14)</f>
        <v>8694</v>
      </c>
      <c r="P247" cm="1">
        <f t="array" ref="P247:U247">_xlfn.XLOOKUP(A247&amp;B247,'[1]2.4自动化报表-8月获客数据-非乱码'!$A:$A&amp;'[1]2.4自动化报表-8月获客数据-非乱码'!$B:$B,'[1]2.4自动化报表-8月获客数据-非乱码'!$C:$H)</f>
        <v>1361</v>
      </c>
      <c r="Q247">
        <v>1334</v>
      </c>
      <c r="R247">
        <v>1268</v>
      </c>
      <c r="S247">
        <v>801</v>
      </c>
      <c r="T247">
        <v>407</v>
      </c>
      <c r="U247">
        <v>696</v>
      </c>
    </row>
    <row r="248" spans="1:21" x14ac:dyDescent="0.3">
      <c r="A248" s="1">
        <v>44052</v>
      </c>
      <c r="B248" t="s">
        <v>11</v>
      </c>
      <c r="C248" t="s">
        <v>108</v>
      </c>
      <c r="D248" t="s">
        <v>58</v>
      </c>
      <c r="E248" t="s">
        <v>122</v>
      </c>
      <c r="F248" s="2">
        <v>86114</v>
      </c>
      <c r="G248" s="2">
        <v>5536</v>
      </c>
      <c r="H248">
        <v>0</v>
      </c>
      <c r="I248" t="str">
        <f>_xlfn.XLOOKUP($C248,战区信息!$A$1:$A$5,战区信息!$B$1:$B$5)</f>
        <v>001</v>
      </c>
      <c r="J248" t="str">
        <f>_xlfn.XLOOKUP($C248,战区信息!$A$1:$A$5,战区信息!$C$1:$C$5)</f>
        <v>江永</v>
      </c>
      <c r="K248" t="str">
        <f>_xlfn.XLOOKUP($C248,战区信息!$A$1:$A$5,战区信息!$D$1:$D$5)</f>
        <v>一级战区</v>
      </c>
      <c r="L248" t="str">
        <f>_xlfn.XLOOKUP($D248,城市信息!$B$1:$B$14,城市信息!$A$1:$A$14)</f>
        <v>003</v>
      </c>
      <c r="M248" t="str">
        <f>_xlfn.XLOOKUP($D248,城市信息!$B$1:$B$14,城市信息!$C$1:$C$14)</f>
        <v>杜光亮</v>
      </c>
      <c r="N248" t="str">
        <f>_xlfn.XLOOKUP($D248,城市信息!$B$1:$B$14,城市信息!$D$1:$D$14)</f>
        <v>二线</v>
      </c>
      <c r="O248">
        <f>_xlfn.XLOOKUP($D248,城市信息!$B$1:$B$14,城市信息!$E$1:$E$14)</f>
        <v>10499</v>
      </c>
      <c r="P248" cm="1">
        <f t="array" ref="P248:U248">_xlfn.XLOOKUP(A248&amp;B248,'[1]2.4自动化报表-8月获客数据-非乱码'!$A:$A&amp;'[1]2.4自动化报表-8月获客数据-非乱码'!$B:$B,'[1]2.4自动化报表-8月获客数据-非乱码'!$C:$H)</f>
        <v>5144</v>
      </c>
      <c r="Q248">
        <v>4967</v>
      </c>
      <c r="R248">
        <v>4715</v>
      </c>
      <c r="S248">
        <v>2936</v>
      </c>
      <c r="T248">
        <v>1376</v>
      </c>
      <c r="U248">
        <v>702</v>
      </c>
    </row>
    <row r="249" spans="1:21" x14ac:dyDescent="0.3">
      <c r="A249" s="1">
        <v>44052</v>
      </c>
      <c r="B249" t="s">
        <v>10</v>
      </c>
      <c r="C249" t="s">
        <v>108</v>
      </c>
      <c r="D249" t="s">
        <v>58</v>
      </c>
      <c r="E249" t="s">
        <v>123</v>
      </c>
      <c r="F249" s="2">
        <v>72619</v>
      </c>
      <c r="G249" s="2">
        <v>3278</v>
      </c>
      <c r="H249" s="2">
        <v>2872</v>
      </c>
      <c r="I249" t="str">
        <f>_xlfn.XLOOKUP($C249,战区信息!$A$1:$A$5,战区信息!$B$1:$B$5)</f>
        <v>001</v>
      </c>
      <c r="J249" t="str">
        <f>_xlfn.XLOOKUP($C249,战区信息!$A$1:$A$5,战区信息!$C$1:$C$5)</f>
        <v>江永</v>
      </c>
      <c r="K249" t="str">
        <f>_xlfn.XLOOKUP($C249,战区信息!$A$1:$A$5,战区信息!$D$1:$D$5)</f>
        <v>一级战区</v>
      </c>
      <c r="L249" t="str">
        <f>_xlfn.XLOOKUP($D249,城市信息!$B$1:$B$14,城市信息!$A$1:$A$14)</f>
        <v>003</v>
      </c>
      <c r="M249" t="str">
        <f>_xlfn.XLOOKUP($D249,城市信息!$B$1:$B$14,城市信息!$C$1:$C$14)</f>
        <v>杜光亮</v>
      </c>
      <c r="N249" t="str">
        <f>_xlfn.XLOOKUP($D249,城市信息!$B$1:$B$14,城市信息!$D$1:$D$14)</f>
        <v>二线</v>
      </c>
      <c r="O249">
        <f>_xlfn.XLOOKUP($D249,城市信息!$B$1:$B$14,城市信息!$E$1:$E$14)</f>
        <v>10499</v>
      </c>
      <c r="P249" cm="1">
        <f t="array" ref="P249:U249">_xlfn.XLOOKUP(A249&amp;B249,'[1]2.4自动化报表-8月获客数据-非乱码'!$A:$A&amp;'[1]2.4自动化报表-8月获客数据-非乱码'!$B:$B,'[1]2.4自动化报表-8月获客数据-非乱码'!$C:$H)</f>
        <v>1773</v>
      </c>
      <c r="Q249">
        <v>1738</v>
      </c>
      <c r="R249">
        <v>1690</v>
      </c>
      <c r="S249">
        <v>1017</v>
      </c>
      <c r="T249">
        <v>614</v>
      </c>
      <c r="U249">
        <v>701</v>
      </c>
    </row>
    <row r="250" spans="1:21" x14ac:dyDescent="0.3">
      <c r="A250" s="1">
        <v>44052</v>
      </c>
      <c r="B250" t="s">
        <v>9</v>
      </c>
      <c r="C250" t="s">
        <v>108</v>
      </c>
      <c r="D250" t="s">
        <v>58</v>
      </c>
      <c r="E250" t="s">
        <v>124</v>
      </c>
      <c r="F250" s="2">
        <v>118885</v>
      </c>
      <c r="G250" s="2">
        <v>6862</v>
      </c>
      <c r="H250" s="2">
        <v>1235</v>
      </c>
      <c r="I250" t="str">
        <f>_xlfn.XLOOKUP($C250,战区信息!$A$1:$A$5,战区信息!$B$1:$B$5)</f>
        <v>001</v>
      </c>
      <c r="J250" t="str">
        <f>_xlfn.XLOOKUP($C250,战区信息!$A$1:$A$5,战区信息!$C$1:$C$5)</f>
        <v>江永</v>
      </c>
      <c r="K250" t="str">
        <f>_xlfn.XLOOKUP($C250,战区信息!$A$1:$A$5,战区信息!$D$1:$D$5)</f>
        <v>一级战区</v>
      </c>
      <c r="L250" t="str">
        <f>_xlfn.XLOOKUP($D250,城市信息!$B$1:$B$14,城市信息!$A$1:$A$14)</f>
        <v>003</v>
      </c>
      <c r="M250" t="str">
        <f>_xlfn.XLOOKUP($D250,城市信息!$B$1:$B$14,城市信息!$C$1:$C$14)</f>
        <v>杜光亮</v>
      </c>
      <c r="N250" t="str">
        <f>_xlfn.XLOOKUP($D250,城市信息!$B$1:$B$14,城市信息!$D$1:$D$14)</f>
        <v>二线</v>
      </c>
      <c r="O250">
        <f>_xlfn.XLOOKUP($D250,城市信息!$B$1:$B$14,城市信息!$E$1:$E$14)</f>
        <v>10499</v>
      </c>
      <c r="P250" cm="1">
        <f t="array" ref="P250:U250">_xlfn.XLOOKUP(A250&amp;B250,'[1]2.4自动化报表-8月获客数据-非乱码'!$A:$A&amp;'[1]2.4自动化报表-8月获客数据-非乱码'!$B:$B,'[1]2.4自动化报表-8月获客数据-非乱码'!$C:$H)</f>
        <v>4393</v>
      </c>
      <c r="Q250">
        <v>4293</v>
      </c>
      <c r="R250">
        <v>4142</v>
      </c>
      <c r="S250">
        <v>2352</v>
      </c>
      <c r="T250">
        <v>1331</v>
      </c>
      <c r="U250">
        <v>694</v>
      </c>
    </row>
    <row r="251" spans="1:21" x14ac:dyDescent="0.3">
      <c r="A251" s="1">
        <v>44052</v>
      </c>
      <c r="B251" t="s">
        <v>8</v>
      </c>
      <c r="C251" t="s">
        <v>125</v>
      </c>
      <c r="D251" t="s">
        <v>66</v>
      </c>
      <c r="E251" t="s">
        <v>126</v>
      </c>
      <c r="F251" s="2">
        <v>95182</v>
      </c>
      <c r="G251" s="2">
        <v>7249</v>
      </c>
      <c r="H251">
        <v>0</v>
      </c>
      <c r="I251" t="str">
        <f>_xlfn.XLOOKUP($C251,战区信息!$A$1:$A$5,战区信息!$B$1:$B$5)</f>
        <v>004</v>
      </c>
      <c r="J251" t="str">
        <f>_xlfn.XLOOKUP($C251,战区信息!$A$1:$A$5,战区信息!$C$1:$C$5)</f>
        <v>沈乐欣</v>
      </c>
      <c r="K251" t="str">
        <f>_xlfn.XLOOKUP($C251,战区信息!$A$1:$A$5,战区信息!$D$1:$D$5)</f>
        <v>三级战区</v>
      </c>
      <c r="L251" t="str">
        <f>_xlfn.XLOOKUP($D251,城市信息!$B$1:$B$14,城市信息!$A$1:$A$14)</f>
        <v>011</v>
      </c>
      <c r="M251" t="str">
        <f>_xlfn.XLOOKUP($D251,城市信息!$B$1:$B$14,城市信息!$C$1:$C$14)</f>
        <v>冯谦</v>
      </c>
      <c r="N251" t="str">
        <f>_xlfn.XLOOKUP($D251,城市信息!$B$1:$B$14,城市信息!$D$1:$D$14)</f>
        <v>一线</v>
      </c>
      <c r="O251">
        <f>_xlfn.XLOOKUP($D251,城市信息!$B$1:$B$14,城市信息!$E$1:$E$14)</f>
        <v>8244</v>
      </c>
      <c r="P251" cm="1">
        <f t="array" ref="P251:U251">_xlfn.XLOOKUP(A251&amp;B251,'[1]2.4自动化报表-8月获客数据-非乱码'!$A:$A&amp;'[1]2.4自动化报表-8月获客数据-非乱码'!$B:$B,'[1]2.4自动化报表-8月获客数据-非乱码'!$C:$H)</f>
        <v>1689</v>
      </c>
      <c r="Q251">
        <v>1671</v>
      </c>
      <c r="R251">
        <v>1624</v>
      </c>
      <c r="S251">
        <v>890</v>
      </c>
      <c r="T251">
        <v>577</v>
      </c>
      <c r="U251">
        <v>685</v>
      </c>
    </row>
    <row r="252" spans="1:21" x14ac:dyDescent="0.3">
      <c r="A252" s="1">
        <v>44052</v>
      </c>
      <c r="B252" t="s">
        <v>7</v>
      </c>
      <c r="C252" t="s">
        <v>125</v>
      </c>
      <c r="D252" t="s">
        <v>62</v>
      </c>
      <c r="E252" t="s">
        <v>127</v>
      </c>
      <c r="F252" s="2">
        <v>45000</v>
      </c>
      <c r="G252" s="2">
        <v>2743</v>
      </c>
      <c r="H252">
        <v>0</v>
      </c>
      <c r="I252" t="str">
        <f>_xlfn.XLOOKUP($C252,战区信息!$A$1:$A$5,战区信息!$B$1:$B$5)</f>
        <v>004</v>
      </c>
      <c r="J252" t="str">
        <f>_xlfn.XLOOKUP($C252,战区信息!$A$1:$A$5,战区信息!$C$1:$C$5)</f>
        <v>沈乐欣</v>
      </c>
      <c r="K252" t="str">
        <f>_xlfn.XLOOKUP($C252,战区信息!$A$1:$A$5,战区信息!$D$1:$D$5)</f>
        <v>三级战区</v>
      </c>
      <c r="L252" t="str">
        <f>_xlfn.XLOOKUP($D252,城市信息!$B$1:$B$14,城市信息!$A$1:$A$14)</f>
        <v>007</v>
      </c>
      <c r="M252" t="str">
        <f>_xlfn.XLOOKUP($D252,城市信息!$B$1:$B$14,城市信息!$C$1:$C$14)</f>
        <v>范俊发</v>
      </c>
      <c r="N252" t="str">
        <f>_xlfn.XLOOKUP($D252,城市信息!$B$1:$B$14,城市信息!$D$1:$D$14)</f>
        <v>一线</v>
      </c>
      <c r="O252">
        <f>_xlfn.XLOOKUP($D252,城市信息!$B$1:$B$14,城市信息!$E$1:$E$14)</f>
        <v>12358</v>
      </c>
      <c r="P252" cm="1">
        <f t="array" ref="P252:U252">_xlfn.XLOOKUP(A252&amp;B252,'[1]2.4自动化报表-8月获客数据-非乱码'!$A:$A&amp;'[1]2.4自动化报表-8月获客数据-非乱码'!$B:$B,'[1]2.4自动化报表-8月获客数据-非乱码'!$C:$H)</f>
        <v>95</v>
      </c>
      <c r="Q252">
        <v>91</v>
      </c>
      <c r="R252">
        <v>85</v>
      </c>
      <c r="S252">
        <v>45</v>
      </c>
      <c r="T252">
        <v>25</v>
      </c>
      <c r="U252">
        <v>686</v>
      </c>
    </row>
    <row r="253" spans="1:21" x14ac:dyDescent="0.3">
      <c r="A253" s="1">
        <v>44052</v>
      </c>
      <c r="B253" t="s">
        <v>6</v>
      </c>
      <c r="C253" t="s">
        <v>125</v>
      </c>
      <c r="D253" t="s">
        <v>62</v>
      </c>
      <c r="E253" t="s">
        <v>128</v>
      </c>
      <c r="F253" s="2">
        <v>74166</v>
      </c>
      <c r="G253" s="2">
        <v>4368</v>
      </c>
      <c r="H253">
        <v>0</v>
      </c>
      <c r="I253" t="str">
        <f>_xlfn.XLOOKUP($C253,战区信息!$A$1:$A$5,战区信息!$B$1:$B$5)</f>
        <v>004</v>
      </c>
      <c r="J253" t="str">
        <f>_xlfn.XLOOKUP($C253,战区信息!$A$1:$A$5,战区信息!$C$1:$C$5)</f>
        <v>沈乐欣</v>
      </c>
      <c r="K253" t="str">
        <f>_xlfn.XLOOKUP($C253,战区信息!$A$1:$A$5,战区信息!$D$1:$D$5)</f>
        <v>三级战区</v>
      </c>
      <c r="L253" t="str">
        <f>_xlfn.XLOOKUP($D253,城市信息!$B$1:$B$14,城市信息!$A$1:$A$14)</f>
        <v>007</v>
      </c>
      <c r="M253" t="str">
        <f>_xlfn.XLOOKUP($D253,城市信息!$B$1:$B$14,城市信息!$C$1:$C$14)</f>
        <v>范俊发</v>
      </c>
      <c r="N253" t="str">
        <f>_xlfn.XLOOKUP($D253,城市信息!$B$1:$B$14,城市信息!$D$1:$D$14)</f>
        <v>一线</v>
      </c>
      <c r="O253">
        <f>_xlfn.XLOOKUP($D253,城市信息!$B$1:$B$14,城市信息!$E$1:$E$14)</f>
        <v>12358</v>
      </c>
      <c r="P253" cm="1">
        <f t="array" ref="P253:U253">_xlfn.XLOOKUP(A253&amp;B253,'[1]2.4自动化报表-8月获客数据-非乱码'!$A:$A&amp;'[1]2.4自动化报表-8月获客数据-非乱码'!$B:$B,'[1]2.4自动化报表-8月获客数据-非乱码'!$C:$H)</f>
        <v>1721</v>
      </c>
      <c r="Q253">
        <v>1698</v>
      </c>
      <c r="R253">
        <v>1663</v>
      </c>
      <c r="S253">
        <v>1003</v>
      </c>
      <c r="T253">
        <v>582</v>
      </c>
      <c r="U253">
        <v>688</v>
      </c>
    </row>
    <row r="254" spans="1:21" x14ac:dyDescent="0.3">
      <c r="A254" s="1">
        <v>44052</v>
      </c>
      <c r="B254" t="s">
        <v>5</v>
      </c>
      <c r="C254" t="s">
        <v>125</v>
      </c>
      <c r="D254" t="s">
        <v>62</v>
      </c>
      <c r="E254" t="s">
        <v>129</v>
      </c>
      <c r="F254" s="2">
        <v>46025</v>
      </c>
      <c r="G254" s="2">
        <v>2784</v>
      </c>
      <c r="H254">
        <v>0</v>
      </c>
      <c r="I254" t="str">
        <f>_xlfn.XLOOKUP($C254,战区信息!$A$1:$A$5,战区信息!$B$1:$B$5)</f>
        <v>004</v>
      </c>
      <c r="J254" t="str">
        <f>_xlfn.XLOOKUP($C254,战区信息!$A$1:$A$5,战区信息!$C$1:$C$5)</f>
        <v>沈乐欣</v>
      </c>
      <c r="K254" t="str">
        <f>_xlfn.XLOOKUP($C254,战区信息!$A$1:$A$5,战区信息!$D$1:$D$5)</f>
        <v>三级战区</v>
      </c>
      <c r="L254" t="str">
        <f>_xlfn.XLOOKUP($D254,城市信息!$B$1:$B$14,城市信息!$A$1:$A$14)</f>
        <v>007</v>
      </c>
      <c r="M254" t="str">
        <f>_xlfn.XLOOKUP($D254,城市信息!$B$1:$B$14,城市信息!$C$1:$C$14)</f>
        <v>范俊发</v>
      </c>
      <c r="N254" t="str">
        <f>_xlfn.XLOOKUP($D254,城市信息!$B$1:$B$14,城市信息!$D$1:$D$14)</f>
        <v>一线</v>
      </c>
      <c r="O254">
        <f>_xlfn.XLOOKUP($D254,城市信息!$B$1:$B$14,城市信息!$E$1:$E$14)</f>
        <v>12358</v>
      </c>
      <c r="P254" cm="1">
        <f t="array" ref="P254:U254">_xlfn.XLOOKUP(A254&amp;B254,'[1]2.4自动化报表-8月获客数据-非乱码'!$A:$A&amp;'[1]2.4自动化报表-8月获客数据-非乱码'!$B:$B,'[1]2.4自动化报表-8月获客数据-非乱码'!$C:$H)</f>
        <v>2977</v>
      </c>
      <c r="Q254">
        <v>2920</v>
      </c>
      <c r="R254">
        <v>2799</v>
      </c>
      <c r="S254">
        <v>1745</v>
      </c>
      <c r="T254">
        <v>899</v>
      </c>
      <c r="U254">
        <v>690</v>
      </c>
    </row>
    <row r="255" spans="1:21" x14ac:dyDescent="0.3">
      <c r="A255" s="1">
        <v>44053</v>
      </c>
      <c r="B255" t="s">
        <v>32</v>
      </c>
      <c r="C255" t="s">
        <v>97</v>
      </c>
      <c r="D255" t="s">
        <v>67</v>
      </c>
      <c r="E255" t="s">
        <v>98</v>
      </c>
      <c r="F255" s="2">
        <v>11497</v>
      </c>
      <c r="G255">
        <v>847</v>
      </c>
      <c r="H255">
        <v>0</v>
      </c>
      <c r="I255" t="str">
        <f>_xlfn.XLOOKUP($C255,战区信息!$A$1:$A$5,战区信息!$B$1:$B$5)</f>
        <v>003</v>
      </c>
      <c r="J255" t="str">
        <f>_xlfn.XLOOKUP($C255,战区信息!$A$1:$A$5,战区信息!$C$1:$C$5)</f>
        <v>田楠</v>
      </c>
      <c r="K255" t="str">
        <f>_xlfn.XLOOKUP($C255,战区信息!$A$1:$A$5,战区信息!$D$1:$D$5)</f>
        <v>二级战区</v>
      </c>
      <c r="L255" t="str">
        <f>_xlfn.XLOOKUP($D255,城市信息!$B$1:$B$14,城市信息!$A$1:$A$14)</f>
        <v>012</v>
      </c>
      <c r="M255" t="str">
        <f>_xlfn.XLOOKUP($D255,城市信息!$B$1:$B$14,城市信息!$C$1:$C$14)</f>
        <v>于子默</v>
      </c>
      <c r="N255" t="str">
        <f>_xlfn.XLOOKUP($D255,城市信息!$B$1:$B$14,城市信息!$D$1:$D$14)</f>
        <v>二线</v>
      </c>
      <c r="O255">
        <f>_xlfn.XLOOKUP($D255,城市信息!$B$1:$B$14,城市信息!$E$1:$E$14)</f>
        <v>9713</v>
      </c>
      <c r="P255" cm="1">
        <f t="array" ref="P255:U255">_xlfn.XLOOKUP(A255&amp;B255,'[1]2.4自动化报表-8月获客数据-非乱码'!$A:$A&amp;'[1]2.4自动化报表-8月获客数据-非乱码'!$B:$B,'[1]2.4自动化报表-8月获客数据-非乱码'!$C:$H)</f>
        <v>1387</v>
      </c>
      <c r="Q255">
        <v>1375</v>
      </c>
      <c r="R255">
        <v>1327</v>
      </c>
      <c r="S255">
        <v>836</v>
      </c>
      <c r="T255">
        <v>439</v>
      </c>
      <c r="U255">
        <v>688</v>
      </c>
    </row>
    <row r="256" spans="1:21" x14ac:dyDescent="0.3">
      <c r="A256" s="1">
        <v>44053</v>
      </c>
      <c r="B256" t="s">
        <v>31</v>
      </c>
      <c r="C256" t="s">
        <v>97</v>
      </c>
      <c r="D256" t="s">
        <v>65</v>
      </c>
      <c r="E256" t="s">
        <v>99</v>
      </c>
      <c r="F256" s="2">
        <v>2753</v>
      </c>
      <c r="G256">
        <v>151</v>
      </c>
      <c r="H256">
        <v>0</v>
      </c>
      <c r="I256" t="str">
        <f>_xlfn.XLOOKUP($C256,战区信息!$A$1:$A$5,战区信息!$B$1:$B$5)</f>
        <v>003</v>
      </c>
      <c r="J256" t="str">
        <f>_xlfn.XLOOKUP($C256,战区信息!$A$1:$A$5,战区信息!$C$1:$C$5)</f>
        <v>田楠</v>
      </c>
      <c r="K256" t="str">
        <f>_xlfn.XLOOKUP($C256,战区信息!$A$1:$A$5,战区信息!$D$1:$D$5)</f>
        <v>二级战区</v>
      </c>
      <c r="L256" t="str">
        <f>_xlfn.XLOOKUP($D256,城市信息!$B$1:$B$14,城市信息!$A$1:$A$14)</f>
        <v>010</v>
      </c>
      <c r="M256" t="str">
        <f>_xlfn.XLOOKUP($D256,城市信息!$B$1:$B$14,城市信息!$C$1:$C$14)</f>
        <v>黄鹏天</v>
      </c>
      <c r="N256" t="str">
        <f>_xlfn.XLOOKUP($D256,城市信息!$B$1:$B$14,城市信息!$D$1:$D$14)</f>
        <v>二线</v>
      </c>
      <c r="O256">
        <f>_xlfn.XLOOKUP($D256,城市信息!$B$1:$B$14,城市信息!$E$1:$E$14)</f>
        <v>8295</v>
      </c>
      <c r="P256" cm="1">
        <f t="array" ref="P256:U256">_xlfn.XLOOKUP(A256&amp;B256,'[1]2.4自动化报表-8月获客数据-非乱码'!$A:$A&amp;'[1]2.4自动化报表-8月获客数据-非乱码'!$B:$B,'[1]2.4自动化报表-8月获客数据-非乱码'!$C:$H)</f>
        <v>1449</v>
      </c>
      <c r="Q256">
        <v>1422</v>
      </c>
      <c r="R256">
        <v>1376</v>
      </c>
      <c r="S256">
        <v>816</v>
      </c>
      <c r="T256">
        <v>439</v>
      </c>
      <c r="U256">
        <v>688</v>
      </c>
    </row>
    <row r="257" spans="1:21" x14ac:dyDescent="0.3">
      <c r="A257" s="1">
        <v>44053</v>
      </c>
      <c r="B257" t="s">
        <v>30</v>
      </c>
      <c r="C257" t="s">
        <v>97</v>
      </c>
      <c r="D257" t="s">
        <v>61</v>
      </c>
      <c r="E257" t="s">
        <v>100</v>
      </c>
      <c r="F257" s="2">
        <v>50502</v>
      </c>
      <c r="G257" s="2">
        <v>2097</v>
      </c>
      <c r="H257">
        <v>0</v>
      </c>
      <c r="I257" t="str">
        <f>_xlfn.XLOOKUP($C257,战区信息!$A$1:$A$5,战区信息!$B$1:$B$5)</f>
        <v>003</v>
      </c>
      <c r="J257" t="str">
        <f>_xlfn.XLOOKUP($C257,战区信息!$A$1:$A$5,战区信息!$C$1:$C$5)</f>
        <v>田楠</v>
      </c>
      <c r="K257" t="str">
        <f>_xlfn.XLOOKUP($C257,战区信息!$A$1:$A$5,战区信息!$D$1:$D$5)</f>
        <v>二级战区</v>
      </c>
      <c r="L257" t="str">
        <f>_xlfn.XLOOKUP($D257,城市信息!$B$1:$B$14,城市信息!$A$1:$A$14)</f>
        <v>006</v>
      </c>
      <c r="M257" t="str">
        <f>_xlfn.XLOOKUP($D257,城市信息!$B$1:$B$14,城市信息!$C$1:$C$14)</f>
        <v>王刚</v>
      </c>
      <c r="N257" t="str">
        <f>_xlfn.XLOOKUP($D257,城市信息!$B$1:$B$14,城市信息!$D$1:$D$14)</f>
        <v>二线</v>
      </c>
      <c r="O257">
        <f>_xlfn.XLOOKUP($D257,城市信息!$B$1:$B$14,城市信息!$E$1:$E$14)</f>
        <v>9107</v>
      </c>
      <c r="P257" cm="1">
        <f t="array" ref="P257:U257">_xlfn.XLOOKUP(A257&amp;B257,'[1]2.4自动化报表-8月获客数据-非乱码'!$A:$A&amp;'[1]2.4自动化报表-8月获客数据-非乱码'!$B:$B,'[1]2.4自动化报表-8月获客数据-非乱码'!$C:$H)</f>
        <v>3303</v>
      </c>
      <c r="Q257">
        <v>3234</v>
      </c>
      <c r="R257">
        <v>3102</v>
      </c>
      <c r="S257">
        <v>1918</v>
      </c>
      <c r="T257">
        <v>992</v>
      </c>
      <c r="U257">
        <v>699</v>
      </c>
    </row>
    <row r="258" spans="1:21" x14ac:dyDescent="0.3">
      <c r="A258" s="1">
        <v>44053</v>
      </c>
      <c r="B258" t="s">
        <v>29</v>
      </c>
      <c r="C258" t="s">
        <v>97</v>
      </c>
      <c r="D258" t="s">
        <v>64</v>
      </c>
      <c r="E258" t="s">
        <v>101</v>
      </c>
      <c r="F258" s="2">
        <v>130485</v>
      </c>
      <c r="G258" s="2">
        <v>5549</v>
      </c>
      <c r="H258">
        <v>0</v>
      </c>
      <c r="I258" t="str">
        <f>_xlfn.XLOOKUP($C258,战区信息!$A$1:$A$5,战区信息!$B$1:$B$5)</f>
        <v>003</v>
      </c>
      <c r="J258" t="str">
        <f>_xlfn.XLOOKUP($C258,战区信息!$A$1:$A$5,战区信息!$C$1:$C$5)</f>
        <v>田楠</v>
      </c>
      <c r="K258" t="str">
        <f>_xlfn.XLOOKUP($C258,战区信息!$A$1:$A$5,战区信息!$D$1:$D$5)</f>
        <v>二级战区</v>
      </c>
      <c r="L258" t="str">
        <f>_xlfn.XLOOKUP($D258,城市信息!$B$1:$B$14,城市信息!$A$1:$A$14)</f>
        <v>009</v>
      </c>
      <c r="M258" t="str">
        <f>_xlfn.XLOOKUP($D258,城市信息!$B$1:$B$14,城市信息!$C$1:$C$14)</f>
        <v>叶超</v>
      </c>
      <c r="N258" t="str">
        <f>_xlfn.XLOOKUP($D258,城市信息!$B$1:$B$14,城市信息!$D$1:$D$14)</f>
        <v>二线</v>
      </c>
      <c r="O258">
        <f>_xlfn.XLOOKUP($D258,城市信息!$B$1:$B$14,城市信息!$E$1:$E$14)</f>
        <v>9016</v>
      </c>
      <c r="P258" cm="1">
        <f t="array" ref="P258:U258">_xlfn.XLOOKUP(A258&amp;B258,'[1]2.4自动化报表-8月获客数据-非乱码'!$A:$A&amp;'[1]2.4自动化报表-8月获客数据-非乱码'!$B:$B,'[1]2.4自动化报表-8月获客数据-非乱码'!$C:$H)</f>
        <v>2990</v>
      </c>
      <c r="Q258">
        <v>2919</v>
      </c>
      <c r="R258">
        <v>2820</v>
      </c>
      <c r="S258">
        <v>1821</v>
      </c>
      <c r="T258">
        <v>1015</v>
      </c>
      <c r="U258">
        <v>691</v>
      </c>
    </row>
    <row r="259" spans="1:21" x14ac:dyDescent="0.3">
      <c r="A259" s="1">
        <v>44053</v>
      </c>
      <c r="B259" t="s">
        <v>28</v>
      </c>
      <c r="C259" t="s">
        <v>97</v>
      </c>
      <c r="D259" t="s">
        <v>64</v>
      </c>
      <c r="E259" t="s">
        <v>102</v>
      </c>
      <c r="F259" s="2">
        <v>7500</v>
      </c>
      <c r="G259">
        <v>312</v>
      </c>
      <c r="H259">
        <v>0</v>
      </c>
      <c r="I259" t="str">
        <f>_xlfn.XLOOKUP($C259,战区信息!$A$1:$A$5,战区信息!$B$1:$B$5)</f>
        <v>003</v>
      </c>
      <c r="J259" t="str">
        <f>_xlfn.XLOOKUP($C259,战区信息!$A$1:$A$5,战区信息!$C$1:$C$5)</f>
        <v>田楠</v>
      </c>
      <c r="K259" t="str">
        <f>_xlfn.XLOOKUP($C259,战区信息!$A$1:$A$5,战区信息!$D$1:$D$5)</f>
        <v>二级战区</v>
      </c>
      <c r="L259" t="str">
        <f>_xlfn.XLOOKUP($D259,城市信息!$B$1:$B$14,城市信息!$A$1:$A$14)</f>
        <v>009</v>
      </c>
      <c r="M259" t="str">
        <f>_xlfn.XLOOKUP($D259,城市信息!$B$1:$B$14,城市信息!$C$1:$C$14)</f>
        <v>叶超</v>
      </c>
      <c r="N259" t="str">
        <f>_xlfn.XLOOKUP($D259,城市信息!$B$1:$B$14,城市信息!$D$1:$D$14)</f>
        <v>二线</v>
      </c>
      <c r="O259">
        <f>_xlfn.XLOOKUP($D259,城市信息!$B$1:$B$14,城市信息!$E$1:$E$14)</f>
        <v>9016</v>
      </c>
      <c r="P259" cm="1">
        <f t="array" ref="P259:U259">_xlfn.XLOOKUP(A259&amp;B259,'[1]2.4自动化报表-8月获客数据-非乱码'!$A:$A&amp;'[1]2.4自动化报表-8月获客数据-非乱码'!$B:$B,'[1]2.4自动化报表-8月获客数据-非乱码'!$C:$H)</f>
        <v>672</v>
      </c>
      <c r="Q259">
        <v>662</v>
      </c>
      <c r="R259">
        <v>643</v>
      </c>
      <c r="S259">
        <v>443</v>
      </c>
      <c r="T259">
        <v>209</v>
      </c>
      <c r="U259">
        <v>692</v>
      </c>
    </row>
    <row r="260" spans="1:21" x14ac:dyDescent="0.3">
      <c r="A260" s="1">
        <v>44053</v>
      </c>
      <c r="B260" t="s">
        <v>27</v>
      </c>
      <c r="C260" t="s">
        <v>103</v>
      </c>
      <c r="D260" t="s">
        <v>63</v>
      </c>
      <c r="E260" t="s">
        <v>104</v>
      </c>
      <c r="F260" s="2">
        <v>79381</v>
      </c>
      <c r="G260" s="2">
        <v>4169</v>
      </c>
      <c r="H260" s="2">
        <v>21438</v>
      </c>
      <c r="I260" t="str">
        <f>_xlfn.XLOOKUP($C260,战区信息!$A$1:$A$5,战区信息!$B$1:$B$5)</f>
        <v>002</v>
      </c>
      <c r="J260" t="str">
        <f>_xlfn.XLOOKUP($C260,战区信息!$A$1:$A$5,战区信息!$C$1:$C$5)</f>
        <v>高安平</v>
      </c>
      <c r="K260" t="str">
        <f>_xlfn.XLOOKUP($C260,战区信息!$A$1:$A$5,战区信息!$D$1:$D$5)</f>
        <v>二级战区</v>
      </c>
      <c r="L260" t="str">
        <f>_xlfn.XLOOKUP($D260,城市信息!$B$1:$B$14,城市信息!$A$1:$A$14)</f>
        <v>008</v>
      </c>
      <c r="M260" t="str">
        <f>_xlfn.XLOOKUP($D260,城市信息!$B$1:$B$14,城市信息!$C$1:$C$14)</f>
        <v>高弘壮</v>
      </c>
      <c r="N260" t="str">
        <f>_xlfn.XLOOKUP($D260,城市信息!$B$1:$B$14,城市信息!$D$1:$D$14)</f>
        <v>一线</v>
      </c>
      <c r="O260">
        <f>_xlfn.XLOOKUP($D260,城市信息!$B$1:$B$14,城市信息!$E$1:$E$14)</f>
        <v>11498</v>
      </c>
      <c r="P260" cm="1">
        <f t="array" ref="P260:U260">_xlfn.XLOOKUP(A260&amp;B260,'[1]2.4自动化报表-8月获客数据-非乱码'!$A:$A&amp;'[1]2.4自动化报表-8月获客数据-非乱码'!$B:$B,'[1]2.4自动化报表-8月获客数据-非乱码'!$C:$H)</f>
        <v>3120</v>
      </c>
      <c r="Q260">
        <v>3018</v>
      </c>
      <c r="R260">
        <v>2877</v>
      </c>
      <c r="S260">
        <v>1701</v>
      </c>
      <c r="T260">
        <v>900</v>
      </c>
      <c r="U260">
        <v>689</v>
      </c>
    </row>
    <row r="261" spans="1:21" x14ac:dyDescent="0.3">
      <c r="A261" s="1">
        <v>44053</v>
      </c>
      <c r="B261" t="s">
        <v>26</v>
      </c>
      <c r="C261" t="s">
        <v>103</v>
      </c>
      <c r="D261" t="s">
        <v>57</v>
      </c>
      <c r="E261" t="s">
        <v>105</v>
      </c>
      <c r="F261" s="2">
        <v>201871</v>
      </c>
      <c r="G261" s="2">
        <v>9890</v>
      </c>
      <c r="H261">
        <v>0</v>
      </c>
      <c r="I261" t="str">
        <f>_xlfn.XLOOKUP($C261,战区信息!$A$1:$A$5,战区信息!$B$1:$B$5)</f>
        <v>002</v>
      </c>
      <c r="J261" t="str">
        <f>_xlfn.XLOOKUP($C261,战区信息!$A$1:$A$5,战区信息!$C$1:$C$5)</f>
        <v>高安平</v>
      </c>
      <c r="K261" t="str">
        <f>_xlfn.XLOOKUP($C261,战区信息!$A$1:$A$5,战区信息!$D$1:$D$5)</f>
        <v>二级战区</v>
      </c>
      <c r="L261" t="str">
        <f>_xlfn.XLOOKUP($D261,城市信息!$B$1:$B$14,城市信息!$A$1:$A$14)</f>
        <v>002</v>
      </c>
      <c r="M261" t="str">
        <f>_xlfn.XLOOKUP($D261,城市信息!$B$1:$B$14,城市信息!$C$1:$C$14)</f>
        <v>孙乒</v>
      </c>
      <c r="N261" t="str">
        <f>_xlfn.XLOOKUP($D261,城市信息!$B$1:$B$14,城市信息!$D$1:$D$14)</f>
        <v>一线</v>
      </c>
      <c r="O261">
        <f>_xlfn.XLOOKUP($D261,城市信息!$B$1:$B$14,城市信息!$E$1:$E$14)</f>
        <v>9854</v>
      </c>
      <c r="P261" cm="1">
        <f t="array" ref="P261:U261">_xlfn.XLOOKUP(A261&amp;B261,'[1]2.4自动化报表-8月获客数据-非乱码'!$A:$A&amp;'[1]2.4自动化报表-8月获客数据-非乱码'!$B:$B,'[1]2.4自动化报表-8月获客数据-非乱码'!$C:$H)</f>
        <v>5770</v>
      </c>
      <c r="Q261">
        <v>5628</v>
      </c>
      <c r="R261">
        <v>5384</v>
      </c>
      <c r="S261">
        <v>3358</v>
      </c>
      <c r="T261">
        <v>1890</v>
      </c>
      <c r="U261">
        <v>688</v>
      </c>
    </row>
    <row r="262" spans="1:21" x14ac:dyDescent="0.3">
      <c r="A262" s="1">
        <v>44053</v>
      </c>
      <c r="B262" t="s">
        <v>25</v>
      </c>
      <c r="C262" t="s">
        <v>103</v>
      </c>
      <c r="D262" t="s">
        <v>57</v>
      </c>
      <c r="E262" t="s">
        <v>106</v>
      </c>
      <c r="F262" s="2">
        <v>56937</v>
      </c>
      <c r="G262" s="2">
        <v>2304</v>
      </c>
      <c r="H262">
        <v>0</v>
      </c>
      <c r="I262" t="str">
        <f>_xlfn.XLOOKUP($C262,战区信息!$A$1:$A$5,战区信息!$B$1:$B$5)</f>
        <v>002</v>
      </c>
      <c r="J262" t="str">
        <f>_xlfn.XLOOKUP($C262,战区信息!$A$1:$A$5,战区信息!$C$1:$C$5)</f>
        <v>高安平</v>
      </c>
      <c r="K262" t="str">
        <f>_xlfn.XLOOKUP($C262,战区信息!$A$1:$A$5,战区信息!$D$1:$D$5)</f>
        <v>二级战区</v>
      </c>
      <c r="L262" t="str">
        <f>_xlfn.XLOOKUP($D262,城市信息!$B$1:$B$14,城市信息!$A$1:$A$14)</f>
        <v>002</v>
      </c>
      <c r="M262" t="str">
        <f>_xlfn.XLOOKUP($D262,城市信息!$B$1:$B$14,城市信息!$C$1:$C$14)</f>
        <v>孙乒</v>
      </c>
      <c r="N262" t="str">
        <f>_xlfn.XLOOKUP($D262,城市信息!$B$1:$B$14,城市信息!$D$1:$D$14)</f>
        <v>一线</v>
      </c>
      <c r="O262">
        <f>_xlfn.XLOOKUP($D262,城市信息!$B$1:$B$14,城市信息!$E$1:$E$14)</f>
        <v>9854</v>
      </c>
      <c r="P262" cm="1">
        <f t="array" ref="P262:U262">_xlfn.XLOOKUP(A262&amp;B262,'[1]2.4自动化报表-8月获客数据-非乱码'!$A:$A&amp;'[1]2.4自动化报表-8月获客数据-非乱码'!$B:$B,'[1]2.4自动化报表-8月获客数据-非乱码'!$C:$H)</f>
        <v>3746</v>
      </c>
      <c r="Q262">
        <v>3645</v>
      </c>
      <c r="R262">
        <v>3464</v>
      </c>
      <c r="S262">
        <v>2062</v>
      </c>
      <c r="T262">
        <v>1163</v>
      </c>
      <c r="U262">
        <v>688</v>
      </c>
    </row>
    <row r="263" spans="1:21" x14ac:dyDescent="0.3">
      <c r="A263" s="1">
        <v>44053</v>
      </c>
      <c r="B263" t="s">
        <v>24</v>
      </c>
      <c r="C263" t="s">
        <v>103</v>
      </c>
      <c r="D263" t="s">
        <v>57</v>
      </c>
      <c r="E263" t="s">
        <v>107</v>
      </c>
      <c r="F263" s="2">
        <v>140446</v>
      </c>
      <c r="G263" s="2">
        <v>5855</v>
      </c>
      <c r="H263">
        <v>0</v>
      </c>
      <c r="I263" t="str">
        <f>_xlfn.XLOOKUP($C263,战区信息!$A$1:$A$5,战区信息!$B$1:$B$5)</f>
        <v>002</v>
      </c>
      <c r="J263" t="str">
        <f>_xlfn.XLOOKUP($C263,战区信息!$A$1:$A$5,战区信息!$C$1:$C$5)</f>
        <v>高安平</v>
      </c>
      <c r="K263" t="str">
        <f>_xlfn.XLOOKUP($C263,战区信息!$A$1:$A$5,战区信息!$D$1:$D$5)</f>
        <v>二级战区</v>
      </c>
      <c r="L263" t="str">
        <f>_xlfn.XLOOKUP($D263,城市信息!$B$1:$B$14,城市信息!$A$1:$A$14)</f>
        <v>002</v>
      </c>
      <c r="M263" t="str">
        <f>_xlfn.XLOOKUP($D263,城市信息!$B$1:$B$14,城市信息!$C$1:$C$14)</f>
        <v>孙乒</v>
      </c>
      <c r="N263" t="str">
        <f>_xlfn.XLOOKUP($D263,城市信息!$B$1:$B$14,城市信息!$D$1:$D$14)</f>
        <v>一线</v>
      </c>
      <c r="O263">
        <f>_xlfn.XLOOKUP($D263,城市信息!$B$1:$B$14,城市信息!$E$1:$E$14)</f>
        <v>9854</v>
      </c>
      <c r="P263" cm="1">
        <f t="array" ref="P263:U263">_xlfn.XLOOKUP(A263&amp;B263,'[1]2.4自动化报表-8月获客数据-非乱码'!$A:$A&amp;'[1]2.4自动化报表-8月获客数据-非乱码'!$B:$B,'[1]2.4自动化报表-8月获客数据-非乱码'!$C:$H)</f>
        <v>3082</v>
      </c>
      <c r="Q263">
        <v>3035</v>
      </c>
      <c r="R263">
        <v>2913</v>
      </c>
      <c r="S263">
        <v>1766</v>
      </c>
      <c r="T263">
        <v>1032</v>
      </c>
      <c r="U263">
        <v>689</v>
      </c>
    </row>
    <row r="264" spans="1:21" x14ac:dyDescent="0.3">
      <c r="A264" s="1">
        <v>44053</v>
      </c>
      <c r="B264" t="s">
        <v>23</v>
      </c>
      <c r="C264" t="s">
        <v>108</v>
      </c>
      <c r="D264" t="s">
        <v>109</v>
      </c>
      <c r="E264" t="s">
        <v>110</v>
      </c>
      <c r="F264" s="2">
        <v>67592</v>
      </c>
      <c r="G264" s="2">
        <v>2940</v>
      </c>
      <c r="H264">
        <v>0</v>
      </c>
      <c r="I264" t="str">
        <f>_xlfn.XLOOKUP($C264,战区信息!$A$1:$A$5,战区信息!$B$1:$B$5)</f>
        <v>001</v>
      </c>
      <c r="J264" t="str">
        <f>_xlfn.XLOOKUP($C264,战区信息!$A$1:$A$5,战区信息!$C$1:$C$5)</f>
        <v>江永</v>
      </c>
      <c r="K264" t="str">
        <f>_xlfn.XLOOKUP($C264,战区信息!$A$1:$A$5,战区信息!$D$1:$D$5)</f>
        <v>一级战区</v>
      </c>
      <c r="L264" t="str">
        <f>_xlfn.XLOOKUP($D264,城市信息!$B$1:$B$14,城市信息!$A$1:$A$14)</f>
        <v>013</v>
      </c>
      <c r="M264" t="str">
        <f>_xlfn.XLOOKUP($D264,城市信息!$B$1:$B$14,城市信息!$C$1:$C$14)</f>
        <v>张建</v>
      </c>
      <c r="N264" t="str">
        <f>_xlfn.XLOOKUP($D264,城市信息!$B$1:$B$14,城市信息!$D$1:$D$14)</f>
        <v>二线</v>
      </c>
      <c r="O264">
        <f>_xlfn.XLOOKUP($D264,城市信息!$B$1:$B$14,城市信息!$E$1:$E$14)</f>
        <v>8800</v>
      </c>
      <c r="P264" cm="1">
        <f t="array" ref="P264:U264">_xlfn.XLOOKUP(A264&amp;B264,'[1]2.4自动化报表-8月获客数据-非乱码'!$A:$A&amp;'[1]2.4自动化报表-8月获客数据-非乱码'!$B:$B,'[1]2.4自动化报表-8月获客数据-非乱码'!$C:$H)</f>
        <v>4922</v>
      </c>
      <c r="Q264">
        <v>4758</v>
      </c>
      <c r="R264">
        <v>4539</v>
      </c>
      <c r="S264">
        <v>2718</v>
      </c>
      <c r="T264">
        <v>1369</v>
      </c>
      <c r="U264">
        <v>695</v>
      </c>
    </row>
    <row r="265" spans="1:21" x14ac:dyDescent="0.3">
      <c r="A265" s="1">
        <v>44053</v>
      </c>
      <c r="B265" t="s">
        <v>22</v>
      </c>
      <c r="C265" t="s">
        <v>108</v>
      </c>
      <c r="D265" t="s">
        <v>109</v>
      </c>
      <c r="E265" t="s">
        <v>111</v>
      </c>
      <c r="F265" s="2">
        <v>3974</v>
      </c>
      <c r="G265">
        <v>221</v>
      </c>
      <c r="H265">
        <v>0</v>
      </c>
      <c r="I265" t="str">
        <f>_xlfn.XLOOKUP($C265,战区信息!$A$1:$A$5,战区信息!$B$1:$B$5)</f>
        <v>001</v>
      </c>
      <c r="J265" t="str">
        <f>_xlfn.XLOOKUP($C265,战区信息!$A$1:$A$5,战区信息!$C$1:$C$5)</f>
        <v>江永</v>
      </c>
      <c r="K265" t="str">
        <f>_xlfn.XLOOKUP($C265,战区信息!$A$1:$A$5,战区信息!$D$1:$D$5)</f>
        <v>一级战区</v>
      </c>
      <c r="L265" t="str">
        <f>_xlfn.XLOOKUP($D265,城市信息!$B$1:$B$14,城市信息!$A$1:$A$14)</f>
        <v>013</v>
      </c>
      <c r="M265" t="str">
        <f>_xlfn.XLOOKUP($D265,城市信息!$B$1:$B$14,城市信息!$C$1:$C$14)</f>
        <v>张建</v>
      </c>
      <c r="N265" t="str">
        <f>_xlfn.XLOOKUP($D265,城市信息!$B$1:$B$14,城市信息!$D$1:$D$14)</f>
        <v>二线</v>
      </c>
      <c r="O265">
        <f>_xlfn.XLOOKUP($D265,城市信息!$B$1:$B$14,城市信息!$E$1:$E$14)</f>
        <v>8800</v>
      </c>
      <c r="P265" cm="1">
        <f t="array" ref="P265:U265">_xlfn.XLOOKUP(A265&amp;B265,'[1]2.4自动化报表-8月获客数据-非乱码'!$A:$A&amp;'[1]2.4自动化报表-8月获客数据-非乱码'!$B:$B,'[1]2.4自动化报表-8月获客数据-非乱码'!$C:$H)</f>
        <v>179</v>
      </c>
      <c r="Q265">
        <v>176</v>
      </c>
      <c r="R265">
        <v>172</v>
      </c>
      <c r="S265">
        <v>104</v>
      </c>
      <c r="T265">
        <v>76</v>
      </c>
      <c r="U265">
        <v>694</v>
      </c>
    </row>
    <row r="266" spans="1:21" x14ac:dyDescent="0.3">
      <c r="A266" s="1">
        <v>44053</v>
      </c>
      <c r="B266" t="s">
        <v>21</v>
      </c>
      <c r="C266" t="s">
        <v>108</v>
      </c>
      <c r="D266" t="s">
        <v>109</v>
      </c>
      <c r="E266" t="s">
        <v>112</v>
      </c>
      <c r="F266" s="2">
        <v>127333</v>
      </c>
      <c r="G266" s="2">
        <v>6238</v>
      </c>
      <c r="H266" s="2">
        <v>17053</v>
      </c>
      <c r="I266" t="str">
        <f>_xlfn.XLOOKUP($C266,战区信息!$A$1:$A$5,战区信息!$B$1:$B$5)</f>
        <v>001</v>
      </c>
      <c r="J266" t="str">
        <f>_xlfn.XLOOKUP($C266,战区信息!$A$1:$A$5,战区信息!$C$1:$C$5)</f>
        <v>江永</v>
      </c>
      <c r="K266" t="str">
        <f>_xlfn.XLOOKUP($C266,战区信息!$A$1:$A$5,战区信息!$D$1:$D$5)</f>
        <v>一级战区</v>
      </c>
      <c r="L266" t="str">
        <f>_xlfn.XLOOKUP($D266,城市信息!$B$1:$B$14,城市信息!$A$1:$A$14)</f>
        <v>013</v>
      </c>
      <c r="M266" t="str">
        <f>_xlfn.XLOOKUP($D266,城市信息!$B$1:$B$14,城市信息!$C$1:$C$14)</f>
        <v>张建</v>
      </c>
      <c r="N266" t="str">
        <f>_xlfn.XLOOKUP($D266,城市信息!$B$1:$B$14,城市信息!$D$1:$D$14)</f>
        <v>二线</v>
      </c>
      <c r="O266">
        <f>_xlfn.XLOOKUP($D266,城市信息!$B$1:$B$14,城市信息!$E$1:$E$14)</f>
        <v>8800</v>
      </c>
      <c r="P266" cm="1">
        <f t="array" ref="P266:U266">_xlfn.XLOOKUP(A266&amp;B266,'[1]2.4自动化报表-8月获客数据-非乱码'!$A:$A&amp;'[1]2.4自动化报表-8月获客数据-非乱码'!$B:$B,'[1]2.4自动化报表-8月获客数据-非乱码'!$C:$H)</f>
        <v>5703</v>
      </c>
      <c r="Q266">
        <v>5489</v>
      </c>
      <c r="R266">
        <v>5227</v>
      </c>
      <c r="S266">
        <v>3019</v>
      </c>
      <c r="T266">
        <v>1654</v>
      </c>
      <c r="U266">
        <v>696</v>
      </c>
    </row>
    <row r="267" spans="1:21" x14ac:dyDescent="0.3">
      <c r="A267" s="1">
        <v>44053</v>
      </c>
      <c r="B267" t="s">
        <v>20</v>
      </c>
      <c r="C267" t="s">
        <v>108</v>
      </c>
      <c r="D267" t="s">
        <v>56</v>
      </c>
      <c r="E267" t="s">
        <v>113</v>
      </c>
      <c r="F267" s="2">
        <v>111044</v>
      </c>
      <c r="G267" s="2">
        <v>5751</v>
      </c>
      <c r="H267" s="2">
        <v>2057</v>
      </c>
      <c r="I267" t="str">
        <f>_xlfn.XLOOKUP($C267,战区信息!$A$1:$A$5,战区信息!$B$1:$B$5)</f>
        <v>001</v>
      </c>
      <c r="J267" t="str">
        <f>_xlfn.XLOOKUP($C267,战区信息!$A$1:$A$5,战区信息!$C$1:$C$5)</f>
        <v>江永</v>
      </c>
      <c r="K267" t="str">
        <f>_xlfn.XLOOKUP($C267,战区信息!$A$1:$A$5,战区信息!$D$1:$D$5)</f>
        <v>一级战区</v>
      </c>
      <c r="L267" t="str">
        <f>_xlfn.XLOOKUP($D267,城市信息!$B$1:$B$14,城市信息!$A$1:$A$14)</f>
        <v>001</v>
      </c>
      <c r="M267" t="str">
        <f>_xlfn.XLOOKUP($D267,城市信息!$B$1:$B$14,城市信息!$C$1:$C$14)</f>
        <v>吴刚</v>
      </c>
      <c r="N267" t="str">
        <f>_xlfn.XLOOKUP($D267,城市信息!$B$1:$B$14,城市信息!$D$1:$D$14)</f>
        <v>一线</v>
      </c>
      <c r="O267">
        <f>_xlfn.XLOOKUP($D267,城市信息!$B$1:$B$14,城市信息!$E$1:$E$14)</f>
        <v>12114</v>
      </c>
      <c r="P267" cm="1">
        <f t="array" ref="P267:U267">_xlfn.XLOOKUP(A267&amp;B267,'[1]2.4自动化报表-8月获客数据-非乱码'!$A:$A&amp;'[1]2.4自动化报表-8月获客数据-非乱码'!$B:$B,'[1]2.4自动化报表-8月获客数据-非乱码'!$C:$H)</f>
        <v>5472</v>
      </c>
      <c r="Q267">
        <v>5334</v>
      </c>
      <c r="R267">
        <v>5140</v>
      </c>
      <c r="S267">
        <v>3139</v>
      </c>
      <c r="T267">
        <v>1734</v>
      </c>
      <c r="U267">
        <v>694</v>
      </c>
    </row>
    <row r="268" spans="1:21" x14ac:dyDescent="0.3">
      <c r="A268" s="1">
        <v>44053</v>
      </c>
      <c r="B268" t="s">
        <v>19</v>
      </c>
      <c r="C268" t="s">
        <v>108</v>
      </c>
      <c r="D268" t="s">
        <v>56</v>
      </c>
      <c r="E268" t="s">
        <v>114</v>
      </c>
      <c r="F268" s="2">
        <v>58501</v>
      </c>
      <c r="G268" s="2">
        <v>2745</v>
      </c>
      <c r="H268">
        <v>420</v>
      </c>
      <c r="I268" t="str">
        <f>_xlfn.XLOOKUP($C268,战区信息!$A$1:$A$5,战区信息!$B$1:$B$5)</f>
        <v>001</v>
      </c>
      <c r="J268" t="str">
        <f>_xlfn.XLOOKUP($C268,战区信息!$A$1:$A$5,战区信息!$C$1:$C$5)</f>
        <v>江永</v>
      </c>
      <c r="K268" t="str">
        <f>_xlfn.XLOOKUP($C268,战区信息!$A$1:$A$5,战区信息!$D$1:$D$5)</f>
        <v>一级战区</v>
      </c>
      <c r="L268" t="str">
        <f>_xlfn.XLOOKUP($D268,城市信息!$B$1:$B$14,城市信息!$A$1:$A$14)</f>
        <v>001</v>
      </c>
      <c r="M268" t="str">
        <f>_xlfn.XLOOKUP($D268,城市信息!$B$1:$B$14,城市信息!$C$1:$C$14)</f>
        <v>吴刚</v>
      </c>
      <c r="N268" t="str">
        <f>_xlfn.XLOOKUP($D268,城市信息!$B$1:$B$14,城市信息!$D$1:$D$14)</f>
        <v>一线</v>
      </c>
      <c r="O268">
        <f>_xlfn.XLOOKUP($D268,城市信息!$B$1:$B$14,城市信息!$E$1:$E$14)</f>
        <v>12114</v>
      </c>
      <c r="P268" cm="1">
        <f t="array" ref="P268:U268">_xlfn.XLOOKUP(A268&amp;B268,'[1]2.4自动化报表-8月获客数据-非乱码'!$A:$A&amp;'[1]2.4自动化报表-8月获客数据-非乱码'!$B:$B,'[1]2.4自动化报表-8月获客数据-非乱码'!$C:$H)</f>
        <v>2925</v>
      </c>
      <c r="Q268">
        <v>2858</v>
      </c>
      <c r="R268">
        <v>2747</v>
      </c>
      <c r="S268">
        <v>1612</v>
      </c>
      <c r="T268">
        <v>968</v>
      </c>
      <c r="U268">
        <v>696</v>
      </c>
    </row>
    <row r="269" spans="1:21" x14ac:dyDescent="0.3">
      <c r="A269" s="1">
        <v>44053</v>
      </c>
      <c r="B269" t="s">
        <v>18</v>
      </c>
      <c r="C269" t="s">
        <v>108</v>
      </c>
      <c r="D269" t="s">
        <v>56</v>
      </c>
      <c r="E269" t="s">
        <v>115</v>
      </c>
      <c r="F269" s="2">
        <v>29588</v>
      </c>
      <c r="G269" s="2">
        <v>1498</v>
      </c>
      <c r="H269">
        <v>0</v>
      </c>
      <c r="I269" t="str">
        <f>_xlfn.XLOOKUP($C269,战区信息!$A$1:$A$5,战区信息!$B$1:$B$5)</f>
        <v>001</v>
      </c>
      <c r="J269" t="str">
        <f>_xlfn.XLOOKUP($C269,战区信息!$A$1:$A$5,战区信息!$C$1:$C$5)</f>
        <v>江永</v>
      </c>
      <c r="K269" t="str">
        <f>_xlfn.XLOOKUP($C269,战区信息!$A$1:$A$5,战区信息!$D$1:$D$5)</f>
        <v>一级战区</v>
      </c>
      <c r="L269" t="str">
        <f>_xlfn.XLOOKUP($D269,城市信息!$B$1:$B$14,城市信息!$A$1:$A$14)</f>
        <v>001</v>
      </c>
      <c r="M269" t="str">
        <f>_xlfn.XLOOKUP($D269,城市信息!$B$1:$B$14,城市信息!$C$1:$C$14)</f>
        <v>吴刚</v>
      </c>
      <c r="N269" t="str">
        <f>_xlfn.XLOOKUP($D269,城市信息!$B$1:$B$14,城市信息!$D$1:$D$14)</f>
        <v>一线</v>
      </c>
      <c r="O269">
        <f>_xlfn.XLOOKUP($D269,城市信息!$B$1:$B$14,城市信息!$E$1:$E$14)</f>
        <v>12114</v>
      </c>
      <c r="P269" cm="1">
        <f t="array" ref="P269:U269">_xlfn.XLOOKUP(A269&amp;B269,'[1]2.4自动化报表-8月获客数据-非乱码'!$A:$A&amp;'[1]2.4自动化报表-8月获客数据-非乱码'!$B:$B,'[1]2.4自动化报表-8月获客数据-非乱码'!$C:$H)</f>
        <v>2848</v>
      </c>
      <c r="Q269">
        <v>2808</v>
      </c>
      <c r="R269">
        <v>2692</v>
      </c>
      <c r="S269">
        <v>1578</v>
      </c>
      <c r="T269">
        <v>861</v>
      </c>
      <c r="U269">
        <v>690</v>
      </c>
    </row>
    <row r="270" spans="1:21" x14ac:dyDescent="0.3">
      <c r="A270" s="1">
        <v>44053</v>
      </c>
      <c r="B270" t="s">
        <v>17</v>
      </c>
      <c r="C270" t="s">
        <v>108</v>
      </c>
      <c r="D270" t="s">
        <v>59</v>
      </c>
      <c r="E270" t="s">
        <v>116</v>
      </c>
      <c r="F270" s="2">
        <v>75588</v>
      </c>
      <c r="G270" s="2">
        <v>5583</v>
      </c>
      <c r="H270">
        <v>0</v>
      </c>
      <c r="I270" t="str">
        <f>_xlfn.XLOOKUP($C270,战区信息!$A$1:$A$5,战区信息!$B$1:$B$5)</f>
        <v>001</v>
      </c>
      <c r="J270" t="str">
        <f>_xlfn.XLOOKUP($C270,战区信息!$A$1:$A$5,战区信息!$C$1:$C$5)</f>
        <v>江永</v>
      </c>
      <c r="K270" t="str">
        <f>_xlfn.XLOOKUP($C270,战区信息!$A$1:$A$5,战区信息!$D$1:$D$5)</f>
        <v>一级战区</v>
      </c>
      <c r="L270" t="str">
        <f>_xlfn.XLOOKUP($D270,城市信息!$B$1:$B$14,城市信息!$A$1:$A$14)</f>
        <v>004</v>
      </c>
      <c r="M270" t="str">
        <f>_xlfn.XLOOKUP($D270,城市信息!$B$1:$B$14,城市信息!$C$1:$C$14)</f>
        <v>苏川</v>
      </c>
      <c r="N270" t="str">
        <f>_xlfn.XLOOKUP($D270,城市信息!$B$1:$B$14,城市信息!$D$1:$D$14)</f>
        <v>二线</v>
      </c>
      <c r="O270">
        <f>_xlfn.XLOOKUP($D270,城市信息!$B$1:$B$14,城市信息!$E$1:$E$14)</f>
        <v>9912</v>
      </c>
      <c r="P270" cm="1">
        <f t="array" ref="P270:U270">_xlfn.XLOOKUP(A270&amp;B270,'[1]2.4自动化报表-8月获客数据-非乱码'!$A:$A&amp;'[1]2.4自动化报表-8月获客数据-非乱码'!$B:$B,'[1]2.4自动化报表-8月获客数据-非乱码'!$C:$H)</f>
        <v>3253</v>
      </c>
      <c r="Q270">
        <v>3176</v>
      </c>
      <c r="R270">
        <v>3060</v>
      </c>
      <c r="S270">
        <v>1750</v>
      </c>
      <c r="T270">
        <v>959</v>
      </c>
      <c r="U270">
        <v>697</v>
      </c>
    </row>
    <row r="271" spans="1:21" x14ac:dyDescent="0.3">
      <c r="A271" s="1">
        <v>44053</v>
      </c>
      <c r="B271" t="s">
        <v>16</v>
      </c>
      <c r="C271" t="s">
        <v>108</v>
      </c>
      <c r="D271" t="s">
        <v>59</v>
      </c>
      <c r="E271" t="s">
        <v>117</v>
      </c>
      <c r="F271" s="2">
        <v>17501</v>
      </c>
      <c r="G271">
        <v>729</v>
      </c>
      <c r="H271">
        <v>0</v>
      </c>
      <c r="I271" t="str">
        <f>_xlfn.XLOOKUP($C271,战区信息!$A$1:$A$5,战区信息!$B$1:$B$5)</f>
        <v>001</v>
      </c>
      <c r="J271" t="str">
        <f>_xlfn.XLOOKUP($C271,战区信息!$A$1:$A$5,战区信息!$C$1:$C$5)</f>
        <v>江永</v>
      </c>
      <c r="K271" t="str">
        <f>_xlfn.XLOOKUP($C271,战区信息!$A$1:$A$5,战区信息!$D$1:$D$5)</f>
        <v>一级战区</v>
      </c>
      <c r="L271" t="str">
        <f>_xlfn.XLOOKUP($D271,城市信息!$B$1:$B$14,城市信息!$A$1:$A$14)</f>
        <v>004</v>
      </c>
      <c r="M271" t="str">
        <f>_xlfn.XLOOKUP($D271,城市信息!$B$1:$B$14,城市信息!$C$1:$C$14)</f>
        <v>苏川</v>
      </c>
      <c r="N271" t="str">
        <f>_xlfn.XLOOKUP($D271,城市信息!$B$1:$B$14,城市信息!$D$1:$D$14)</f>
        <v>二线</v>
      </c>
      <c r="O271">
        <f>_xlfn.XLOOKUP($D271,城市信息!$B$1:$B$14,城市信息!$E$1:$E$14)</f>
        <v>9912</v>
      </c>
      <c r="P271" cm="1">
        <f t="array" ref="P271:U271">_xlfn.XLOOKUP(A271&amp;B271,'[1]2.4自动化报表-8月获客数据-非乱码'!$A:$A&amp;'[1]2.4自动化报表-8月获客数据-非乱码'!$B:$B,'[1]2.4自动化报表-8月获客数据-非乱码'!$C:$H)</f>
        <v>1402</v>
      </c>
      <c r="Q271">
        <v>1368</v>
      </c>
      <c r="R271">
        <v>1311</v>
      </c>
      <c r="S271">
        <v>766</v>
      </c>
      <c r="T271">
        <v>467</v>
      </c>
      <c r="U271">
        <v>696</v>
      </c>
    </row>
    <row r="272" spans="1:21" x14ac:dyDescent="0.3">
      <c r="A272" s="1">
        <v>44053</v>
      </c>
      <c r="B272" t="s">
        <v>15</v>
      </c>
      <c r="C272" t="s">
        <v>108</v>
      </c>
      <c r="D272" t="s">
        <v>59</v>
      </c>
      <c r="E272" t="s">
        <v>118</v>
      </c>
      <c r="F272" s="2">
        <v>3130</v>
      </c>
      <c r="G272">
        <v>225</v>
      </c>
      <c r="H272">
        <v>0</v>
      </c>
      <c r="I272" t="str">
        <f>_xlfn.XLOOKUP($C272,战区信息!$A$1:$A$5,战区信息!$B$1:$B$5)</f>
        <v>001</v>
      </c>
      <c r="J272" t="str">
        <f>_xlfn.XLOOKUP($C272,战区信息!$A$1:$A$5,战区信息!$C$1:$C$5)</f>
        <v>江永</v>
      </c>
      <c r="K272" t="str">
        <f>_xlfn.XLOOKUP($C272,战区信息!$A$1:$A$5,战区信息!$D$1:$D$5)</f>
        <v>一级战区</v>
      </c>
      <c r="L272" t="str">
        <f>_xlfn.XLOOKUP($D272,城市信息!$B$1:$B$14,城市信息!$A$1:$A$14)</f>
        <v>004</v>
      </c>
      <c r="M272" t="str">
        <f>_xlfn.XLOOKUP($D272,城市信息!$B$1:$B$14,城市信息!$C$1:$C$14)</f>
        <v>苏川</v>
      </c>
      <c r="N272" t="str">
        <f>_xlfn.XLOOKUP($D272,城市信息!$B$1:$B$14,城市信息!$D$1:$D$14)</f>
        <v>二线</v>
      </c>
      <c r="O272">
        <f>_xlfn.XLOOKUP($D272,城市信息!$B$1:$B$14,城市信息!$E$1:$E$14)</f>
        <v>9912</v>
      </c>
      <c r="P272" cm="1">
        <f t="array" ref="P272:U272">_xlfn.XLOOKUP(A272&amp;B272,'[1]2.4自动化报表-8月获客数据-非乱码'!$A:$A&amp;'[1]2.4自动化报表-8月获客数据-非乱码'!$B:$B,'[1]2.4自动化报表-8月获客数据-非乱码'!$C:$H)</f>
        <v>1661</v>
      </c>
      <c r="Q272">
        <v>1634</v>
      </c>
      <c r="R272">
        <v>1569</v>
      </c>
      <c r="S272">
        <v>963</v>
      </c>
      <c r="T272">
        <v>496</v>
      </c>
      <c r="U272">
        <v>698</v>
      </c>
    </row>
    <row r="273" spans="1:21" x14ac:dyDescent="0.3">
      <c r="A273" s="1">
        <v>44053</v>
      </c>
      <c r="B273" t="s">
        <v>14</v>
      </c>
      <c r="C273" t="s">
        <v>108</v>
      </c>
      <c r="D273" t="s">
        <v>59</v>
      </c>
      <c r="E273" t="s">
        <v>119</v>
      </c>
      <c r="F273" s="2">
        <v>67211</v>
      </c>
      <c r="G273" s="2">
        <v>2972</v>
      </c>
      <c r="H273">
        <v>0</v>
      </c>
      <c r="I273" t="str">
        <f>_xlfn.XLOOKUP($C273,战区信息!$A$1:$A$5,战区信息!$B$1:$B$5)</f>
        <v>001</v>
      </c>
      <c r="J273" t="str">
        <f>_xlfn.XLOOKUP($C273,战区信息!$A$1:$A$5,战区信息!$C$1:$C$5)</f>
        <v>江永</v>
      </c>
      <c r="K273" t="str">
        <f>_xlfn.XLOOKUP($C273,战区信息!$A$1:$A$5,战区信息!$D$1:$D$5)</f>
        <v>一级战区</v>
      </c>
      <c r="L273" t="str">
        <f>_xlfn.XLOOKUP($D273,城市信息!$B$1:$B$14,城市信息!$A$1:$A$14)</f>
        <v>004</v>
      </c>
      <c r="M273" t="str">
        <f>_xlfn.XLOOKUP($D273,城市信息!$B$1:$B$14,城市信息!$C$1:$C$14)</f>
        <v>苏川</v>
      </c>
      <c r="N273" t="str">
        <f>_xlfn.XLOOKUP($D273,城市信息!$B$1:$B$14,城市信息!$D$1:$D$14)</f>
        <v>二线</v>
      </c>
      <c r="O273">
        <f>_xlfn.XLOOKUP($D273,城市信息!$B$1:$B$14,城市信息!$E$1:$E$14)</f>
        <v>9912</v>
      </c>
      <c r="P273" cm="1">
        <f t="array" ref="P273:U273">_xlfn.XLOOKUP(A273&amp;B273,'[1]2.4自动化报表-8月获客数据-非乱码'!$A:$A&amp;'[1]2.4自动化报表-8月获客数据-非乱码'!$B:$B,'[1]2.4自动化报表-8月获客数据-非乱码'!$C:$H)</f>
        <v>1638</v>
      </c>
      <c r="Q273">
        <v>1577</v>
      </c>
      <c r="R273">
        <v>1516</v>
      </c>
      <c r="S273">
        <v>940</v>
      </c>
      <c r="T273">
        <v>533</v>
      </c>
      <c r="U273">
        <v>700</v>
      </c>
    </row>
    <row r="274" spans="1:21" x14ac:dyDescent="0.3">
      <c r="A274" s="1">
        <v>44053</v>
      </c>
      <c r="B274" t="s">
        <v>13</v>
      </c>
      <c r="C274" t="s">
        <v>108</v>
      </c>
      <c r="D274" t="s">
        <v>60</v>
      </c>
      <c r="E274" t="s">
        <v>120</v>
      </c>
      <c r="F274" s="2">
        <v>89911</v>
      </c>
      <c r="G274" s="2">
        <v>4069</v>
      </c>
      <c r="H274">
        <v>0</v>
      </c>
      <c r="I274" t="str">
        <f>_xlfn.XLOOKUP($C274,战区信息!$A$1:$A$5,战区信息!$B$1:$B$5)</f>
        <v>001</v>
      </c>
      <c r="J274" t="str">
        <f>_xlfn.XLOOKUP($C274,战区信息!$A$1:$A$5,战区信息!$C$1:$C$5)</f>
        <v>江永</v>
      </c>
      <c r="K274" t="str">
        <f>_xlfn.XLOOKUP($C274,战区信息!$A$1:$A$5,战区信息!$D$1:$D$5)</f>
        <v>一级战区</v>
      </c>
      <c r="L274" t="str">
        <f>_xlfn.XLOOKUP($D274,城市信息!$B$1:$B$14,城市信息!$A$1:$A$14)</f>
        <v>005</v>
      </c>
      <c r="M274" t="str">
        <f>_xlfn.XLOOKUP($D274,城市信息!$B$1:$B$14,城市信息!$C$1:$C$14)</f>
        <v>侯阳冰</v>
      </c>
      <c r="N274" t="str">
        <f>_xlfn.XLOOKUP($D274,城市信息!$B$1:$B$14,城市信息!$D$1:$D$14)</f>
        <v>二线</v>
      </c>
      <c r="O274">
        <f>_xlfn.XLOOKUP($D274,城市信息!$B$1:$B$14,城市信息!$E$1:$E$14)</f>
        <v>8694</v>
      </c>
      <c r="P274" cm="1">
        <f t="array" ref="P274:U274">_xlfn.XLOOKUP(A274&amp;B274,'[1]2.4自动化报表-8月获客数据-非乱码'!$A:$A&amp;'[1]2.4自动化报表-8月获客数据-非乱码'!$B:$B,'[1]2.4自动化报表-8月获客数据-非乱码'!$C:$H)</f>
        <v>5711</v>
      </c>
      <c r="Q274">
        <v>5577</v>
      </c>
      <c r="R274">
        <v>5315</v>
      </c>
      <c r="S274">
        <v>3317</v>
      </c>
      <c r="T274">
        <v>1631</v>
      </c>
      <c r="U274">
        <v>696</v>
      </c>
    </row>
    <row r="275" spans="1:21" x14ac:dyDescent="0.3">
      <c r="A275" s="1">
        <v>44053</v>
      </c>
      <c r="B275" t="s">
        <v>12</v>
      </c>
      <c r="C275" t="s">
        <v>108</v>
      </c>
      <c r="D275" t="s">
        <v>60</v>
      </c>
      <c r="E275" t="s">
        <v>121</v>
      </c>
      <c r="F275" s="2">
        <v>24102</v>
      </c>
      <c r="G275" s="2">
        <v>1260</v>
      </c>
      <c r="H275">
        <v>0</v>
      </c>
      <c r="I275" t="str">
        <f>_xlfn.XLOOKUP($C275,战区信息!$A$1:$A$5,战区信息!$B$1:$B$5)</f>
        <v>001</v>
      </c>
      <c r="J275" t="str">
        <f>_xlfn.XLOOKUP($C275,战区信息!$A$1:$A$5,战区信息!$C$1:$C$5)</f>
        <v>江永</v>
      </c>
      <c r="K275" t="str">
        <f>_xlfn.XLOOKUP($C275,战区信息!$A$1:$A$5,战区信息!$D$1:$D$5)</f>
        <v>一级战区</v>
      </c>
      <c r="L275" t="str">
        <f>_xlfn.XLOOKUP($D275,城市信息!$B$1:$B$14,城市信息!$A$1:$A$14)</f>
        <v>005</v>
      </c>
      <c r="M275" t="str">
        <f>_xlfn.XLOOKUP($D275,城市信息!$B$1:$B$14,城市信息!$C$1:$C$14)</f>
        <v>侯阳冰</v>
      </c>
      <c r="N275" t="str">
        <f>_xlfn.XLOOKUP($D275,城市信息!$B$1:$B$14,城市信息!$D$1:$D$14)</f>
        <v>二线</v>
      </c>
      <c r="O275">
        <f>_xlfn.XLOOKUP($D275,城市信息!$B$1:$B$14,城市信息!$E$1:$E$14)</f>
        <v>8694</v>
      </c>
      <c r="P275" cm="1">
        <f t="array" ref="P275:U275">_xlfn.XLOOKUP(A275&amp;B275,'[1]2.4自动化报表-8月获客数据-非乱码'!$A:$A&amp;'[1]2.4自动化报表-8月获客数据-非乱码'!$B:$B,'[1]2.4自动化报表-8月获客数据-非乱码'!$C:$H)</f>
        <v>954</v>
      </c>
      <c r="Q275">
        <v>938</v>
      </c>
      <c r="R275">
        <v>880</v>
      </c>
      <c r="S275">
        <v>561</v>
      </c>
      <c r="T275">
        <v>273</v>
      </c>
      <c r="U275">
        <v>697</v>
      </c>
    </row>
    <row r="276" spans="1:21" x14ac:dyDescent="0.3">
      <c r="A276" s="1">
        <v>44053</v>
      </c>
      <c r="B276" t="s">
        <v>11</v>
      </c>
      <c r="C276" t="s">
        <v>108</v>
      </c>
      <c r="D276" t="s">
        <v>58</v>
      </c>
      <c r="E276" t="s">
        <v>122</v>
      </c>
      <c r="F276" s="2">
        <v>49108</v>
      </c>
      <c r="G276" s="2">
        <v>2343</v>
      </c>
      <c r="H276">
        <v>0</v>
      </c>
      <c r="I276" t="str">
        <f>_xlfn.XLOOKUP($C276,战区信息!$A$1:$A$5,战区信息!$B$1:$B$5)</f>
        <v>001</v>
      </c>
      <c r="J276" t="str">
        <f>_xlfn.XLOOKUP($C276,战区信息!$A$1:$A$5,战区信息!$C$1:$C$5)</f>
        <v>江永</v>
      </c>
      <c r="K276" t="str">
        <f>_xlfn.XLOOKUP($C276,战区信息!$A$1:$A$5,战区信息!$D$1:$D$5)</f>
        <v>一级战区</v>
      </c>
      <c r="L276" t="str">
        <f>_xlfn.XLOOKUP($D276,城市信息!$B$1:$B$14,城市信息!$A$1:$A$14)</f>
        <v>003</v>
      </c>
      <c r="M276" t="str">
        <f>_xlfn.XLOOKUP($D276,城市信息!$B$1:$B$14,城市信息!$C$1:$C$14)</f>
        <v>杜光亮</v>
      </c>
      <c r="N276" t="str">
        <f>_xlfn.XLOOKUP($D276,城市信息!$B$1:$B$14,城市信息!$D$1:$D$14)</f>
        <v>二线</v>
      </c>
      <c r="O276">
        <f>_xlfn.XLOOKUP($D276,城市信息!$B$1:$B$14,城市信息!$E$1:$E$14)</f>
        <v>10499</v>
      </c>
      <c r="P276" cm="1">
        <f t="array" ref="P276:U276">_xlfn.XLOOKUP(A276&amp;B276,'[1]2.4自动化报表-8月获客数据-非乱码'!$A:$A&amp;'[1]2.4自动化报表-8月获客数据-非乱码'!$B:$B,'[1]2.4自动化报表-8月获客数据-非乱码'!$C:$H)</f>
        <v>2686</v>
      </c>
      <c r="Q276">
        <v>2599</v>
      </c>
      <c r="R276">
        <v>2462</v>
      </c>
      <c r="S276">
        <v>1461</v>
      </c>
      <c r="T276">
        <v>708</v>
      </c>
      <c r="U276">
        <v>699</v>
      </c>
    </row>
    <row r="277" spans="1:21" x14ac:dyDescent="0.3">
      <c r="A277" s="1">
        <v>44053</v>
      </c>
      <c r="B277" t="s">
        <v>10</v>
      </c>
      <c r="C277" t="s">
        <v>108</v>
      </c>
      <c r="D277" t="s">
        <v>58</v>
      </c>
      <c r="E277" t="s">
        <v>123</v>
      </c>
      <c r="F277" s="2">
        <v>29675</v>
      </c>
      <c r="G277" s="2">
        <v>1481</v>
      </c>
      <c r="H277">
        <v>0</v>
      </c>
      <c r="I277" t="str">
        <f>_xlfn.XLOOKUP($C277,战区信息!$A$1:$A$5,战区信息!$B$1:$B$5)</f>
        <v>001</v>
      </c>
      <c r="J277" t="str">
        <f>_xlfn.XLOOKUP($C277,战区信息!$A$1:$A$5,战区信息!$C$1:$C$5)</f>
        <v>江永</v>
      </c>
      <c r="K277" t="str">
        <f>_xlfn.XLOOKUP($C277,战区信息!$A$1:$A$5,战区信息!$D$1:$D$5)</f>
        <v>一级战区</v>
      </c>
      <c r="L277" t="str">
        <f>_xlfn.XLOOKUP($D277,城市信息!$B$1:$B$14,城市信息!$A$1:$A$14)</f>
        <v>003</v>
      </c>
      <c r="M277" t="str">
        <f>_xlfn.XLOOKUP($D277,城市信息!$B$1:$B$14,城市信息!$C$1:$C$14)</f>
        <v>杜光亮</v>
      </c>
      <c r="N277" t="str">
        <f>_xlfn.XLOOKUP($D277,城市信息!$B$1:$B$14,城市信息!$D$1:$D$14)</f>
        <v>二线</v>
      </c>
      <c r="O277">
        <f>_xlfn.XLOOKUP($D277,城市信息!$B$1:$B$14,城市信息!$E$1:$E$14)</f>
        <v>10499</v>
      </c>
      <c r="P277" cm="1">
        <f t="array" ref="P277:U277">_xlfn.XLOOKUP(A277&amp;B277,'[1]2.4自动化报表-8月获客数据-非乱码'!$A:$A&amp;'[1]2.4自动化报表-8月获客数据-非乱码'!$B:$B,'[1]2.4自动化报表-8月获客数据-非乱码'!$C:$H)</f>
        <v>1773</v>
      </c>
      <c r="Q277">
        <v>1738</v>
      </c>
      <c r="R277">
        <v>1690</v>
      </c>
      <c r="S277">
        <v>1017</v>
      </c>
      <c r="T277">
        <v>614</v>
      </c>
      <c r="U277">
        <v>701</v>
      </c>
    </row>
    <row r="278" spans="1:21" x14ac:dyDescent="0.3">
      <c r="A278" s="1">
        <v>44053</v>
      </c>
      <c r="B278" t="s">
        <v>9</v>
      </c>
      <c r="C278" t="s">
        <v>108</v>
      </c>
      <c r="D278" t="s">
        <v>58</v>
      </c>
      <c r="E278" t="s">
        <v>124</v>
      </c>
      <c r="F278" s="2">
        <v>68089</v>
      </c>
      <c r="G278" s="2">
        <v>3893</v>
      </c>
      <c r="H278">
        <v>629</v>
      </c>
      <c r="I278" t="str">
        <f>_xlfn.XLOOKUP($C278,战区信息!$A$1:$A$5,战区信息!$B$1:$B$5)</f>
        <v>001</v>
      </c>
      <c r="J278" t="str">
        <f>_xlfn.XLOOKUP($C278,战区信息!$A$1:$A$5,战区信息!$C$1:$C$5)</f>
        <v>江永</v>
      </c>
      <c r="K278" t="str">
        <f>_xlfn.XLOOKUP($C278,战区信息!$A$1:$A$5,战区信息!$D$1:$D$5)</f>
        <v>一级战区</v>
      </c>
      <c r="L278" t="str">
        <f>_xlfn.XLOOKUP($D278,城市信息!$B$1:$B$14,城市信息!$A$1:$A$14)</f>
        <v>003</v>
      </c>
      <c r="M278" t="str">
        <f>_xlfn.XLOOKUP($D278,城市信息!$B$1:$B$14,城市信息!$C$1:$C$14)</f>
        <v>杜光亮</v>
      </c>
      <c r="N278" t="str">
        <f>_xlfn.XLOOKUP($D278,城市信息!$B$1:$B$14,城市信息!$D$1:$D$14)</f>
        <v>二线</v>
      </c>
      <c r="O278">
        <f>_xlfn.XLOOKUP($D278,城市信息!$B$1:$B$14,城市信息!$E$1:$E$14)</f>
        <v>10499</v>
      </c>
      <c r="P278" cm="1">
        <f t="array" ref="P278:U278">_xlfn.XLOOKUP(A278&amp;B278,'[1]2.4自动化报表-8月获客数据-非乱码'!$A:$A&amp;'[1]2.4自动化报表-8月获客数据-非乱码'!$B:$B,'[1]2.4自动化报表-8月获客数据-非乱码'!$C:$H)</f>
        <v>3643</v>
      </c>
      <c r="Q278">
        <v>3572</v>
      </c>
      <c r="R278">
        <v>3464</v>
      </c>
      <c r="S278">
        <v>1936</v>
      </c>
      <c r="T278">
        <v>1151</v>
      </c>
      <c r="U278">
        <v>694</v>
      </c>
    </row>
    <row r="279" spans="1:21" x14ac:dyDescent="0.3">
      <c r="A279" s="1">
        <v>44053</v>
      </c>
      <c r="B279" t="s">
        <v>8</v>
      </c>
      <c r="C279" t="s">
        <v>125</v>
      </c>
      <c r="D279" t="s">
        <v>66</v>
      </c>
      <c r="E279" t="s">
        <v>126</v>
      </c>
      <c r="F279" s="2">
        <v>101359</v>
      </c>
      <c r="G279" s="2">
        <v>4348</v>
      </c>
      <c r="H279">
        <v>0</v>
      </c>
      <c r="I279" t="str">
        <f>_xlfn.XLOOKUP($C279,战区信息!$A$1:$A$5,战区信息!$B$1:$B$5)</f>
        <v>004</v>
      </c>
      <c r="J279" t="str">
        <f>_xlfn.XLOOKUP($C279,战区信息!$A$1:$A$5,战区信息!$C$1:$C$5)</f>
        <v>沈乐欣</v>
      </c>
      <c r="K279" t="str">
        <f>_xlfn.XLOOKUP($C279,战区信息!$A$1:$A$5,战区信息!$D$1:$D$5)</f>
        <v>三级战区</v>
      </c>
      <c r="L279" t="str">
        <f>_xlfn.XLOOKUP($D279,城市信息!$B$1:$B$14,城市信息!$A$1:$A$14)</f>
        <v>011</v>
      </c>
      <c r="M279" t="str">
        <f>_xlfn.XLOOKUP($D279,城市信息!$B$1:$B$14,城市信息!$C$1:$C$14)</f>
        <v>冯谦</v>
      </c>
      <c r="N279" t="str">
        <f>_xlfn.XLOOKUP($D279,城市信息!$B$1:$B$14,城市信息!$D$1:$D$14)</f>
        <v>一线</v>
      </c>
      <c r="O279">
        <f>_xlfn.XLOOKUP($D279,城市信息!$B$1:$B$14,城市信息!$E$1:$E$14)</f>
        <v>8244</v>
      </c>
      <c r="P279" cm="1">
        <f t="array" ref="P279:U279">_xlfn.XLOOKUP(A279&amp;B279,'[1]2.4自动化报表-8月获客数据-非乱码'!$A:$A&amp;'[1]2.4自动化报表-8月获客数据-非乱码'!$B:$B,'[1]2.4自动化报表-8月获客数据-非乱码'!$C:$H)</f>
        <v>1763</v>
      </c>
      <c r="Q279">
        <v>1745</v>
      </c>
      <c r="R279">
        <v>1698</v>
      </c>
      <c r="S279">
        <v>925</v>
      </c>
      <c r="T279">
        <v>611</v>
      </c>
      <c r="U279">
        <v>685</v>
      </c>
    </row>
    <row r="280" spans="1:21" x14ac:dyDescent="0.3">
      <c r="A280" s="1">
        <v>44053</v>
      </c>
      <c r="B280" t="s">
        <v>7</v>
      </c>
      <c r="C280" t="s">
        <v>125</v>
      </c>
      <c r="D280" t="s">
        <v>62</v>
      </c>
      <c r="E280" t="s">
        <v>127</v>
      </c>
      <c r="F280" s="2">
        <v>10000</v>
      </c>
      <c r="G280">
        <v>416</v>
      </c>
      <c r="H280">
        <v>0</v>
      </c>
      <c r="I280" t="str">
        <f>_xlfn.XLOOKUP($C280,战区信息!$A$1:$A$5,战区信息!$B$1:$B$5)</f>
        <v>004</v>
      </c>
      <c r="J280" t="str">
        <f>_xlfn.XLOOKUP($C280,战区信息!$A$1:$A$5,战区信息!$C$1:$C$5)</f>
        <v>沈乐欣</v>
      </c>
      <c r="K280" t="str">
        <f>_xlfn.XLOOKUP($C280,战区信息!$A$1:$A$5,战区信息!$D$1:$D$5)</f>
        <v>三级战区</v>
      </c>
      <c r="L280" t="str">
        <f>_xlfn.XLOOKUP($D280,城市信息!$B$1:$B$14,城市信息!$A$1:$A$14)</f>
        <v>007</v>
      </c>
      <c r="M280" t="str">
        <f>_xlfn.XLOOKUP($D280,城市信息!$B$1:$B$14,城市信息!$C$1:$C$14)</f>
        <v>范俊发</v>
      </c>
      <c r="N280" t="str">
        <f>_xlfn.XLOOKUP($D280,城市信息!$B$1:$B$14,城市信息!$D$1:$D$14)</f>
        <v>一线</v>
      </c>
      <c r="O280">
        <f>_xlfn.XLOOKUP($D280,城市信息!$B$1:$B$14,城市信息!$E$1:$E$14)</f>
        <v>12358</v>
      </c>
      <c r="P280" cm="1">
        <f t="array" ref="P280:U280">_xlfn.XLOOKUP(A280&amp;B280,'[1]2.4自动化报表-8月获客数据-非乱码'!$A:$A&amp;'[1]2.4自动化报表-8月获客数据-非乱码'!$B:$B,'[1]2.4自动化报表-8月获客数据-非乱码'!$C:$H)</f>
        <v>95</v>
      </c>
      <c r="Q280">
        <v>91</v>
      </c>
      <c r="R280">
        <v>85</v>
      </c>
      <c r="S280">
        <v>45</v>
      </c>
      <c r="T280">
        <v>25</v>
      </c>
      <c r="U280">
        <v>686</v>
      </c>
    </row>
    <row r="281" spans="1:21" x14ac:dyDescent="0.3">
      <c r="A281" s="1">
        <v>44053</v>
      </c>
      <c r="B281" t="s">
        <v>6</v>
      </c>
      <c r="C281" t="s">
        <v>125</v>
      </c>
      <c r="D281" t="s">
        <v>62</v>
      </c>
      <c r="E281" t="s">
        <v>128</v>
      </c>
      <c r="F281" s="2">
        <v>4785</v>
      </c>
      <c r="G281">
        <v>227</v>
      </c>
      <c r="H281">
        <v>0</v>
      </c>
      <c r="I281" t="str">
        <f>_xlfn.XLOOKUP($C281,战区信息!$A$1:$A$5,战区信息!$B$1:$B$5)</f>
        <v>004</v>
      </c>
      <c r="J281" t="str">
        <f>_xlfn.XLOOKUP($C281,战区信息!$A$1:$A$5,战区信息!$C$1:$C$5)</f>
        <v>沈乐欣</v>
      </c>
      <c r="K281" t="str">
        <f>_xlfn.XLOOKUP($C281,战区信息!$A$1:$A$5,战区信息!$D$1:$D$5)</f>
        <v>三级战区</v>
      </c>
      <c r="L281" t="str">
        <f>_xlfn.XLOOKUP($D281,城市信息!$B$1:$B$14,城市信息!$A$1:$A$14)</f>
        <v>007</v>
      </c>
      <c r="M281" t="str">
        <f>_xlfn.XLOOKUP($D281,城市信息!$B$1:$B$14,城市信息!$C$1:$C$14)</f>
        <v>范俊发</v>
      </c>
      <c r="N281" t="str">
        <f>_xlfn.XLOOKUP($D281,城市信息!$B$1:$B$14,城市信息!$D$1:$D$14)</f>
        <v>一线</v>
      </c>
      <c r="O281">
        <f>_xlfn.XLOOKUP($D281,城市信息!$B$1:$B$14,城市信息!$E$1:$E$14)</f>
        <v>12358</v>
      </c>
      <c r="P281" cm="1">
        <f t="array" ref="P281:U281">_xlfn.XLOOKUP(A281&amp;B281,'[1]2.4自动化报表-8月获客数据-非乱码'!$A:$A&amp;'[1]2.4自动化报表-8月获客数据-非乱码'!$B:$B,'[1]2.4自动化报表-8月获客数据-非乱码'!$C:$H)</f>
        <v>1721</v>
      </c>
      <c r="Q281">
        <v>1698</v>
      </c>
      <c r="R281">
        <v>1663</v>
      </c>
      <c r="S281">
        <v>1003</v>
      </c>
      <c r="T281">
        <v>582</v>
      </c>
      <c r="U281">
        <v>688</v>
      </c>
    </row>
    <row r="282" spans="1:21" x14ac:dyDescent="0.3">
      <c r="A282" s="1">
        <v>44053</v>
      </c>
      <c r="B282" t="s">
        <v>5</v>
      </c>
      <c r="C282" t="s">
        <v>125</v>
      </c>
      <c r="D282" t="s">
        <v>62</v>
      </c>
      <c r="E282" t="s">
        <v>129</v>
      </c>
      <c r="F282" s="2">
        <v>21275</v>
      </c>
      <c r="G282">
        <v>830</v>
      </c>
      <c r="H282">
        <v>0</v>
      </c>
      <c r="I282" t="str">
        <f>_xlfn.XLOOKUP($C282,战区信息!$A$1:$A$5,战区信息!$B$1:$B$5)</f>
        <v>004</v>
      </c>
      <c r="J282" t="str">
        <f>_xlfn.XLOOKUP($C282,战区信息!$A$1:$A$5,战区信息!$C$1:$C$5)</f>
        <v>沈乐欣</v>
      </c>
      <c r="K282" t="str">
        <f>_xlfn.XLOOKUP($C282,战区信息!$A$1:$A$5,战区信息!$D$1:$D$5)</f>
        <v>三级战区</v>
      </c>
      <c r="L282" t="str">
        <f>_xlfn.XLOOKUP($D282,城市信息!$B$1:$B$14,城市信息!$A$1:$A$14)</f>
        <v>007</v>
      </c>
      <c r="M282" t="str">
        <f>_xlfn.XLOOKUP($D282,城市信息!$B$1:$B$14,城市信息!$C$1:$C$14)</f>
        <v>范俊发</v>
      </c>
      <c r="N282" t="str">
        <f>_xlfn.XLOOKUP($D282,城市信息!$B$1:$B$14,城市信息!$D$1:$D$14)</f>
        <v>一线</v>
      </c>
      <c r="O282">
        <f>_xlfn.XLOOKUP($D282,城市信息!$B$1:$B$14,城市信息!$E$1:$E$14)</f>
        <v>12358</v>
      </c>
      <c r="P282" cm="1">
        <f t="array" ref="P282:U282">_xlfn.XLOOKUP(A282&amp;B282,'[1]2.4自动化报表-8月获客数据-非乱码'!$A:$A&amp;'[1]2.4自动化报表-8月获客数据-非乱码'!$B:$B,'[1]2.4自动化报表-8月获客数据-非乱码'!$C:$H)</f>
        <v>2391</v>
      </c>
      <c r="Q282">
        <v>2336</v>
      </c>
      <c r="R282">
        <v>2237</v>
      </c>
      <c r="S282">
        <v>1422</v>
      </c>
      <c r="T282">
        <v>749</v>
      </c>
      <c r="U282">
        <v>689</v>
      </c>
    </row>
    <row r="283" spans="1:21" x14ac:dyDescent="0.3">
      <c r="A283" s="1">
        <v>44054</v>
      </c>
      <c r="B283" t="s">
        <v>32</v>
      </c>
      <c r="C283" t="s">
        <v>97</v>
      </c>
      <c r="D283" t="s">
        <v>67</v>
      </c>
      <c r="E283" t="s">
        <v>98</v>
      </c>
      <c r="F283" s="2">
        <v>102549</v>
      </c>
      <c r="G283" s="2">
        <v>5839</v>
      </c>
      <c r="H283">
        <v>0</v>
      </c>
      <c r="I283" t="str">
        <f>_xlfn.XLOOKUP($C283,战区信息!$A$1:$A$5,战区信息!$B$1:$B$5)</f>
        <v>003</v>
      </c>
      <c r="J283" t="str">
        <f>_xlfn.XLOOKUP($C283,战区信息!$A$1:$A$5,战区信息!$C$1:$C$5)</f>
        <v>田楠</v>
      </c>
      <c r="K283" t="str">
        <f>_xlfn.XLOOKUP($C283,战区信息!$A$1:$A$5,战区信息!$D$1:$D$5)</f>
        <v>二级战区</v>
      </c>
      <c r="L283" t="str">
        <f>_xlfn.XLOOKUP($D283,城市信息!$B$1:$B$14,城市信息!$A$1:$A$14)</f>
        <v>012</v>
      </c>
      <c r="M283" t="str">
        <f>_xlfn.XLOOKUP($D283,城市信息!$B$1:$B$14,城市信息!$C$1:$C$14)</f>
        <v>于子默</v>
      </c>
      <c r="N283" t="str">
        <f>_xlfn.XLOOKUP($D283,城市信息!$B$1:$B$14,城市信息!$D$1:$D$14)</f>
        <v>二线</v>
      </c>
      <c r="O283">
        <f>_xlfn.XLOOKUP($D283,城市信息!$B$1:$B$14,城市信息!$E$1:$E$14)</f>
        <v>9713</v>
      </c>
      <c r="P283" cm="1">
        <f t="array" ref="P283:U283">_xlfn.XLOOKUP(A283&amp;B283,'[1]2.4自动化报表-8月获客数据-非乱码'!$A:$A&amp;'[1]2.4自动化报表-8月获客数据-非乱码'!$B:$B,'[1]2.4自动化报表-8月获客数据-非乱码'!$C:$H)</f>
        <v>1763</v>
      </c>
      <c r="Q283">
        <v>1727</v>
      </c>
      <c r="R283">
        <v>1695</v>
      </c>
      <c r="S283">
        <v>1051</v>
      </c>
      <c r="T283">
        <v>602</v>
      </c>
      <c r="U283">
        <v>691</v>
      </c>
    </row>
    <row r="284" spans="1:21" x14ac:dyDescent="0.3">
      <c r="A284" s="1">
        <v>44054</v>
      </c>
      <c r="B284" t="s">
        <v>31</v>
      </c>
      <c r="C284" t="s">
        <v>97</v>
      </c>
      <c r="D284" t="s">
        <v>65</v>
      </c>
      <c r="E284" t="s">
        <v>99</v>
      </c>
      <c r="F284" s="2">
        <v>107376</v>
      </c>
      <c r="G284" s="2">
        <v>4833</v>
      </c>
      <c r="H284">
        <v>0</v>
      </c>
      <c r="I284" t="str">
        <f>_xlfn.XLOOKUP($C284,战区信息!$A$1:$A$5,战区信息!$B$1:$B$5)</f>
        <v>003</v>
      </c>
      <c r="J284" t="str">
        <f>_xlfn.XLOOKUP($C284,战区信息!$A$1:$A$5,战区信息!$C$1:$C$5)</f>
        <v>田楠</v>
      </c>
      <c r="K284" t="str">
        <f>_xlfn.XLOOKUP($C284,战区信息!$A$1:$A$5,战区信息!$D$1:$D$5)</f>
        <v>二级战区</v>
      </c>
      <c r="L284" t="str">
        <f>_xlfn.XLOOKUP($D284,城市信息!$B$1:$B$14,城市信息!$A$1:$A$14)</f>
        <v>010</v>
      </c>
      <c r="M284" t="str">
        <f>_xlfn.XLOOKUP($D284,城市信息!$B$1:$B$14,城市信息!$C$1:$C$14)</f>
        <v>黄鹏天</v>
      </c>
      <c r="N284" t="str">
        <f>_xlfn.XLOOKUP($D284,城市信息!$B$1:$B$14,城市信息!$D$1:$D$14)</f>
        <v>二线</v>
      </c>
      <c r="O284">
        <f>_xlfn.XLOOKUP($D284,城市信息!$B$1:$B$14,城市信息!$E$1:$E$14)</f>
        <v>8295</v>
      </c>
      <c r="P284" cm="1">
        <f t="array" ref="P284:U284">_xlfn.XLOOKUP(A284&amp;B284,'[1]2.4自动化报表-8月获客数据-非乱码'!$A:$A&amp;'[1]2.4自动化报表-8月获客数据-非乱码'!$B:$B,'[1]2.4自动化报表-8月获客数据-非乱码'!$C:$H)</f>
        <v>3717</v>
      </c>
      <c r="Q284">
        <v>3652</v>
      </c>
      <c r="R284">
        <v>3534</v>
      </c>
      <c r="S284">
        <v>2135</v>
      </c>
      <c r="T284">
        <v>1196</v>
      </c>
      <c r="U284">
        <v>691</v>
      </c>
    </row>
    <row r="285" spans="1:21" x14ac:dyDescent="0.3">
      <c r="A285" s="1">
        <v>44054</v>
      </c>
      <c r="B285" t="s">
        <v>30</v>
      </c>
      <c r="C285" t="s">
        <v>97</v>
      </c>
      <c r="D285" t="s">
        <v>61</v>
      </c>
      <c r="E285" t="s">
        <v>100</v>
      </c>
      <c r="F285" s="2">
        <v>94921</v>
      </c>
      <c r="G285" s="2">
        <v>4710</v>
      </c>
      <c r="H285">
        <v>0</v>
      </c>
      <c r="I285" t="str">
        <f>_xlfn.XLOOKUP($C285,战区信息!$A$1:$A$5,战区信息!$B$1:$B$5)</f>
        <v>003</v>
      </c>
      <c r="J285" t="str">
        <f>_xlfn.XLOOKUP($C285,战区信息!$A$1:$A$5,战区信息!$C$1:$C$5)</f>
        <v>田楠</v>
      </c>
      <c r="K285" t="str">
        <f>_xlfn.XLOOKUP($C285,战区信息!$A$1:$A$5,战区信息!$D$1:$D$5)</f>
        <v>二级战区</v>
      </c>
      <c r="L285" t="str">
        <f>_xlfn.XLOOKUP($D285,城市信息!$B$1:$B$14,城市信息!$A$1:$A$14)</f>
        <v>006</v>
      </c>
      <c r="M285" t="str">
        <f>_xlfn.XLOOKUP($D285,城市信息!$B$1:$B$14,城市信息!$C$1:$C$14)</f>
        <v>王刚</v>
      </c>
      <c r="N285" t="str">
        <f>_xlfn.XLOOKUP($D285,城市信息!$B$1:$B$14,城市信息!$D$1:$D$14)</f>
        <v>二线</v>
      </c>
      <c r="O285">
        <f>_xlfn.XLOOKUP($D285,城市信息!$B$1:$B$14,城市信息!$E$1:$E$14)</f>
        <v>9107</v>
      </c>
      <c r="P285" cm="1">
        <f t="array" ref="P285:U285">_xlfn.XLOOKUP(A285&amp;B285,'[1]2.4自动化报表-8月获客数据-非乱码'!$A:$A&amp;'[1]2.4自动化报表-8月获客数据-非乱码'!$B:$B,'[1]2.4自动化报表-8月获客数据-非乱码'!$C:$H)</f>
        <v>3100</v>
      </c>
      <c r="Q285">
        <v>3035</v>
      </c>
      <c r="R285">
        <v>2912</v>
      </c>
      <c r="S285">
        <v>1755</v>
      </c>
      <c r="T285">
        <v>907</v>
      </c>
      <c r="U285">
        <v>697</v>
      </c>
    </row>
    <row r="286" spans="1:21" x14ac:dyDescent="0.3">
      <c r="A286" s="1">
        <v>44054</v>
      </c>
      <c r="B286" t="s">
        <v>29</v>
      </c>
      <c r="C286" t="s">
        <v>97</v>
      </c>
      <c r="D286" t="s">
        <v>64</v>
      </c>
      <c r="E286" t="s">
        <v>101</v>
      </c>
      <c r="F286" s="2">
        <v>16157</v>
      </c>
      <c r="G286">
        <v>788</v>
      </c>
      <c r="H286">
        <v>0</v>
      </c>
      <c r="I286" t="str">
        <f>_xlfn.XLOOKUP($C286,战区信息!$A$1:$A$5,战区信息!$B$1:$B$5)</f>
        <v>003</v>
      </c>
      <c r="J286" t="str">
        <f>_xlfn.XLOOKUP($C286,战区信息!$A$1:$A$5,战区信息!$C$1:$C$5)</f>
        <v>田楠</v>
      </c>
      <c r="K286" t="str">
        <f>_xlfn.XLOOKUP($C286,战区信息!$A$1:$A$5,战区信息!$D$1:$D$5)</f>
        <v>二级战区</v>
      </c>
      <c r="L286" t="str">
        <f>_xlfn.XLOOKUP($D286,城市信息!$B$1:$B$14,城市信息!$A$1:$A$14)</f>
        <v>009</v>
      </c>
      <c r="M286" t="str">
        <f>_xlfn.XLOOKUP($D286,城市信息!$B$1:$B$14,城市信息!$C$1:$C$14)</f>
        <v>叶超</v>
      </c>
      <c r="N286" t="str">
        <f>_xlfn.XLOOKUP($D286,城市信息!$B$1:$B$14,城市信息!$D$1:$D$14)</f>
        <v>二线</v>
      </c>
      <c r="O286">
        <f>_xlfn.XLOOKUP($D286,城市信息!$B$1:$B$14,城市信息!$E$1:$E$14)</f>
        <v>9016</v>
      </c>
      <c r="P286" cm="1">
        <f t="array" ref="P286:U286">_xlfn.XLOOKUP(A286&amp;B286,'[1]2.4自动化报表-8月获客数据-非乱码'!$A:$A&amp;'[1]2.4自动化报表-8月获客数据-非乱码'!$B:$B,'[1]2.4自动化报表-8月获客数据-非乱码'!$C:$H)</f>
        <v>1047</v>
      </c>
      <c r="Q286">
        <v>1036</v>
      </c>
      <c r="R286">
        <v>1004</v>
      </c>
      <c r="S286">
        <v>659</v>
      </c>
      <c r="T286">
        <v>391</v>
      </c>
      <c r="U286">
        <v>687</v>
      </c>
    </row>
    <row r="287" spans="1:21" x14ac:dyDescent="0.3">
      <c r="A287" s="1">
        <v>44054</v>
      </c>
      <c r="B287" t="s">
        <v>28</v>
      </c>
      <c r="C287" t="s">
        <v>97</v>
      </c>
      <c r="D287" t="s">
        <v>64</v>
      </c>
      <c r="E287" t="s">
        <v>102</v>
      </c>
      <c r="F287" s="2">
        <v>1000</v>
      </c>
      <c r="G287">
        <v>65</v>
      </c>
      <c r="H287">
        <v>0</v>
      </c>
      <c r="I287" t="str">
        <f>_xlfn.XLOOKUP($C287,战区信息!$A$1:$A$5,战区信息!$B$1:$B$5)</f>
        <v>003</v>
      </c>
      <c r="J287" t="str">
        <f>_xlfn.XLOOKUP($C287,战区信息!$A$1:$A$5,战区信息!$C$1:$C$5)</f>
        <v>田楠</v>
      </c>
      <c r="K287" t="str">
        <f>_xlfn.XLOOKUP($C287,战区信息!$A$1:$A$5,战区信息!$D$1:$D$5)</f>
        <v>二级战区</v>
      </c>
      <c r="L287" t="str">
        <f>_xlfn.XLOOKUP($D287,城市信息!$B$1:$B$14,城市信息!$A$1:$A$14)</f>
        <v>009</v>
      </c>
      <c r="M287" t="str">
        <f>_xlfn.XLOOKUP($D287,城市信息!$B$1:$B$14,城市信息!$C$1:$C$14)</f>
        <v>叶超</v>
      </c>
      <c r="N287" t="str">
        <f>_xlfn.XLOOKUP($D287,城市信息!$B$1:$B$14,城市信息!$D$1:$D$14)</f>
        <v>二线</v>
      </c>
      <c r="O287">
        <f>_xlfn.XLOOKUP($D287,城市信息!$B$1:$B$14,城市信息!$E$1:$E$14)</f>
        <v>9016</v>
      </c>
      <c r="P287" cm="1">
        <f t="array" ref="P287:U287">_xlfn.XLOOKUP(A287&amp;B287,'[1]2.4自动化报表-8月获客数据-非乱码'!$A:$A&amp;'[1]2.4自动化报表-8月获客数据-非乱码'!$B:$B,'[1]2.4自动化报表-8月获客数据-非乱码'!$C:$H)</f>
        <v>672</v>
      </c>
      <c r="Q287">
        <v>662</v>
      </c>
      <c r="R287">
        <v>643</v>
      </c>
      <c r="S287">
        <v>443</v>
      </c>
      <c r="T287">
        <v>209</v>
      </c>
      <c r="U287">
        <v>692</v>
      </c>
    </row>
    <row r="288" spans="1:21" x14ac:dyDescent="0.3">
      <c r="A288" s="1">
        <v>44054</v>
      </c>
      <c r="B288" t="s">
        <v>27</v>
      </c>
      <c r="C288" t="s">
        <v>103</v>
      </c>
      <c r="D288" t="s">
        <v>63</v>
      </c>
      <c r="E288" t="s">
        <v>104</v>
      </c>
      <c r="F288" s="2">
        <v>25679</v>
      </c>
      <c r="G288" s="2">
        <v>1457</v>
      </c>
      <c r="H288">
        <v>849</v>
      </c>
      <c r="I288" t="str">
        <f>_xlfn.XLOOKUP($C288,战区信息!$A$1:$A$5,战区信息!$B$1:$B$5)</f>
        <v>002</v>
      </c>
      <c r="J288" t="str">
        <f>_xlfn.XLOOKUP($C288,战区信息!$A$1:$A$5,战区信息!$C$1:$C$5)</f>
        <v>高安平</v>
      </c>
      <c r="K288" t="str">
        <f>_xlfn.XLOOKUP($C288,战区信息!$A$1:$A$5,战区信息!$D$1:$D$5)</f>
        <v>二级战区</v>
      </c>
      <c r="L288" t="str">
        <f>_xlfn.XLOOKUP($D288,城市信息!$B$1:$B$14,城市信息!$A$1:$A$14)</f>
        <v>008</v>
      </c>
      <c r="M288" t="str">
        <f>_xlfn.XLOOKUP($D288,城市信息!$B$1:$B$14,城市信息!$C$1:$C$14)</f>
        <v>高弘壮</v>
      </c>
      <c r="N288" t="str">
        <f>_xlfn.XLOOKUP($D288,城市信息!$B$1:$B$14,城市信息!$D$1:$D$14)</f>
        <v>一线</v>
      </c>
      <c r="O288">
        <f>_xlfn.XLOOKUP($D288,城市信息!$B$1:$B$14,城市信息!$E$1:$E$14)</f>
        <v>11498</v>
      </c>
      <c r="P288" cm="1">
        <f t="array" ref="P288:U288">_xlfn.XLOOKUP(A288&amp;B288,'[1]2.4自动化报表-8月获客数据-非乱码'!$A:$A&amp;'[1]2.4自动化报表-8月获客数据-非乱码'!$B:$B,'[1]2.4自动化报表-8月获客数据-非乱码'!$C:$H)</f>
        <v>3120</v>
      </c>
      <c r="Q288">
        <v>3018</v>
      </c>
      <c r="R288">
        <v>2877</v>
      </c>
      <c r="S288">
        <v>1701</v>
      </c>
      <c r="T288">
        <v>900</v>
      </c>
      <c r="U288">
        <v>689</v>
      </c>
    </row>
    <row r="289" spans="1:21" x14ac:dyDescent="0.3">
      <c r="A289" s="1">
        <v>44054</v>
      </c>
      <c r="B289" t="s">
        <v>26</v>
      </c>
      <c r="C289" t="s">
        <v>103</v>
      </c>
      <c r="D289" t="s">
        <v>57</v>
      </c>
      <c r="E289" t="s">
        <v>105</v>
      </c>
      <c r="F289" s="2">
        <v>143630</v>
      </c>
      <c r="G289" s="2">
        <v>7116</v>
      </c>
      <c r="H289" s="2">
        <v>5049</v>
      </c>
      <c r="I289" t="str">
        <f>_xlfn.XLOOKUP($C289,战区信息!$A$1:$A$5,战区信息!$B$1:$B$5)</f>
        <v>002</v>
      </c>
      <c r="J289" t="str">
        <f>_xlfn.XLOOKUP($C289,战区信息!$A$1:$A$5,战区信息!$C$1:$C$5)</f>
        <v>高安平</v>
      </c>
      <c r="K289" t="str">
        <f>_xlfn.XLOOKUP($C289,战区信息!$A$1:$A$5,战区信息!$D$1:$D$5)</f>
        <v>二级战区</v>
      </c>
      <c r="L289" t="str">
        <f>_xlfn.XLOOKUP($D289,城市信息!$B$1:$B$14,城市信息!$A$1:$A$14)</f>
        <v>002</v>
      </c>
      <c r="M289" t="str">
        <f>_xlfn.XLOOKUP($D289,城市信息!$B$1:$B$14,城市信息!$C$1:$C$14)</f>
        <v>孙乒</v>
      </c>
      <c r="N289" t="str">
        <f>_xlfn.XLOOKUP($D289,城市信息!$B$1:$B$14,城市信息!$D$1:$D$14)</f>
        <v>一线</v>
      </c>
      <c r="O289">
        <f>_xlfn.XLOOKUP($D289,城市信息!$B$1:$B$14,城市信息!$E$1:$E$14)</f>
        <v>9854</v>
      </c>
      <c r="P289" cm="1">
        <f t="array" ref="P289:U289">_xlfn.XLOOKUP(A289&amp;B289,'[1]2.4自动化报表-8月获客数据-非乱码'!$A:$A&amp;'[1]2.4自动化报表-8月获客数据-非乱码'!$B:$B,'[1]2.4自动化报表-8月获客数据-非乱码'!$C:$H)</f>
        <v>5634</v>
      </c>
      <c r="Q289">
        <v>5501</v>
      </c>
      <c r="R289">
        <v>5259</v>
      </c>
      <c r="S289">
        <v>3249</v>
      </c>
      <c r="T289">
        <v>1842</v>
      </c>
      <c r="U289">
        <v>687</v>
      </c>
    </row>
    <row r="290" spans="1:21" x14ac:dyDescent="0.3">
      <c r="A290" s="1">
        <v>44054</v>
      </c>
      <c r="B290" t="s">
        <v>25</v>
      </c>
      <c r="C290" t="s">
        <v>103</v>
      </c>
      <c r="D290" t="s">
        <v>57</v>
      </c>
      <c r="E290" t="s">
        <v>106</v>
      </c>
      <c r="F290" s="2">
        <v>59922</v>
      </c>
      <c r="G290" s="2">
        <v>3452</v>
      </c>
      <c r="H290">
        <v>682</v>
      </c>
      <c r="I290" t="str">
        <f>_xlfn.XLOOKUP($C290,战区信息!$A$1:$A$5,战区信息!$B$1:$B$5)</f>
        <v>002</v>
      </c>
      <c r="J290" t="str">
        <f>_xlfn.XLOOKUP($C290,战区信息!$A$1:$A$5,战区信息!$C$1:$C$5)</f>
        <v>高安平</v>
      </c>
      <c r="K290" t="str">
        <f>_xlfn.XLOOKUP($C290,战区信息!$A$1:$A$5,战区信息!$D$1:$D$5)</f>
        <v>二级战区</v>
      </c>
      <c r="L290" t="str">
        <f>_xlfn.XLOOKUP($D290,城市信息!$B$1:$B$14,城市信息!$A$1:$A$14)</f>
        <v>002</v>
      </c>
      <c r="M290" t="str">
        <f>_xlfn.XLOOKUP($D290,城市信息!$B$1:$B$14,城市信息!$C$1:$C$14)</f>
        <v>孙乒</v>
      </c>
      <c r="N290" t="str">
        <f>_xlfn.XLOOKUP($D290,城市信息!$B$1:$B$14,城市信息!$D$1:$D$14)</f>
        <v>一线</v>
      </c>
      <c r="O290">
        <f>_xlfn.XLOOKUP($D290,城市信息!$B$1:$B$14,城市信息!$E$1:$E$14)</f>
        <v>9854</v>
      </c>
      <c r="P290" cm="1">
        <f t="array" ref="P290:U290">_xlfn.XLOOKUP(A290&amp;B290,'[1]2.4自动化报表-8月获客数据-非乱码'!$A:$A&amp;'[1]2.4自动化报表-8月获客数据-非乱码'!$B:$B,'[1]2.4自动化报表-8月获客数据-非乱码'!$C:$H)</f>
        <v>3090</v>
      </c>
      <c r="Q290">
        <v>3009</v>
      </c>
      <c r="R290">
        <v>2859</v>
      </c>
      <c r="S290">
        <v>1706</v>
      </c>
      <c r="T290">
        <v>975</v>
      </c>
      <c r="U290">
        <v>688</v>
      </c>
    </row>
    <row r="291" spans="1:21" x14ac:dyDescent="0.3">
      <c r="A291" s="1">
        <v>44054</v>
      </c>
      <c r="B291" t="s">
        <v>24</v>
      </c>
      <c r="C291" t="s">
        <v>103</v>
      </c>
      <c r="D291" t="s">
        <v>57</v>
      </c>
      <c r="E291" t="s">
        <v>107</v>
      </c>
      <c r="F291" s="2">
        <v>29510</v>
      </c>
      <c r="G291" s="2">
        <v>1229</v>
      </c>
      <c r="H291">
        <v>0</v>
      </c>
      <c r="I291" t="str">
        <f>_xlfn.XLOOKUP($C291,战区信息!$A$1:$A$5,战区信息!$B$1:$B$5)</f>
        <v>002</v>
      </c>
      <c r="J291" t="str">
        <f>_xlfn.XLOOKUP($C291,战区信息!$A$1:$A$5,战区信息!$C$1:$C$5)</f>
        <v>高安平</v>
      </c>
      <c r="K291" t="str">
        <f>_xlfn.XLOOKUP($C291,战区信息!$A$1:$A$5,战区信息!$D$1:$D$5)</f>
        <v>二级战区</v>
      </c>
      <c r="L291" t="str">
        <f>_xlfn.XLOOKUP($D291,城市信息!$B$1:$B$14,城市信息!$A$1:$A$14)</f>
        <v>002</v>
      </c>
      <c r="M291" t="str">
        <f>_xlfn.XLOOKUP($D291,城市信息!$B$1:$B$14,城市信息!$C$1:$C$14)</f>
        <v>孙乒</v>
      </c>
      <c r="N291" t="str">
        <f>_xlfn.XLOOKUP($D291,城市信息!$B$1:$B$14,城市信息!$D$1:$D$14)</f>
        <v>一线</v>
      </c>
      <c r="O291">
        <f>_xlfn.XLOOKUP($D291,城市信息!$B$1:$B$14,城市信息!$E$1:$E$14)</f>
        <v>9854</v>
      </c>
      <c r="P291" cm="1">
        <f t="array" ref="P291:U291">_xlfn.XLOOKUP(A291&amp;B291,'[1]2.4自动化报表-8月获客数据-非乱码'!$A:$A&amp;'[1]2.4自动化报表-8月获客数据-非乱码'!$B:$B,'[1]2.4自动化报表-8月获客数据-非乱码'!$C:$H)</f>
        <v>1295</v>
      </c>
      <c r="Q291">
        <v>1280</v>
      </c>
      <c r="R291">
        <v>1231</v>
      </c>
      <c r="S291">
        <v>723</v>
      </c>
      <c r="T291">
        <v>488</v>
      </c>
      <c r="U291">
        <v>690</v>
      </c>
    </row>
    <row r="292" spans="1:21" x14ac:dyDescent="0.3">
      <c r="A292" s="1">
        <v>44054</v>
      </c>
      <c r="B292" t="s">
        <v>23</v>
      </c>
      <c r="C292" t="s">
        <v>108</v>
      </c>
      <c r="D292" t="s">
        <v>109</v>
      </c>
      <c r="E292" t="s">
        <v>110</v>
      </c>
      <c r="F292" s="2">
        <v>31968</v>
      </c>
      <c r="G292" s="2">
        <v>1701</v>
      </c>
      <c r="H292">
        <v>0</v>
      </c>
      <c r="I292" t="str">
        <f>_xlfn.XLOOKUP($C292,战区信息!$A$1:$A$5,战区信息!$B$1:$B$5)</f>
        <v>001</v>
      </c>
      <c r="J292" t="str">
        <f>_xlfn.XLOOKUP($C292,战区信息!$A$1:$A$5,战区信息!$C$1:$C$5)</f>
        <v>江永</v>
      </c>
      <c r="K292" t="str">
        <f>_xlfn.XLOOKUP($C292,战区信息!$A$1:$A$5,战区信息!$D$1:$D$5)</f>
        <v>一级战区</v>
      </c>
      <c r="L292" t="str">
        <f>_xlfn.XLOOKUP($D292,城市信息!$B$1:$B$14,城市信息!$A$1:$A$14)</f>
        <v>013</v>
      </c>
      <c r="M292" t="str">
        <f>_xlfn.XLOOKUP($D292,城市信息!$B$1:$B$14,城市信息!$C$1:$C$14)</f>
        <v>张建</v>
      </c>
      <c r="N292" t="str">
        <f>_xlfn.XLOOKUP($D292,城市信息!$B$1:$B$14,城市信息!$D$1:$D$14)</f>
        <v>二线</v>
      </c>
      <c r="O292">
        <f>_xlfn.XLOOKUP($D292,城市信息!$B$1:$B$14,城市信息!$E$1:$E$14)</f>
        <v>8800</v>
      </c>
      <c r="P292" cm="1">
        <f t="array" ref="P292:U292">_xlfn.XLOOKUP(A292&amp;B292,'[1]2.4自动化报表-8月获客数据-非乱码'!$A:$A&amp;'[1]2.4自动化报表-8月获客数据-非乱码'!$B:$B,'[1]2.4自动化报表-8月获客数据-非乱码'!$C:$H)</f>
        <v>2586</v>
      </c>
      <c r="Q292">
        <v>2505</v>
      </c>
      <c r="R292">
        <v>2409</v>
      </c>
      <c r="S292">
        <v>1471</v>
      </c>
      <c r="T292">
        <v>739</v>
      </c>
      <c r="U292">
        <v>692</v>
      </c>
    </row>
    <row r="293" spans="1:21" x14ac:dyDescent="0.3">
      <c r="A293" s="1">
        <v>44054</v>
      </c>
      <c r="B293" t="s">
        <v>22</v>
      </c>
      <c r="C293" t="s">
        <v>108</v>
      </c>
      <c r="D293" t="s">
        <v>109</v>
      </c>
      <c r="E293" t="s">
        <v>111</v>
      </c>
      <c r="F293" s="2">
        <v>14041</v>
      </c>
      <c r="G293">
        <v>577</v>
      </c>
      <c r="H293">
        <v>0</v>
      </c>
      <c r="I293" t="str">
        <f>_xlfn.XLOOKUP($C293,战区信息!$A$1:$A$5,战区信息!$B$1:$B$5)</f>
        <v>001</v>
      </c>
      <c r="J293" t="str">
        <f>_xlfn.XLOOKUP($C293,战区信息!$A$1:$A$5,战区信息!$C$1:$C$5)</f>
        <v>江永</v>
      </c>
      <c r="K293" t="str">
        <f>_xlfn.XLOOKUP($C293,战区信息!$A$1:$A$5,战区信息!$D$1:$D$5)</f>
        <v>一级战区</v>
      </c>
      <c r="L293" t="str">
        <f>_xlfn.XLOOKUP($D293,城市信息!$B$1:$B$14,城市信息!$A$1:$A$14)</f>
        <v>013</v>
      </c>
      <c r="M293" t="str">
        <f>_xlfn.XLOOKUP($D293,城市信息!$B$1:$B$14,城市信息!$C$1:$C$14)</f>
        <v>张建</v>
      </c>
      <c r="N293" t="str">
        <f>_xlfn.XLOOKUP($D293,城市信息!$B$1:$B$14,城市信息!$D$1:$D$14)</f>
        <v>二线</v>
      </c>
      <c r="O293">
        <f>_xlfn.XLOOKUP($D293,城市信息!$B$1:$B$14,城市信息!$E$1:$E$14)</f>
        <v>8800</v>
      </c>
      <c r="P293" cm="1">
        <f t="array" ref="P293:U293">_xlfn.XLOOKUP(A293&amp;B293,'[1]2.4自动化报表-8月获客数据-非乱码'!$A:$A&amp;'[1]2.4自动化报表-8月获客数据-非乱码'!$B:$B,'[1]2.4自动化报表-8月获客数据-非乱码'!$C:$H)</f>
        <v>167</v>
      </c>
      <c r="Q293">
        <v>162</v>
      </c>
      <c r="R293">
        <v>153</v>
      </c>
      <c r="S293">
        <v>91</v>
      </c>
      <c r="T293">
        <v>43</v>
      </c>
      <c r="U293">
        <v>691</v>
      </c>
    </row>
    <row r="294" spans="1:21" x14ac:dyDescent="0.3">
      <c r="A294" s="1">
        <v>44054</v>
      </c>
      <c r="B294" t="s">
        <v>21</v>
      </c>
      <c r="C294" t="s">
        <v>108</v>
      </c>
      <c r="D294" t="s">
        <v>109</v>
      </c>
      <c r="E294" t="s">
        <v>112</v>
      </c>
      <c r="F294" s="2">
        <v>95975</v>
      </c>
      <c r="G294" s="2">
        <v>4411</v>
      </c>
      <c r="H294">
        <v>0</v>
      </c>
      <c r="I294" t="str">
        <f>_xlfn.XLOOKUP($C294,战区信息!$A$1:$A$5,战区信息!$B$1:$B$5)</f>
        <v>001</v>
      </c>
      <c r="J294" t="str">
        <f>_xlfn.XLOOKUP($C294,战区信息!$A$1:$A$5,战区信息!$C$1:$C$5)</f>
        <v>江永</v>
      </c>
      <c r="K294" t="str">
        <f>_xlfn.XLOOKUP($C294,战区信息!$A$1:$A$5,战区信息!$D$1:$D$5)</f>
        <v>一级战区</v>
      </c>
      <c r="L294" t="str">
        <f>_xlfn.XLOOKUP($D294,城市信息!$B$1:$B$14,城市信息!$A$1:$A$14)</f>
        <v>013</v>
      </c>
      <c r="M294" t="str">
        <f>_xlfn.XLOOKUP($D294,城市信息!$B$1:$B$14,城市信息!$C$1:$C$14)</f>
        <v>张建</v>
      </c>
      <c r="N294" t="str">
        <f>_xlfn.XLOOKUP($D294,城市信息!$B$1:$B$14,城市信息!$D$1:$D$14)</f>
        <v>二线</v>
      </c>
      <c r="O294">
        <f>_xlfn.XLOOKUP($D294,城市信息!$B$1:$B$14,城市信息!$E$1:$E$14)</f>
        <v>8800</v>
      </c>
      <c r="P294" cm="1">
        <f t="array" ref="P294:U294">_xlfn.XLOOKUP(A294&amp;B294,'[1]2.4自动化报表-8月获客数据-非乱码'!$A:$A&amp;'[1]2.4自动化报表-8月获客数据-非乱码'!$B:$B,'[1]2.4自动化报表-8月获客数据-非乱码'!$C:$H)</f>
        <v>3818</v>
      </c>
      <c r="Q294">
        <v>3687</v>
      </c>
      <c r="R294">
        <v>3523</v>
      </c>
      <c r="S294">
        <v>2044</v>
      </c>
      <c r="T294">
        <v>1164</v>
      </c>
      <c r="U294">
        <v>695</v>
      </c>
    </row>
    <row r="295" spans="1:21" x14ac:dyDescent="0.3">
      <c r="A295" s="1">
        <v>44054</v>
      </c>
      <c r="B295" t="s">
        <v>20</v>
      </c>
      <c r="C295" t="s">
        <v>108</v>
      </c>
      <c r="D295" t="s">
        <v>56</v>
      </c>
      <c r="E295" t="s">
        <v>113</v>
      </c>
      <c r="F295" s="2">
        <v>166125</v>
      </c>
      <c r="G295" s="2">
        <v>6790</v>
      </c>
      <c r="H295">
        <v>0</v>
      </c>
      <c r="I295" t="str">
        <f>_xlfn.XLOOKUP($C295,战区信息!$A$1:$A$5,战区信息!$B$1:$B$5)</f>
        <v>001</v>
      </c>
      <c r="J295" t="str">
        <f>_xlfn.XLOOKUP($C295,战区信息!$A$1:$A$5,战区信息!$C$1:$C$5)</f>
        <v>江永</v>
      </c>
      <c r="K295" t="str">
        <f>_xlfn.XLOOKUP($C295,战区信息!$A$1:$A$5,战区信息!$D$1:$D$5)</f>
        <v>一级战区</v>
      </c>
      <c r="L295" t="str">
        <f>_xlfn.XLOOKUP($D295,城市信息!$B$1:$B$14,城市信息!$A$1:$A$14)</f>
        <v>001</v>
      </c>
      <c r="M295" t="str">
        <f>_xlfn.XLOOKUP($D295,城市信息!$B$1:$B$14,城市信息!$C$1:$C$14)</f>
        <v>吴刚</v>
      </c>
      <c r="N295" t="str">
        <f>_xlfn.XLOOKUP($D295,城市信息!$B$1:$B$14,城市信息!$D$1:$D$14)</f>
        <v>一线</v>
      </c>
      <c r="O295">
        <f>_xlfn.XLOOKUP($D295,城市信息!$B$1:$B$14,城市信息!$E$1:$E$14)</f>
        <v>12114</v>
      </c>
      <c r="P295" cm="1">
        <f t="array" ref="P295:U295">_xlfn.XLOOKUP(A295&amp;B295,'[1]2.4自动化报表-8月获客数据-非乱码'!$A:$A&amp;'[1]2.4自动化报表-8月获客数据-非乱码'!$B:$B,'[1]2.4自动化报表-8月获客数据-非乱码'!$C:$H)</f>
        <v>5239</v>
      </c>
      <c r="Q295">
        <v>5102</v>
      </c>
      <c r="R295">
        <v>4917</v>
      </c>
      <c r="S295">
        <v>3002</v>
      </c>
      <c r="T295">
        <v>1644</v>
      </c>
      <c r="U295">
        <v>694</v>
      </c>
    </row>
    <row r="296" spans="1:21" x14ac:dyDescent="0.3">
      <c r="A296" s="1">
        <v>44054</v>
      </c>
      <c r="B296" t="s">
        <v>19</v>
      </c>
      <c r="C296" t="s">
        <v>108</v>
      </c>
      <c r="D296" t="s">
        <v>56</v>
      </c>
      <c r="E296" t="s">
        <v>114</v>
      </c>
      <c r="F296" s="2">
        <v>20802</v>
      </c>
      <c r="G296" s="2">
        <v>1228</v>
      </c>
      <c r="H296">
        <v>256</v>
      </c>
      <c r="I296" t="str">
        <f>_xlfn.XLOOKUP($C296,战区信息!$A$1:$A$5,战区信息!$B$1:$B$5)</f>
        <v>001</v>
      </c>
      <c r="J296" t="str">
        <f>_xlfn.XLOOKUP($C296,战区信息!$A$1:$A$5,战区信息!$C$1:$C$5)</f>
        <v>江永</v>
      </c>
      <c r="K296" t="str">
        <f>_xlfn.XLOOKUP($C296,战区信息!$A$1:$A$5,战区信息!$D$1:$D$5)</f>
        <v>一级战区</v>
      </c>
      <c r="L296" t="str">
        <f>_xlfn.XLOOKUP($D296,城市信息!$B$1:$B$14,城市信息!$A$1:$A$14)</f>
        <v>001</v>
      </c>
      <c r="M296" t="str">
        <f>_xlfn.XLOOKUP($D296,城市信息!$B$1:$B$14,城市信息!$C$1:$C$14)</f>
        <v>吴刚</v>
      </c>
      <c r="N296" t="str">
        <f>_xlfn.XLOOKUP($D296,城市信息!$B$1:$B$14,城市信息!$D$1:$D$14)</f>
        <v>一线</v>
      </c>
      <c r="O296">
        <f>_xlfn.XLOOKUP($D296,城市信息!$B$1:$B$14,城市信息!$E$1:$E$14)</f>
        <v>12114</v>
      </c>
      <c r="P296" cm="1">
        <f t="array" ref="P296:U296">_xlfn.XLOOKUP(A296&amp;B296,'[1]2.4自动化报表-8月获客数据-非乱码'!$A:$A&amp;'[1]2.4自动化报表-8月获客数据-非乱码'!$B:$B,'[1]2.4自动化报表-8月获客数据-非乱码'!$C:$H)</f>
        <v>2925</v>
      </c>
      <c r="Q296">
        <v>2858</v>
      </c>
      <c r="R296">
        <v>2747</v>
      </c>
      <c r="S296">
        <v>1612</v>
      </c>
      <c r="T296">
        <v>968</v>
      </c>
      <c r="U296">
        <v>696</v>
      </c>
    </row>
    <row r="297" spans="1:21" x14ac:dyDescent="0.3">
      <c r="A297" s="1">
        <v>44054</v>
      </c>
      <c r="B297" t="s">
        <v>18</v>
      </c>
      <c r="C297" t="s">
        <v>108</v>
      </c>
      <c r="D297" t="s">
        <v>56</v>
      </c>
      <c r="E297" t="s">
        <v>115</v>
      </c>
      <c r="F297" s="2">
        <v>80683</v>
      </c>
      <c r="G297" s="2">
        <v>4769</v>
      </c>
      <c r="H297">
        <v>0</v>
      </c>
      <c r="I297" t="str">
        <f>_xlfn.XLOOKUP($C297,战区信息!$A$1:$A$5,战区信息!$B$1:$B$5)</f>
        <v>001</v>
      </c>
      <c r="J297" t="str">
        <f>_xlfn.XLOOKUP($C297,战区信息!$A$1:$A$5,战区信息!$C$1:$C$5)</f>
        <v>江永</v>
      </c>
      <c r="K297" t="str">
        <f>_xlfn.XLOOKUP($C297,战区信息!$A$1:$A$5,战区信息!$D$1:$D$5)</f>
        <v>一级战区</v>
      </c>
      <c r="L297" t="str">
        <f>_xlfn.XLOOKUP($D297,城市信息!$B$1:$B$14,城市信息!$A$1:$A$14)</f>
        <v>001</v>
      </c>
      <c r="M297" t="str">
        <f>_xlfn.XLOOKUP($D297,城市信息!$B$1:$B$14,城市信息!$C$1:$C$14)</f>
        <v>吴刚</v>
      </c>
      <c r="N297" t="str">
        <f>_xlfn.XLOOKUP($D297,城市信息!$B$1:$B$14,城市信息!$D$1:$D$14)</f>
        <v>一线</v>
      </c>
      <c r="O297">
        <f>_xlfn.XLOOKUP($D297,城市信息!$B$1:$B$14,城市信息!$E$1:$E$14)</f>
        <v>12114</v>
      </c>
      <c r="P297" cm="1">
        <f t="array" ref="P297:U297">_xlfn.XLOOKUP(A297&amp;B297,'[1]2.4自动化报表-8月获客数据-非乱码'!$A:$A&amp;'[1]2.4自动化报表-8月获客数据-非乱码'!$B:$B,'[1]2.4自动化报表-8月获客数据-非乱码'!$C:$H)</f>
        <v>3293</v>
      </c>
      <c r="Q297">
        <v>3239</v>
      </c>
      <c r="R297">
        <v>3105</v>
      </c>
      <c r="S297">
        <v>1871</v>
      </c>
      <c r="T297">
        <v>1013</v>
      </c>
      <c r="U297">
        <v>691</v>
      </c>
    </row>
    <row r="298" spans="1:21" x14ac:dyDescent="0.3">
      <c r="A298" s="1">
        <v>44054</v>
      </c>
      <c r="B298" t="s">
        <v>17</v>
      </c>
      <c r="C298" t="s">
        <v>108</v>
      </c>
      <c r="D298" t="s">
        <v>59</v>
      </c>
      <c r="E298" t="s">
        <v>116</v>
      </c>
      <c r="F298" s="2">
        <v>53147</v>
      </c>
      <c r="G298" s="2">
        <v>2743</v>
      </c>
      <c r="H298">
        <v>0</v>
      </c>
      <c r="I298" t="str">
        <f>_xlfn.XLOOKUP($C298,战区信息!$A$1:$A$5,战区信息!$B$1:$B$5)</f>
        <v>001</v>
      </c>
      <c r="J298" t="str">
        <f>_xlfn.XLOOKUP($C298,战区信息!$A$1:$A$5,战区信息!$C$1:$C$5)</f>
        <v>江永</v>
      </c>
      <c r="K298" t="str">
        <f>_xlfn.XLOOKUP($C298,战区信息!$A$1:$A$5,战区信息!$D$1:$D$5)</f>
        <v>一级战区</v>
      </c>
      <c r="L298" t="str">
        <f>_xlfn.XLOOKUP($D298,城市信息!$B$1:$B$14,城市信息!$A$1:$A$14)</f>
        <v>004</v>
      </c>
      <c r="M298" t="str">
        <f>_xlfn.XLOOKUP($D298,城市信息!$B$1:$B$14,城市信息!$C$1:$C$14)</f>
        <v>苏川</v>
      </c>
      <c r="N298" t="str">
        <f>_xlfn.XLOOKUP($D298,城市信息!$B$1:$B$14,城市信息!$D$1:$D$14)</f>
        <v>二线</v>
      </c>
      <c r="O298">
        <f>_xlfn.XLOOKUP($D298,城市信息!$B$1:$B$14,城市信息!$E$1:$E$14)</f>
        <v>9912</v>
      </c>
      <c r="P298" cm="1">
        <f t="array" ref="P298:U298">_xlfn.XLOOKUP(A298&amp;B298,'[1]2.4自动化报表-8月获客数据-非乱码'!$A:$A&amp;'[1]2.4自动化报表-8月获客数据-非乱码'!$B:$B,'[1]2.4自动化报表-8月获客数据-非乱码'!$C:$H)</f>
        <v>2520</v>
      </c>
      <c r="Q298">
        <v>2468</v>
      </c>
      <c r="R298">
        <v>2391</v>
      </c>
      <c r="S298">
        <v>1365</v>
      </c>
      <c r="T298">
        <v>773</v>
      </c>
      <c r="U298">
        <v>696</v>
      </c>
    </row>
    <row r="299" spans="1:21" x14ac:dyDescent="0.3">
      <c r="A299" s="1">
        <v>44054</v>
      </c>
      <c r="B299" t="s">
        <v>16</v>
      </c>
      <c r="C299" t="s">
        <v>108</v>
      </c>
      <c r="D299" t="s">
        <v>59</v>
      </c>
      <c r="E299" t="s">
        <v>117</v>
      </c>
      <c r="F299" s="2">
        <v>40010</v>
      </c>
      <c r="G299" s="2">
        <v>1666</v>
      </c>
      <c r="H299">
        <v>0</v>
      </c>
      <c r="I299" t="str">
        <f>_xlfn.XLOOKUP($C299,战区信息!$A$1:$A$5,战区信息!$B$1:$B$5)</f>
        <v>001</v>
      </c>
      <c r="J299" t="str">
        <f>_xlfn.XLOOKUP($C299,战区信息!$A$1:$A$5,战区信息!$C$1:$C$5)</f>
        <v>江永</v>
      </c>
      <c r="K299" t="str">
        <f>_xlfn.XLOOKUP($C299,战区信息!$A$1:$A$5,战区信息!$D$1:$D$5)</f>
        <v>一级战区</v>
      </c>
      <c r="L299" t="str">
        <f>_xlfn.XLOOKUP($D299,城市信息!$B$1:$B$14,城市信息!$A$1:$A$14)</f>
        <v>004</v>
      </c>
      <c r="M299" t="str">
        <f>_xlfn.XLOOKUP($D299,城市信息!$B$1:$B$14,城市信息!$C$1:$C$14)</f>
        <v>苏川</v>
      </c>
      <c r="N299" t="str">
        <f>_xlfn.XLOOKUP($D299,城市信息!$B$1:$B$14,城市信息!$D$1:$D$14)</f>
        <v>二线</v>
      </c>
      <c r="O299">
        <f>_xlfn.XLOOKUP($D299,城市信息!$B$1:$B$14,城市信息!$E$1:$E$14)</f>
        <v>9912</v>
      </c>
      <c r="P299" cm="1">
        <f t="array" ref="P299:U299">_xlfn.XLOOKUP(A299&amp;B299,'[1]2.4自动化报表-8月获客数据-非乱码'!$A:$A&amp;'[1]2.4自动化报表-8月获客数据-非乱码'!$B:$B,'[1]2.4自动化报表-8月获客数据-非乱码'!$C:$H)</f>
        <v>1907</v>
      </c>
      <c r="Q299">
        <v>1854</v>
      </c>
      <c r="R299">
        <v>1776</v>
      </c>
      <c r="S299">
        <v>1048</v>
      </c>
      <c r="T299">
        <v>592</v>
      </c>
      <c r="U299">
        <v>696</v>
      </c>
    </row>
    <row r="300" spans="1:21" x14ac:dyDescent="0.3">
      <c r="A300" s="1">
        <v>44054</v>
      </c>
      <c r="B300" t="s">
        <v>15</v>
      </c>
      <c r="C300" t="s">
        <v>108</v>
      </c>
      <c r="D300" t="s">
        <v>59</v>
      </c>
      <c r="E300" t="s">
        <v>118</v>
      </c>
      <c r="F300" s="2">
        <v>12080</v>
      </c>
      <c r="G300">
        <v>502</v>
      </c>
      <c r="H300">
        <v>0</v>
      </c>
      <c r="I300" t="str">
        <f>_xlfn.XLOOKUP($C300,战区信息!$A$1:$A$5,战区信息!$B$1:$B$5)</f>
        <v>001</v>
      </c>
      <c r="J300" t="str">
        <f>_xlfn.XLOOKUP($C300,战区信息!$A$1:$A$5,战区信息!$C$1:$C$5)</f>
        <v>江永</v>
      </c>
      <c r="K300" t="str">
        <f>_xlfn.XLOOKUP($C300,战区信息!$A$1:$A$5,战区信息!$D$1:$D$5)</f>
        <v>一级战区</v>
      </c>
      <c r="L300" t="str">
        <f>_xlfn.XLOOKUP($D300,城市信息!$B$1:$B$14,城市信息!$A$1:$A$14)</f>
        <v>004</v>
      </c>
      <c r="M300" t="str">
        <f>_xlfn.XLOOKUP($D300,城市信息!$B$1:$B$14,城市信息!$C$1:$C$14)</f>
        <v>苏川</v>
      </c>
      <c r="N300" t="str">
        <f>_xlfn.XLOOKUP($D300,城市信息!$B$1:$B$14,城市信息!$D$1:$D$14)</f>
        <v>二线</v>
      </c>
      <c r="O300">
        <f>_xlfn.XLOOKUP($D300,城市信息!$B$1:$B$14,城市信息!$E$1:$E$14)</f>
        <v>9912</v>
      </c>
      <c r="P300" cm="1">
        <f t="array" ref="P300:U300">_xlfn.XLOOKUP(A300&amp;B300,'[1]2.4自动化报表-8月获客数据-非乱码'!$A:$A&amp;'[1]2.4自动化报表-8月获客数据-非乱码'!$B:$B,'[1]2.4自动化报表-8月获客数据-非乱码'!$C:$H)</f>
        <v>925</v>
      </c>
      <c r="Q300">
        <v>906</v>
      </c>
      <c r="R300">
        <v>866</v>
      </c>
      <c r="S300">
        <v>532</v>
      </c>
      <c r="T300">
        <v>248</v>
      </c>
      <c r="U300">
        <v>697</v>
      </c>
    </row>
    <row r="301" spans="1:21" x14ac:dyDescent="0.3">
      <c r="A301" s="1">
        <v>44054</v>
      </c>
      <c r="B301" t="s">
        <v>14</v>
      </c>
      <c r="C301" t="s">
        <v>108</v>
      </c>
      <c r="D301" t="s">
        <v>59</v>
      </c>
      <c r="E301" t="s">
        <v>119</v>
      </c>
      <c r="F301" s="2">
        <v>100202</v>
      </c>
      <c r="G301" s="2">
        <v>4173</v>
      </c>
      <c r="H301">
        <v>0</v>
      </c>
      <c r="I301" t="str">
        <f>_xlfn.XLOOKUP($C301,战区信息!$A$1:$A$5,战区信息!$B$1:$B$5)</f>
        <v>001</v>
      </c>
      <c r="J301" t="str">
        <f>_xlfn.XLOOKUP($C301,战区信息!$A$1:$A$5,战区信息!$C$1:$C$5)</f>
        <v>江永</v>
      </c>
      <c r="K301" t="str">
        <f>_xlfn.XLOOKUP($C301,战区信息!$A$1:$A$5,战区信息!$D$1:$D$5)</f>
        <v>一级战区</v>
      </c>
      <c r="L301" t="str">
        <f>_xlfn.XLOOKUP($D301,城市信息!$B$1:$B$14,城市信息!$A$1:$A$14)</f>
        <v>004</v>
      </c>
      <c r="M301" t="str">
        <f>_xlfn.XLOOKUP($D301,城市信息!$B$1:$B$14,城市信息!$C$1:$C$14)</f>
        <v>苏川</v>
      </c>
      <c r="N301" t="str">
        <f>_xlfn.XLOOKUP($D301,城市信息!$B$1:$B$14,城市信息!$D$1:$D$14)</f>
        <v>二线</v>
      </c>
      <c r="O301">
        <f>_xlfn.XLOOKUP($D301,城市信息!$B$1:$B$14,城市信息!$E$1:$E$14)</f>
        <v>9912</v>
      </c>
      <c r="P301" cm="1">
        <f t="array" ref="P301:U301">_xlfn.XLOOKUP(A301&amp;B301,'[1]2.4自动化报表-8月获客数据-非乱码'!$A:$A&amp;'[1]2.4自动化报表-8月获客数据-非乱码'!$B:$B,'[1]2.4自动化报表-8月获客数据-非乱码'!$C:$H)</f>
        <v>1606</v>
      </c>
      <c r="Q301">
        <v>1557</v>
      </c>
      <c r="R301">
        <v>1492</v>
      </c>
      <c r="S301">
        <v>962</v>
      </c>
      <c r="T301">
        <v>507</v>
      </c>
      <c r="U301">
        <v>701</v>
      </c>
    </row>
    <row r="302" spans="1:21" x14ac:dyDescent="0.3">
      <c r="A302" s="1">
        <v>44054</v>
      </c>
      <c r="B302" t="s">
        <v>13</v>
      </c>
      <c r="C302" t="s">
        <v>108</v>
      </c>
      <c r="D302" t="s">
        <v>60</v>
      </c>
      <c r="E302" t="s">
        <v>120</v>
      </c>
      <c r="F302" s="2">
        <v>30522</v>
      </c>
      <c r="G302" s="2">
        <v>1668</v>
      </c>
      <c r="H302">
        <v>0</v>
      </c>
      <c r="I302" t="str">
        <f>_xlfn.XLOOKUP($C302,战区信息!$A$1:$A$5,战区信息!$B$1:$B$5)</f>
        <v>001</v>
      </c>
      <c r="J302" t="str">
        <f>_xlfn.XLOOKUP($C302,战区信息!$A$1:$A$5,战区信息!$C$1:$C$5)</f>
        <v>江永</v>
      </c>
      <c r="K302" t="str">
        <f>_xlfn.XLOOKUP($C302,战区信息!$A$1:$A$5,战区信息!$D$1:$D$5)</f>
        <v>一级战区</v>
      </c>
      <c r="L302" t="str">
        <f>_xlfn.XLOOKUP($D302,城市信息!$B$1:$B$14,城市信息!$A$1:$A$14)</f>
        <v>005</v>
      </c>
      <c r="M302" t="str">
        <f>_xlfn.XLOOKUP($D302,城市信息!$B$1:$B$14,城市信息!$C$1:$C$14)</f>
        <v>侯阳冰</v>
      </c>
      <c r="N302" t="str">
        <f>_xlfn.XLOOKUP($D302,城市信息!$B$1:$B$14,城市信息!$D$1:$D$14)</f>
        <v>二线</v>
      </c>
      <c r="O302">
        <f>_xlfn.XLOOKUP($D302,城市信息!$B$1:$B$14,城市信息!$E$1:$E$14)</f>
        <v>8694</v>
      </c>
      <c r="P302" cm="1">
        <f t="array" ref="P302:U302">_xlfn.XLOOKUP(A302&amp;B302,'[1]2.4自动化报表-8月获客数据-非乱码'!$A:$A&amp;'[1]2.4自动化报表-8月获客数据-非乱码'!$B:$B,'[1]2.4自动化报表-8月获客数据-非乱码'!$C:$H)</f>
        <v>3710</v>
      </c>
      <c r="Q302">
        <v>3624</v>
      </c>
      <c r="R302">
        <v>3456</v>
      </c>
      <c r="S302">
        <v>2150</v>
      </c>
      <c r="T302">
        <v>1029</v>
      </c>
      <c r="U302">
        <v>695</v>
      </c>
    </row>
    <row r="303" spans="1:21" x14ac:dyDescent="0.3">
      <c r="A303" s="1">
        <v>44054</v>
      </c>
      <c r="B303" t="s">
        <v>12</v>
      </c>
      <c r="C303" t="s">
        <v>108</v>
      </c>
      <c r="D303" t="s">
        <v>60</v>
      </c>
      <c r="E303" t="s">
        <v>121</v>
      </c>
      <c r="F303" s="2">
        <v>29384</v>
      </c>
      <c r="G303" s="2">
        <v>1314</v>
      </c>
      <c r="H303">
        <v>0</v>
      </c>
      <c r="I303" t="str">
        <f>_xlfn.XLOOKUP($C303,战区信息!$A$1:$A$5,战区信息!$B$1:$B$5)</f>
        <v>001</v>
      </c>
      <c r="J303" t="str">
        <f>_xlfn.XLOOKUP($C303,战区信息!$A$1:$A$5,战区信息!$C$1:$C$5)</f>
        <v>江永</v>
      </c>
      <c r="K303" t="str">
        <f>_xlfn.XLOOKUP($C303,战区信息!$A$1:$A$5,战区信息!$D$1:$D$5)</f>
        <v>一级战区</v>
      </c>
      <c r="L303" t="str">
        <f>_xlfn.XLOOKUP($D303,城市信息!$B$1:$B$14,城市信息!$A$1:$A$14)</f>
        <v>005</v>
      </c>
      <c r="M303" t="str">
        <f>_xlfn.XLOOKUP($D303,城市信息!$B$1:$B$14,城市信息!$C$1:$C$14)</f>
        <v>侯阳冰</v>
      </c>
      <c r="N303" t="str">
        <f>_xlfn.XLOOKUP($D303,城市信息!$B$1:$B$14,城市信息!$D$1:$D$14)</f>
        <v>二线</v>
      </c>
      <c r="O303">
        <f>_xlfn.XLOOKUP($D303,城市信息!$B$1:$B$14,城市信息!$E$1:$E$14)</f>
        <v>8694</v>
      </c>
      <c r="P303" cm="1">
        <f t="array" ref="P303:U303">_xlfn.XLOOKUP(A303&amp;B303,'[1]2.4自动化报表-8月获客数据-非乱码'!$A:$A&amp;'[1]2.4自动化报表-8月获客数据-非乱码'!$B:$B,'[1]2.4自动化报表-8月获客数据-非乱码'!$C:$H)</f>
        <v>763</v>
      </c>
      <c r="Q303">
        <v>753</v>
      </c>
      <c r="R303">
        <v>717</v>
      </c>
      <c r="S303">
        <v>458</v>
      </c>
      <c r="T303">
        <v>247</v>
      </c>
      <c r="U303">
        <v>696</v>
      </c>
    </row>
    <row r="304" spans="1:21" x14ac:dyDescent="0.3">
      <c r="A304" s="1">
        <v>44054</v>
      </c>
      <c r="B304" t="s">
        <v>11</v>
      </c>
      <c r="C304" t="s">
        <v>108</v>
      </c>
      <c r="D304" t="s">
        <v>58</v>
      </c>
      <c r="E304" t="s">
        <v>122</v>
      </c>
      <c r="F304" s="2">
        <v>150603</v>
      </c>
      <c r="G304" s="2">
        <v>6176</v>
      </c>
      <c r="H304">
        <v>0</v>
      </c>
      <c r="I304" t="str">
        <f>_xlfn.XLOOKUP($C304,战区信息!$A$1:$A$5,战区信息!$B$1:$B$5)</f>
        <v>001</v>
      </c>
      <c r="J304" t="str">
        <f>_xlfn.XLOOKUP($C304,战区信息!$A$1:$A$5,战区信息!$C$1:$C$5)</f>
        <v>江永</v>
      </c>
      <c r="K304" t="str">
        <f>_xlfn.XLOOKUP($C304,战区信息!$A$1:$A$5,战区信息!$D$1:$D$5)</f>
        <v>一级战区</v>
      </c>
      <c r="L304" t="str">
        <f>_xlfn.XLOOKUP($D304,城市信息!$B$1:$B$14,城市信息!$A$1:$A$14)</f>
        <v>003</v>
      </c>
      <c r="M304" t="str">
        <f>_xlfn.XLOOKUP($D304,城市信息!$B$1:$B$14,城市信息!$C$1:$C$14)</f>
        <v>杜光亮</v>
      </c>
      <c r="N304" t="str">
        <f>_xlfn.XLOOKUP($D304,城市信息!$B$1:$B$14,城市信息!$D$1:$D$14)</f>
        <v>二线</v>
      </c>
      <c r="O304">
        <f>_xlfn.XLOOKUP($D304,城市信息!$B$1:$B$14,城市信息!$E$1:$E$14)</f>
        <v>10499</v>
      </c>
      <c r="P304" cm="1">
        <f t="array" ref="P304:U304">_xlfn.XLOOKUP(A304&amp;B304,'[1]2.4自动化报表-8月获客数据-非乱码'!$A:$A&amp;'[1]2.4自动化报表-8月获客数据-非乱码'!$B:$B,'[1]2.4自动化报表-8月获客数据-非乱码'!$C:$H)</f>
        <v>4585</v>
      </c>
      <c r="Q304">
        <v>4391</v>
      </c>
      <c r="R304">
        <v>4157</v>
      </c>
      <c r="S304">
        <v>2517</v>
      </c>
      <c r="T304">
        <v>1232</v>
      </c>
      <c r="U304">
        <v>701</v>
      </c>
    </row>
    <row r="305" spans="1:21" x14ac:dyDescent="0.3">
      <c r="A305" s="1">
        <v>44054</v>
      </c>
      <c r="B305" t="s">
        <v>10</v>
      </c>
      <c r="C305" t="s">
        <v>108</v>
      </c>
      <c r="D305" t="s">
        <v>58</v>
      </c>
      <c r="E305" t="s">
        <v>123</v>
      </c>
      <c r="F305" s="2">
        <v>31782</v>
      </c>
      <c r="G305" s="2">
        <v>1749</v>
      </c>
      <c r="H305">
        <v>0</v>
      </c>
      <c r="I305" t="str">
        <f>_xlfn.XLOOKUP($C305,战区信息!$A$1:$A$5,战区信息!$B$1:$B$5)</f>
        <v>001</v>
      </c>
      <c r="J305" t="str">
        <f>_xlfn.XLOOKUP($C305,战区信息!$A$1:$A$5,战区信息!$C$1:$C$5)</f>
        <v>江永</v>
      </c>
      <c r="K305" t="str">
        <f>_xlfn.XLOOKUP($C305,战区信息!$A$1:$A$5,战区信息!$D$1:$D$5)</f>
        <v>一级战区</v>
      </c>
      <c r="L305" t="str">
        <f>_xlfn.XLOOKUP($D305,城市信息!$B$1:$B$14,城市信息!$A$1:$A$14)</f>
        <v>003</v>
      </c>
      <c r="M305" t="str">
        <f>_xlfn.XLOOKUP($D305,城市信息!$B$1:$B$14,城市信息!$C$1:$C$14)</f>
        <v>杜光亮</v>
      </c>
      <c r="N305" t="str">
        <f>_xlfn.XLOOKUP($D305,城市信息!$B$1:$B$14,城市信息!$D$1:$D$14)</f>
        <v>二线</v>
      </c>
      <c r="O305">
        <f>_xlfn.XLOOKUP($D305,城市信息!$B$1:$B$14,城市信息!$E$1:$E$14)</f>
        <v>10499</v>
      </c>
      <c r="P305" cm="1">
        <f t="array" ref="P305:U305">_xlfn.XLOOKUP(A305&amp;B305,'[1]2.4自动化报表-8月获客数据-非乱码'!$A:$A&amp;'[1]2.4自动化报表-8月获客数据-非乱码'!$B:$B,'[1]2.4自动化报表-8月获客数据-非乱码'!$C:$H)</f>
        <v>1773</v>
      </c>
      <c r="Q305">
        <v>1738</v>
      </c>
      <c r="R305">
        <v>1690</v>
      </c>
      <c r="S305">
        <v>1017</v>
      </c>
      <c r="T305">
        <v>614</v>
      </c>
      <c r="U305">
        <v>701</v>
      </c>
    </row>
    <row r="306" spans="1:21" x14ac:dyDescent="0.3">
      <c r="A306" s="1">
        <v>44054</v>
      </c>
      <c r="B306" t="s">
        <v>9</v>
      </c>
      <c r="C306" t="s">
        <v>108</v>
      </c>
      <c r="D306" t="s">
        <v>58</v>
      </c>
      <c r="E306" t="s">
        <v>124</v>
      </c>
      <c r="F306" s="2">
        <v>80374</v>
      </c>
      <c r="G306" s="2">
        <v>3693</v>
      </c>
      <c r="H306">
        <v>996</v>
      </c>
      <c r="I306" t="str">
        <f>_xlfn.XLOOKUP($C306,战区信息!$A$1:$A$5,战区信息!$B$1:$B$5)</f>
        <v>001</v>
      </c>
      <c r="J306" t="str">
        <f>_xlfn.XLOOKUP($C306,战区信息!$A$1:$A$5,战区信息!$C$1:$C$5)</f>
        <v>江永</v>
      </c>
      <c r="K306" t="str">
        <f>_xlfn.XLOOKUP($C306,战区信息!$A$1:$A$5,战区信息!$D$1:$D$5)</f>
        <v>一级战区</v>
      </c>
      <c r="L306" t="str">
        <f>_xlfn.XLOOKUP($D306,城市信息!$B$1:$B$14,城市信息!$A$1:$A$14)</f>
        <v>003</v>
      </c>
      <c r="M306" t="str">
        <f>_xlfn.XLOOKUP($D306,城市信息!$B$1:$B$14,城市信息!$C$1:$C$14)</f>
        <v>杜光亮</v>
      </c>
      <c r="N306" t="str">
        <f>_xlfn.XLOOKUP($D306,城市信息!$B$1:$B$14,城市信息!$D$1:$D$14)</f>
        <v>二线</v>
      </c>
      <c r="O306">
        <f>_xlfn.XLOOKUP($D306,城市信息!$B$1:$B$14,城市信息!$E$1:$E$14)</f>
        <v>10499</v>
      </c>
      <c r="P306" cm="1">
        <f t="array" ref="P306:U306">_xlfn.XLOOKUP(A306&amp;B306,'[1]2.4自动化报表-8月获客数据-非乱码'!$A:$A&amp;'[1]2.4自动化报表-8月获客数据-非乱码'!$B:$B,'[1]2.4自动化报表-8月获客数据-非乱码'!$C:$H)</f>
        <v>4308</v>
      </c>
      <c r="Q306">
        <v>4208</v>
      </c>
      <c r="R306">
        <v>4077</v>
      </c>
      <c r="S306">
        <v>2242</v>
      </c>
      <c r="T306">
        <v>1318</v>
      </c>
      <c r="U306">
        <v>694</v>
      </c>
    </row>
    <row r="307" spans="1:21" x14ac:dyDescent="0.3">
      <c r="A307" s="1">
        <v>44054</v>
      </c>
      <c r="B307" t="s">
        <v>8</v>
      </c>
      <c r="C307" t="s">
        <v>125</v>
      </c>
      <c r="D307" t="s">
        <v>66</v>
      </c>
      <c r="E307" t="s">
        <v>126</v>
      </c>
      <c r="F307" s="2">
        <v>44114</v>
      </c>
      <c r="G307" s="2">
        <v>2112</v>
      </c>
      <c r="H307">
        <v>0</v>
      </c>
      <c r="I307" t="str">
        <f>_xlfn.XLOOKUP($C307,战区信息!$A$1:$A$5,战区信息!$B$1:$B$5)</f>
        <v>004</v>
      </c>
      <c r="J307" t="str">
        <f>_xlfn.XLOOKUP($C307,战区信息!$A$1:$A$5,战区信息!$C$1:$C$5)</f>
        <v>沈乐欣</v>
      </c>
      <c r="K307" t="str">
        <f>_xlfn.XLOOKUP($C307,战区信息!$A$1:$A$5,战区信息!$D$1:$D$5)</f>
        <v>三级战区</v>
      </c>
      <c r="L307" t="str">
        <f>_xlfn.XLOOKUP($D307,城市信息!$B$1:$B$14,城市信息!$A$1:$A$14)</f>
        <v>011</v>
      </c>
      <c r="M307" t="str">
        <f>_xlfn.XLOOKUP($D307,城市信息!$B$1:$B$14,城市信息!$C$1:$C$14)</f>
        <v>冯谦</v>
      </c>
      <c r="N307" t="str">
        <f>_xlfn.XLOOKUP($D307,城市信息!$B$1:$B$14,城市信息!$D$1:$D$14)</f>
        <v>一线</v>
      </c>
      <c r="O307">
        <f>_xlfn.XLOOKUP($D307,城市信息!$B$1:$B$14,城市信息!$E$1:$E$14)</f>
        <v>8244</v>
      </c>
      <c r="P307" cm="1">
        <f t="array" ref="P307:U307">_xlfn.XLOOKUP(A307&amp;B307,'[1]2.4自动化报表-8月获客数据-非乱码'!$A:$A&amp;'[1]2.4自动化报表-8月获客数据-非乱码'!$B:$B,'[1]2.4自动化报表-8月获客数据-非乱码'!$C:$H)</f>
        <v>1320</v>
      </c>
      <c r="Q307">
        <v>1304</v>
      </c>
      <c r="R307">
        <v>1261</v>
      </c>
      <c r="S307">
        <v>682</v>
      </c>
      <c r="T307">
        <v>429</v>
      </c>
      <c r="U307">
        <v>685</v>
      </c>
    </row>
    <row r="308" spans="1:21" x14ac:dyDescent="0.3">
      <c r="A308" s="1">
        <v>44054</v>
      </c>
      <c r="B308" t="s">
        <v>7</v>
      </c>
      <c r="C308" t="s">
        <v>125</v>
      </c>
      <c r="D308" t="s">
        <v>62</v>
      </c>
      <c r="E308" t="s">
        <v>127</v>
      </c>
      <c r="F308" s="2">
        <v>14734</v>
      </c>
      <c r="G308">
        <v>944</v>
      </c>
      <c r="H308">
        <v>0</v>
      </c>
      <c r="I308" t="str">
        <f>_xlfn.XLOOKUP($C308,战区信息!$A$1:$A$5,战区信息!$B$1:$B$5)</f>
        <v>004</v>
      </c>
      <c r="J308" t="str">
        <f>_xlfn.XLOOKUP($C308,战区信息!$A$1:$A$5,战区信息!$C$1:$C$5)</f>
        <v>沈乐欣</v>
      </c>
      <c r="K308" t="str">
        <f>_xlfn.XLOOKUP($C308,战区信息!$A$1:$A$5,战区信息!$D$1:$D$5)</f>
        <v>三级战区</v>
      </c>
      <c r="L308" t="str">
        <f>_xlfn.XLOOKUP($D308,城市信息!$B$1:$B$14,城市信息!$A$1:$A$14)</f>
        <v>007</v>
      </c>
      <c r="M308" t="str">
        <f>_xlfn.XLOOKUP($D308,城市信息!$B$1:$B$14,城市信息!$C$1:$C$14)</f>
        <v>范俊发</v>
      </c>
      <c r="N308" t="str">
        <f>_xlfn.XLOOKUP($D308,城市信息!$B$1:$B$14,城市信息!$D$1:$D$14)</f>
        <v>一线</v>
      </c>
      <c r="O308">
        <f>_xlfn.XLOOKUP($D308,城市信息!$B$1:$B$14,城市信息!$E$1:$E$14)</f>
        <v>12358</v>
      </c>
      <c r="P308" cm="1">
        <f t="array" ref="P308:U308">_xlfn.XLOOKUP(A308&amp;B308,'[1]2.4自动化报表-8月获客数据-非乱码'!$A:$A&amp;'[1]2.4自动化报表-8月获客数据-非乱码'!$B:$B,'[1]2.4自动化报表-8月获客数据-非乱码'!$C:$H)</f>
        <v>132</v>
      </c>
      <c r="Q308">
        <v>126</v>
      </c>
      <c r="R308">
        <v>117</v>
      </c>
      <c r="S308">
        <v>64</v>
      </c>
      <c r="T308">
        <v>33</v>
      </c>
      <c r="U308">
        <v>689</v>
      </c>
    </row>
    <row r="309" spans="1:21" x14ac:dyDescent="0.3">
      <c r="A309" s="1">
        <v>44054</v>
      </c>
      <c r="B309" t="s">
        <v>6</v>
      </c>
      <c r="C309" t="s">
        <v>125</v>
      </c>
      <c r="D309" t="s">
        <v>62</v>
      </c>
      <c r="E309" t="s">
        <v>128</v>
      </c>
      <c r="F309" s="2">
        <v>20625</v>
      </c>
      <c r="G309" s="2">
        <v>1406</v>
      </c>
      <c r="H309" s="2">
        <v>1142</v>
      </c>
      <c r="I309" t="str">
        <f>_xlfn.XLOOKUP($C309,战区信息!$A$1:$A$5,战区信息!$B$1:$B$5)</f>
        <v>004</v>
      </c>
      <c r="J309" t="str">
        <f>_xlfn.XLOOKUP($C309,战区信息!$A$1:$A$5,战区信息!$C$1:$C$5)</f>
        <v>沈乐欣</v>
      </c>
      <c r="K309" t="str">
        <f>_xlfn.XLOOKUP($C309,战区信息!$A$1:$A$5,战区信息!$D$1:$D$5)</f>
        <v>三级战区</v>
      </c>
      <c r="L309" t="str">
        <f>_xlfn.XLOOKUP($D309,城市信息!$B$1:$B$14,城市信息!$A$1:$A$14)</f>
        <v>007</v>
      </c>
      <c r="M309" t="str">
        <f>_xlfn.XLOOKUP($D309,城市信息!$B$1:$B$14,城市信息!$C$1:$C$14)</f>
        <v>范俊发</v>
      </c>
      <c r="N309" t="str">
        <f>_xlfn.XLOOKUP($D309,城市信息!$B$1:$B$14,城市信息!$D$1:$D$14)</f>
        <v>一线</v>
      </c>
      <c r="O309">
        <f>_xlfn.XLOOKUP($D309,城市信息!$B$1:$B$14,城市信息!$E$1:$E$14)</f>
        <v>12358</v>
      </c>
      <c r="P309" cm="1">
        <f t="array" ref="P309:U309">_xlfn.XLOOKUP(A309&amp;B309,'[1]2.4自动化报表-8月获客数据-非乱码'!$A:$A&amp;'[1]2.4自动化报表-8月获客数据-非乱码'!$B:$B,'[1]2.4自动化报表-8月获客数据-非乱码'!$C:$H)</f>
        <v>1721</v>
      </c>
      <c r="Q309">
        <v>1698</v>
      </c>
      <c r="R309">
        <v>1663</v>
      </c>
      <c r="S309">
        <v>1003</v>
      </c>
      <c r="T309">
        <v>582</v>
      </c>
      <c r="U309">
        <v>688</v>
      </c>
    </row>
    <row r="310" spans="1:21" x14ac:dyDescent="0.3">
      <c r="A310" s="1">
        <v>44054</v>
      </c>
      <c r="B310" t="s">
        <v>5</v>
      </c>
      <c r="C310" t="s">
        <v>125</v>
      </c>
      <c r="D310" t="s">
        <v>62</v>
      </c>
      <c r="E310" t="s">
        <v>129</v>
      </c>
      <c r="F310" s="2">
        <v>26122</v>
      </c>
      <c r="G310" s="2">
        <v>1174</v>
      </c>
      <c r="H310">
        <v>0</v>
      </c>
      <c r="I310" t="str">
        <f>_xlfn.XLOOKUP($C310,战区信息!$A$1:$A$5,战区信息!$B$1:$B$5)</f>
        <v>004</v>
      </c>
      <c r="J310" t="str">
        <f>_xlfn.XLOOKUP($C310,战区信息!$A$1:$A$5,战区信息!$C$1:$C$5)</f>
        <v>沈乐欣</v>
      </c>
      <c r="K310" t="str">
        <f>_xlfn.XLOOKUP($C310,战区信息!$A$1:$A$5,战区信息!$D$1:$D$5)</f>
        <v>三级战区</v>
      </c>
      <c r="L310" t="str">
        <f>_xlfn.XLOOKUP($D310,城市信息!$B$1:$B$14,城市信息!$A$1:$A$14)</f>
        <v>007</v>
      </c>
      <c r="M310" t="str">
        <f>_xlfn.XLOOKUP($D310,城市信息!$B$1:$B$14,城市信息!$C$1:$C$14)</f>
        <v>范俊发</v>
      </c>
      <c r="N310" t="str">
        <f>_xlfn.XLOOKUP($D310,城市信息!$B$1:$B$14,城市信息!$D$1:$D$14)</f>
        <v>一线</v>
      </c>
      <c r="O310">
        <f>_xlfn.XLOOKUP($D310,城市信息!$B$1:$B$14,城市信息!$E$1:$E$14)</f>
        <v>12358</v>
      </c>
      <c r="P310" cm="1">
        <f t="array" ref="P310:U310">_xlfn.XLOOKUP(A310&amp;B310,'[1]2.4自动化报表-8月获客数据-非乱码'!$A:$A&amp;'[1]2.4自动化报表-8月获客数据-非乱码'!$B:$B,'[1]2.4自动化报表-8月获客数据-非乱码'!$C:$H)</f>
        <v>2795</v>
      </c>
      <c r="Q310">
        <v>2747</v>
      </c>
      <c r="R310">
        <v>2636</v>
      </c>
      <c r="S310">
        <v>1639</v>
      </c>
      <c r="T310">
        <v>850</v>
      </c>
      <c r="U310">
        <v>690</v>
      </c>
    </row>
    <row r="311" spans="1:21" x14ac:dyDescent="0.3">
      <c r="A311" s="1">
        <v>44055</v>
      </c>
      <c r="B311" t="s">
        <v>32</v>
      </c>
      <c r="C311" t="s">
        <v>97</v>
      </c>
      <c r="D311" t="s">
        <v>67</v>
      </c>
      <c r="E311" t="s">
        <v>98</v>
      </c>
      <c r="F311" s="2">
        <v>82796</v>
      </c>
      <c r="G311" s="2">
        <v>3491</v>
      </c>
      <c r="H311" s="2">
        <v>9224</v>
      </c>
      <c r="I311" t="str">
        <f>_xlfn.XLOOKUP($C311,战区信息!$A$1:$A$5,战区信息!$B$1:$B$5)</f>
        <v>003</v>
      </c>
      <c r="J311" t="str">
        <f>_xlfn.XLOOKUP($C311,战区信息!$A$1:$A$5,战区信息!$C$1:$C$5)</f>
        <v>田楠</v>
      </c>
      <c r="K311" t="str">
        <f>_xlfn.XLOOKUP($C311,战区信息!$A$1:$A$5,战区信息!$D$1:$D$5)</f>
        <v>二级战区</v>
      </c>
      <c r="L311" t="str">
        <f>_xlfn.XLOOKUP($D311,城市信息!$B$1:$B$14,城市信息!$A$1:$A$14)</f>
        <v>012</v>
      </c>
      <c r="M311" t="str">
        <f>_xlfn.XLOOKUP($D311,城市信息!$B$1:$B$14,城市信息!$C$1:$C$14)</f>
        <v>于子默</v>
      </c>
      <c r="N311" t="str">
        <f>_xlfn.XLOOKUP($D311,城市信息!$B$1:$B$14,城市信息!$D$1:$D$14)</f>
        <v>二线</v>
      </c>
      <c r="O311">
        <f>_xlfn.XLOOKUP($D311,城市信息!$B$1:$B$14,城市信息!$E$1:$E$14)</f>
        <v>9713</v>
      </c>
      <c r="P311" cm="1">
        <f t="array" ref="P311:U311">_xlfn.XLOOKUP(A311&amp;B311,'[1]2.4自动化报表-8月获客数据-非乱码'!$A:$A&amp;'[1]2.4自动化报表-8月获客数据-非乱码'!$B:$B,'[1]2.4自动化报表-8月获客数据-非乱码'!$C:$H)</f>
        <v>2583</v>
      </c>
      <c r="Q311">
        <v>2540</v>
      </c>
      <c r="R311">
        <v>2470</v>
      </c>
      <c r="S311">
        <v>1542</v>
      </c>
      <c r="T311">
        <v>855</v>
      </c>
      <c r="U311">
        <v>690</v>
      </c>
    </row>
    <row r="312" spans="1:21" x14ac:dyDescent="0.3">
      <c r="A312" s="1">
        <v>44055</v>
      </c>
      <c r="B312" t="s">
        <v>31</v>
      </c>
      <c r="C312" t="s">
        <v>97</v>
      </c>
      <c r="D312" t="s">
        <v>65</v>
      </c>
      <c r="E312" t="s">
        <v>99</v>
      </c>
      <c r="F312" s="2">
        <v>70923</v>
      </c>
      <c r="G312" s="2">
        <v>3750</v>
      </c>
      <c r="H312">
        <v>0</v>
      </c>
      <c r="I312" t="str">
        <f>_xlfn.XLOOKUP($C312,战区信息!$A$1:$A$5,战区信息!$B$1:$B$5)</f>
        <v>003</v>
      </c>
      <c r="J312" t="str">
        <f>_xlfn.XLOOKUP($C312,战区信息!$A$1:$A$5,战区信息!$C$1:$C$5)</f>
        <v>田楠</v>
      </c>
      <c r="K312" t="str">
        <f>_xlfn.XLOOKUP($C312,战区信息!$A$1:$A$5,战区信息!$D$1:$D$5)</f>
        <v>二级战区</v>
      </c>
      <c r="L312" t="str">
        <f>_xlfn.XLOOKUP($D312,城市信息!$B$1:$B$14,城市信息!$A$1:$A$14)</f>
        <v>010</v>
      </c>
      <c r="M312" t="str">
        <f>_xlfn.XLOOKUP($D312,城市信息!$B$1:$B$14,城市信息!$C$1:$C$14)</f>
        <v>黄鹏天</v>
      </c>
      <c r="N312" t="str">
        <f>_xlfn.XLOOKUP($D312,城市信息!$B$1:$B$14,城市信息!$D$1:$D$14)</f>
        <v>二线</v>
      </c>
      <c r="O312">
        <f>_xlfn.XLOOKUP($D312,城市信息!$B$1:$B$14,城市信息!$E$1:$E$14)</f>
        <v>8295</v>
      </c>
      <c r="P312" cm="1">
        <f t="array" ref="P312:U312">_xlfn.XLOOKUP(A312&amp;B312,'[1]2.4自动化报表-8月获客数据-非乱码'!$A:$A&amp;'[1]2.4自动化报表-8月获客数据-非乱码'!$B:$B,'[1]2.4自动化报表-8月获客数据-非乱码'!$C:$H)</f>
        <v>3059</v>
      </c>
      <c r="Q312">
        <v>3002</v>
      </c>
      <c r="R312">
        <v>2915</v>
      </c>
      <c r="S312">
        <v>1732</v>
      </c>
      <c r="T312">
        <v>1005</v>
      </c>
      <c r="U312">
        <v>691</v>
      </c>
    </row>
    <row r="313" spans="1:21" x14ac:dyDescent="0.3">
      <c r="A313" s="1">
        <v>44055</v>
      </c>
      <c r="B313" t="s">
        <v>30</v>
      </c>
      <c r="C313" t="s">
        <v>97</v>
      </c>
      <c r="D313" t="s">
        <v>61</v>
      </c>
      <c r="E313" t="s">
        <v>100</v>
      </c>
      <c r="F313" s="2">
        <v>138022</v>
      </c>
      <c r="G313" s="2">
        <v>6871</v>
      </c>
      <c r="H313" s="2">
        <v>13001</v>
      </c>
      <c r="I313" t="str">
        <f>_xlfn.XLOOKUP($C313,战区信息!$A$1:$A$5,战区信息!$B$1:$B$5)</f>
        <v>003</v>
      </c>
      <c r="J313" t="str">
        <f>_xlfn.XLOOKUP($C313,战区信息!$A$1:$A$5,战区信息!$C$1:$C$5)</f>
        <v>田楠</v>
      </c>
      <c r="K313" t="str">
        <f>_xlfn.XLOOKUP($C313,战区信息!$A$1:$A$5,战区信息!$D$1:$D$5)</f>
        <v>二级战区</v>
      </c>
      <c r="L313" t="str">
        <f>_xlfn.XLOOKUP($D313,城市信息!$B$1:$B$14,城市信息!$A$1:$A$14)</f>
        <v>006</v>
      </c>
      <c r="M313" t="str">
        <f>_xlfn.XLOOKUP($D313,城市信息!$B$1:$B$14,城市信息!$C$1:$C$14)</f>
        <v>王刚</v>
      </c>
      <c r="N313" t="str">
        <f>_xlfn.XLOOKUP($D313,城市信息!$B$1:$B$14,城市信息!$D$1:$D$14)</f>
        <v>二线</v>
      </c>
      <c r="O313">
        <f>_xlfn.XLOOKUP($D313,城市信息!$B$1:$B$14,城市信息!$E$1:$E$14)</f>
        <v>9107</v>
      </c>
      <c r="P313" cm="1">
        <f t="array" ref="P313:U313">_xlfn.XLOOKUP(A313&amp;B313,'[1]2.4自动化报表-8月获客数据-非乱码'!$A:$A&amp;'[1]2.4自动化报表-8月获客数据-非乱码'!$B:$B,'[1]2.4自动化报表-8月获客数据-非乱码'!$C:$H)</f>
        <v>2949</v>
      </c>
      <c r="Q313">
        <v>2885</v>
      </c>
      <c r="R313">
        <v>2764</v>
      </c>
      <c r="S313">
        <v>1674</v>
      </c>
      <c r="T313">
        <v>857</v>
      </c>
      <c r="U313">
        <v>697</v>
      </c>
    </row>
    <row r="314" spans="1:21" x14ac:dyDescent="0.3">
      <c r="A314" s="1">
        <v>44055</v>
      </c>
      <c r="B314" t="s">
        <v>29</v>
      </c>
      <c r="C314" t="s">
        <v>97</v>
      </c>
      <c r="D314" t="s">
        <v>64</v>
      </c>
      <c r="E314" t="s">
        <v>101</v>
      </c>
      <c r="F314" s="2">
        <v>68171</v>
      </c>
      <c r="G314" s="2">
        <v>3297</v>
      </c>
      <c r="H314" s="2">
        <v>1613</v>
      </c>
      <c r="I314" t="str">
        <f>_xlfn.XLOOKUP($C314,战区信息!$A$1:$A$5,战区信息!$B$1:$B$5)</f>
        <v>003</v>
      </c>
      <c r="J314" t="str">
        <f>_xlfn.XLOOKUP($C314,战区信息!$A$1:$A$5,战区信息!$C$1:$C$5)</f>
        <v>田楠</v>
      </c>
      <c r="K314" t="str">
        <f>_xlfn.XLOOKUP($C314,战区信息!$A$1:$A$5,战区信息!$D$1:$D$5)</f>
        <v>二级战区</v>
      </c>
      <c r="L314" t="str">
        <f>_xlfn.XLOOKUP($D314,城市信息!$B$1:$B$14,城市信息!$A$1:$A$14)</f>
        <v>009</v>
      </c>
      <c r="M314" t="str">
        <f>_xlfn.XLOOKUP($D314,城市信息!$B$1:$B$14,城市信息!$C$1:$C$14)</f>
        <v>叶超</v>
      </c>
      <c r="N314" t="str">
        <f>_xlfn.XLOOKUP($D314,城市信息!$B$1:$B$14,城市信息!$D$1:$D$14)</f>
        <v>二线</v>
      </c>
      <c r="O314">
        <f>_xlfn.XLOOKUP($D314,城市信息!$B$1:$B$14,城市信息!$E$1:$E$14)</f>
        <v>9016</v>
      </c>
      <c r="P314" cm="1">
        <f t="array" ref="P314:U314">_xlfn.XLOOKUP(A314&amp;B314,'[1]2.4自动化报表-8月获客数据-非乱码'!$A:$A&amp;'[1]2.4自动化报表-8月获客数据-非乱码'!$B:$B,'[1]2.4自动化报表-8月获客数据-非乱码'!$C:$H)</f>
        <v>2990</v>
      </c>
      <c r="Q314">
        <v>2919</v>
      </c>
      <c r="R314">
        <v>2820</v>
      </c>
      <c r="S314">
        <v>1821</v>
      </c>
      <c r="T314">
        <v>1015</v>
      </c>
      <c r="U314">
        <v>691</v>
      </c>
    </row>
    <row r="315" spans="1:21" x14ac:dyDescent="0.3">
      <c r="A315" s="1">
        <v>44055</v>
      </c>
      <c r="B315" t="s">
        <v>28</v>
      </c>
      <c r="C315" t="s">
        <v>97</v>
      </c>
      <c r="D315" t="s">
        <v>64</v>
      </c>
      <c r="E315" t="s">
        <v>102</v>
      </c>
      <c r="F315" s="2">
        <v>34500</v>
      </c>
      <c r="G315" s="2">
        <v>1437</v>
      </c>
      <c r="H315">
        <v>0</v>
      </c>
      <c r="I315" t="str">
        <f>_xlfn.XLOOKUP($C315,战区信息!$A$1:$A$5,战区信息!$B$1:$B$5)</f>
        <v>003</v>
      </c>
      <c r="J315" t="str">
        <f>_xlfn.XLOOKUP($C315,战区信息!$A$1:$A$5,战区信息!$C$1:$C$5)</f>
        <v>田楠</v>
      </c>
      <c r="K315" t="str">
        <f>_xlfn.XLOOKUP($C315,战区信息!$A$1:$A$5,战区信息!$D$1:$D$5)</f>
        <v>二级战区</v>
      </c>
      <c r="L315" t="str">
        <f>_xlfn.XLOOKUP($D315,城市信息!$B$1:$B$14,城市信息!$A$1:$A$14)</f>
        <v>009</v>
      </c>
      <c r="M315" t="str">
        <f>_xlfn.XLOOKUP($D315,城市信息!$B$1:$B$14,城市信息!$C$1:$C$14)</f>
        <v>叶超</v>
      </c>
      <c r="N315" t="str">
        <f>_xlfn.XLOOKUP($D315,城市信息!$B$1:$B$14,城市信息!$D$1:$D$14)</f>
        <v>二线</v>
      </c>
      <c r="O315">
        <f>_xlfn.XLOOKUP($D315,城市信息!$B$1:$B$14,城市信息!$E$1:$E$14)</f>
        <v>9016</v>
      </c>
      <c r="P315" cm="1">
        <f t="array" ref="P315:U315">_xlfn.XLOOKUP(A315&amp;B315,'[1]2.4自动化报表-8月获客数据-非乱码'!$A:$A&amp;'[1]2.4自动化报表-8月获客数据-非乱码'!$B:$B,'[1]2.4自动化报表-8月获客数据-非乱码'!$C:$H)</f>
        <v>672</v>
      </c>
      <c r="Q315">
        <v>662</v>
      </c>
      <c r="R315">
        <v>643</v>
      </c>
      <c r="S315">
        <v>443</v>
      </c>
      <c r="T315">
        <v>209</v>
      </c>
      <c r="U315">
        <v>692</v>
      </c>
    </row>
    <row r="316" spans="1:21" x14ac:dyDescent="0.3">
      <c r="A316" s="1">
        <v>44055</v>
      </c>
      <c r="B316" t="s">
        <v>27</v>
      </c>
      <c r="C316" t="s">
        <v>103</v>
      </c>
      <c r="D316" t="s">
        <v>63</v>
      </c>
      <c r="E316" t="s">
        <v>104</v>
      </c>
      <c r="F316" s="2">
        <v>127333</v>
      </c>
      <c r="G316" s="2">
        <v>7905</v>
      </c>
      <c r="H316" s="2">
        <v>12190</v>
      </c>
      <c r="I316" t="str">
        <f>_xlfn.XLOOKUP($C316,战区信息!$A$1:$A$5,战区信息!$B$1:$B$5)</f>
        <v>002</v>
      </c>
      <c r="J316" t="str">
        <f>_xlfn.XLOOKUP($C316,战区信息!$A$1:$A$5,战区信息!$C$1:$C$5)</f>
        <v>高安平</v>
      </c>
      <c r="K316" t="str">
        <f>_xlfn.XLOOKUP($C316,战区信息!$A$1:$A$5,战区信息!$D$1:$D$5)</f>
        <v>二级战区</v>
      </c>
      <c r="L316" t="str">
        <f>_xlfn.XLOOKUP($D316,城市信息!$B$1:$B$14,城市信息!$A$1:$A$14)</f>
        <v>008</v>
      </c>
      <c r="M316" t="str">
        <f>_xlfn.XLOOKUP($D316,城市信息!$B$1:$B$14,城市信息!$C$1:$C$14)</f>
        <v>高弘壮</v>
      </c>
      <c r="N316" t="str">
        <f>_xlfn.XLOOKUP($D316,城市信息!$B$1:$B$14,城市信息!$D$1:$D$14)</f>
        <v>一线</v>
      </c>
      <c r="O316">
        <f>_xlfn.XLOOKUP($D316,城市信息!$B$1:$B$14,城市信息!$E$1:$E$14)</f>
        <v>11498</v>
      </c>
      <c r="P316" cm="1">
        <f t="array" ref="P316:U316">_xlfn.XLOOKUP(A316&amp;B316,'[1]2.4自动化报表-8月获客数据-非乱码'!$A:$A&amp;'[1]2.4自动化报表-8月获客数据-非乱码'!$B:$B,'[1]2.4自动化报表-8月获客数据-非乱码'!$C:$H)</f>
        <v>3823</v>
      </c>
      <c r="Q316">
        <v>3708</v>
      </c>
      <c r="R316">
        <v>3535</v>
      </c>
      <c r="S316">
        <v>2103</v>
      </c>
      <c r="T316">
        <v>1122</v>
      </c>
      <c r="U316">
        <v>689</v>
      </c>
    </row>
    <row r="317" spans="1:21" x14ac:dyDescent="0.3">
      <c r="A317" s="1">
        <v>44055</v>
      </c>
      <c r="B317" t="s">
        <v>26</v>
      </c>
      <c r="C317" t="s">
        <v>103</v>
      </c>
      <c r="D317" t="s">
        <v>57</v>
      </c>
      <c r="E317" t="s">
        <v>105</v>
      </c>
      <c r="F317" s="2">
        <v>253340</v>
      </c>
      <c r="G317" s="2">
        <v>13208</v>
      </c>
      <c r="H317" s="2">
        <v>2501</v>
      </c>
      <c r="I317" t="str">
        <f>_xlfn.XLOOKUP($C317,战区信息!$A$1:$A$5,战区信息!$B$1:$B$5)</f>
        <v>002</v>
      </c>
      <c r="J317" t="str">
        <f>_xlfn.XLOOKUP($C317,战区信息!$A$1:$A$5,战区信息!$C$1:$C$5)</f>
        <v>高安平</v>
      </c>
      <c r="K317" t="str">
        <f>_xlfn.XLOOKUP($C317,战区信息!$A$1:$A$5,战区信息!$D$1:$D$5)</f>
        <v>二级战区</v>
      </c>
      <c r="L317" t="str">
        <f>_xlfn.XLOOKUP($D317,城市信息!$B$1:$B$14,城市信息!$A$1:$A$14)</f>
        <v>002</v>
      </c>
      <c r="M317" t="str">
        <f>_xlfn.XLOOKUP($D317,城市信息!$B$1:$B$14,城市信息!$C$1:$C$14)</f>
        <v>孙乒</v>
      </c>
      <c r="N317" t="str">
        <f>_xlfn.XLOOKUP($D317,城市信息!$B$1:$B$14,城市信息!$D$1:$D$14)</f>
        <v>一线</v>
      </c>
      <c r="O317">
        <f>_xlfn.XLOOKUP($D317,城市信息!$B$1:$B$14,城市信息!$E$1:$E$14)</f>
        <v>9854</v>
      </c>
      <c r="P317" cm="1">
        <f t="array" ref="P317:U317">_xlfn.XLOOKUP(A317&amp;B317,'[1]2.4自动化报表-8月获客数据-非乱码'!$A:$A&amp;'[1]2.4自动化报表-8月获客数据-非乱码'!$B:$B,'[1]2.4自动化报表-8月获客数据-非乱码'!$C:$H)</f>
        <v>6715</v>
      </c>
      <c r="Q317">
        <v>6552</v>
      </c>
      <c r="R317">
        <v>6276</v>
      </c>
      <c r="S317">
        <v>3927</v>
      </c>
      <c r="T317">
        <v>2170</v>
      </c>
      <c r="U317">
        <v>688</v>
      </c>
    </row>
    <row r="318" spans="1:21" x14ac:dyDescent="0.3">
      <c r="A318" s="1">
        <v>44055</v>
      </c>
      <c r="B318" t="s">
        <v>25</v>
      </c>
      <c r="C318" t="s">
        <v>103</v>
      </c>
      <c r="D318" t="s">
        <v>57</v>
      </c>
      <c r="E318" t="s">
        <v>106</v>
      </c>
      <c r="F318" s="2">
        <v>86937</v>
      </c>
      <c r="G318" s="2">
        <v>3950</v>
      </c>
      <c r="H318" s="2">
        <v>1364</v>
      </c>
      <c r="I318" t="str">
        <f>_xlfn.XLOOKUP($C318,战区信息!$A$1:$A$5,战区信息!$B$1:$B$5)</f>
        <v>002</v>
      </c>
      <c r="J318" t="str">
        <f>_xlfn.XLOOKUP($C318,战区信息!$A$1:$A$5,战区信息!$C$1:$C$5)</f>
        <v>高安平</v>
      </c>
      <c r="K318" t="str">
        <f>_xlfn.XLOOKUP($C318,战区信息!$A$1:$A$5,战区信息!$D$1:$D$5)</f>
        <v>二级战区</v>
      </c>
      <c r="L318" t="str">
        <f>_xlfn.XLOOKUP($D318,城市信息!$B$1:$B$14,城市信息!$A$1:$A$14)</f>
        <v>002</v>
      </c>
      <c r="M318" t="str">
        <f>_xlfn.XLOOKUP($D318,城市信息!$B$1:$B$14,城市信息!$C$1:$C$14)</f>
        <v>孙乒</v>
      </c>
      <c r="N318" t="str">
        <f>_xlfn.XLOOKUP($D318,城市信息!$B$1:$B$14,城市信息!$D$1:$D$14)</f>
        <v>一线</v>
      </c>
      <c r="O318">
        <f>_xlfn.XLOOKUP($D318,城市信息!$B$1:$B$14,城市信息!$E$1:$E$14)</f>
        <v>9854</v>
      </c>
      <c r="P318" cm="1">
        <f t="array" ref="P318:U318">_xlfn.XLOOKUP(A318&amp;B318,'[1]2.4自动化报表-8月获客数据-非乱码'!$A:$A&amp;'[1]2.4自动化报表-8月获客数据-非乱码'!$B:$B,'[1]2.4自动化报表-8月获客数据-非乱码'!$C:$H)</f>
        <v>3385</v>
      </c>
      <c r="Q318">
        <v>3296</v>
      </c>
      <c r="R318">
        <v>3129</v>
      </c>
      <c r="S318">
        <v>1864</v>
      </c>
      <c r="T318">
        <v>1064</v>
      </c>
      <c r="U318">
        <v>688</v>
      </c>
    </row>
    <row r="319" spans="1:21" x14ac:dyDescent="0.3">
      <c r="A319" s="1">
        <v>44055</v>
      </c>
      <c r="B319" t="s">
        <v>24</v>
      </c>
      <c r="C319" t="s">
        <v>103</v>
      </c>
      <c r="D319" t="s">
        <v>57</v>
      </c>
      <c r="E319" t="s">
        <v>107</v>
      </c>
      <c r="F319" s="2">
        <v>66479</v>
      </c>
      <c r="G319" s="2">
        <v>3046</v>
      </c>
      <c r="H319">
        <v>0</v>
      </c>
      <c r="I319" t="str">
        <f>_xlfn.XLOOKUP($C319,战区信息!$A$1:$A$5,战区信息!$B$1:$B$5)</f>
        <v>002</v>
      </c>
      <c r="J319" t="str">
        <f>_xlfn.XLOOKUP($C319,战区信息!$A$1:$A$5,战区信息!$C$1:$C$5)</f>
        <v>高安平</v>
      </c>
      <c r="K319" t="str">
        <f>_xlfn.XLOOKUP($C319,战区信息!$A$1:$A$5,战区信息!$D$1:$D$5)</f>
        <v>二级战区</v>
      </c>
      <c r="L319" t="str">
        <f>_xlfn.XLOOKUP($D319,城市信息!$B$1:$B$14,城市信息!$A$1:$A$14)</f>
        <v>002</v>
      </c>
      <c r="M319" t="str">
        <f>_xlfn.XLOOKUP($D319,城市信息!$B$1:$B$14,城市信息!$C$1:$C$14)</f>
        <v>孙乒</v>
      </c>
      <c r="N319" t="str">
        <f>_xlfn.XLOOKUP($D319,城市信息!$B$1:$B$14,城市信息!$D$1:$D$14)</f>
        <v>一线</v>
      </c>
      <c r="O319">
        <f>_xlfn.XLOOKUP($D319,城市信息!$B$1:$B$14,城市信息!$E$1:$E$14)</f>
        <v>9854</v>
      </c>
      <c r="P319" cm="1">
        <f t="array" ref="P319:U319">_xlfn.XLOOKUP(A319&amp;B319,'[1]2.4自动化报表-8月获客数据-非乱码'!$A:$A&amp;'[1]2.4自动化报表-8月获客数据-非乱码'!$B:$B,'[1]2.4自动化报表-8月获客数据-非乱码'!$C:$H)</f>
        <v>3815</v>
      </c>
      <c r="Q319">
        <v>3753</v>
      </c>
      <c r="R319">
        <v>3594</v>
      </c>
      <c r="S319">
        <v>2217</v>
      </c>
      <c r="T319">
        <v>1296</v>
      </c>
      <c r="U319">
        <v>690</v>
      </c>
    </row>
    <row r="320" spans="1:21" x14ac:dyDescent="0.3">
      <c r="A320" s="1">
        <v>44055</v>
      </c>
      <c r="B320" t="s">
        <v>23</v>
      </c>
      <c r="C320" t="s">
        <v>108</v>
      </c>
      <c r="D320" t="s">
        <v>109</v>
      </c>
      <c r="E320" t="s">
        <v>110</v>
      </c>
      <c r="F320" s="2">
        <v>223040</v>
      </c>
      <c r="G320" s="2">
        <v>11765</v>
      </c>
      <c r="H320">
        <v>0</v>
      </c>
      <c r="I320" t="str">
        <f>_xlfn.XLOOKUP($C320,战区信息!$A$1:$A$5,战区信息!$B$1:$B$5)</f>
        <v>001</v>
      </c>
      <c r="J320" t="str">
        <f>_xlfn.XLOOKUP($C320,战区信息!$A$1:$A$5,战区信息!$C$1:$C$5)</f>
        <v>江永</v>
      </c>
      <c r="K320" t="str">
        <f>_xlfn.XLOOKUP($C320,战区信息!$A$1:$A$5,战区信息!$D$1:$D$5)</f>
        <v>一级战区</v>
      </c>
      <c r="L320" t="str">
        <f>_xlfn.XLOOKUP($D320,城市信息!$B$1:$B$14,城市信息!$A$1:$A$14)</f>
        <v>013</v>
      </c>
      <c r="M320" t="str">
        <f>_xlfn.XLOOKUP($D320,城市信息!$B$1:$B$14,城市信息!$C$1:$C$14)</f>
        <v>张建</v>
      </c>
      <c r="N320" t="str">
        <f>_xlfn.XLOOKUP($D320,城市信息!$B$1:$B$14,城市信息!$D$1:$D$14)</f>
        <v>二线</v>
      </c>
      <c r="O320">
        <f>_xlfn.XLOOKUP($D320,城市信息!$B$1:$B$14,城市信息!$E$1:$E$14)</f>
        <v>8800</v>
      </c>
      <c r="P320" cm="1">
        <f t="array" ref="P320:U320">_xlfn.XLOOKUP(A320&amp;B320,'[1]2.4自动化报表-8月获客数据-非乱码'!$A:$A&amp;'[1]2.4自动化报表-8月获客数据-非乱码'!$B:$B,'[1]2.4自动化报表-8月获客数据-非乱码'!$C:$H)</f>
        <v>7187</v>
      </c>
      <c r="Q320">
        <v>6928</v>
      </c>
      <c r="R320">
        <v>6595</v>
      </c>
      <c r="S320">
        <v>3995</v>
      </c>
      <c r="T320">
        <v>2060</v>
      </c>
      <c r="U320">
        <v>695</v>
      </c>
    </row>
    <row r="321" spans="1:21" x14ac:dyDescent="0.3">
      <c r="A321" s="1">
        <v>44055</v>
      </c>
      <c r="B321" t="s">
        <v>22</v>
      </c>
      <c r="C321" t="s">
        <v>108</v>
      </c>
      <c r="D321" t="s">
        <v>109</v>
      </c>
      <c r="E321" t="s">
        <v>111</v>
      </c>
      <c r="F321" s="2">
        <v>2092</v>
      </c>
      <c r="G321">
        <v>160</v>
      </c>
      <c r="H321">
        <v>614</v>
      </c>
      <c r="I321" t="str">
        <f>_xlfn.XLOOKUP($C321,战区信息!$A$1:$A$5,战区信息!$B$1:$B$5)</f>
        <v>001</v>
      </c>
      <c r="J321" t="str">
        <f>_xlfn.XLOOKUP($C321,战区信息!$A$1:$A$5,战区信息!$C$1:$C$5)</f>
        <v>江永</v>
      </c>
      <c r="K321" t="str">
        <f>_xlfn.XLOOKUP($C321,战区信息!$A$1:$A$5,战区信息!$D$1:$D$5)</f>
        <v>一级战区</v>
      </c>
      <c r="L321" t="str">
        <f>_xlfn.XLOOKUP($D321,城市信息!$B$1:$B$14,城市信息!$A$1:$A$14)</f>
        <v>013</v>
      </c>
      <c r="M321" t="str">
        <f>_xlfn.XLOOKUP($D321,城市信息!$B$1:$B$14,城市信息!$C$1:$C$14)</f>
        <v>张建</v>
      </c>
      <c r="N321" t="str">
        <f>_xlfn.XLOOKUP($D321,城市信息!$B$1:$B$14,城市信息!$D$1:$D$14)</f>
        <v>二线</v>
      </c>
      <c r="O321">
        <f>_xlfn.XLOOKUP($D321,城市信息!$B$1:$B$14,城市信息!$E$1:$E$14)</f>
        <v>8800</v>
      </c>
      <c r="P321" cm="1">
        <f t="array" ref="P321:U321">_xlfn.XLOOKUP(A321&amp;B321,'[1]2.4自动化报表-8月获客数据-非乱码'!$A:$A&amp;'[1]2.4自动化报表-8月获客数据-非乱码'!$B:$B,'[1]2.4自动化报表-8月获客数据-非乱码'!$C:$H)</f>
        <v>179</v>
      </c>
      <c r="Q321">
        <v>176</v>
      </c>
      <c r="R321">
        <v>172</v>
      </c>
      <c r="S321">
        <v>104</v>
      </c>
      <c r="T321">
        <v>76</v>
      </c>
      <c r="U321">
        <v>694</v>
      </c>
    </row>
    <row r="322" spans="1:21" x14ac:dyDescent="0.3">
      <c r="A322" s="1">
        <v>44055</v>
      </c>
      <c r="B322" t="s">
        <v>21</v>
      </c>
      <c r="C322" t="s">
        <v>108</v>
      </c>
      <c r="D322" t="s">
        <v>109</v>
      </c>
      <c r="E322" t="s">
        <v>112</v>
      </c>
      <c r="F322" s="2">
        <v>245887</v>
      </c>
      <c r="G322" s="2">
        <v>11982</v>
      </c>
      <c r="H322" s="2">
        <v>6290</v>
      </c>
      <c r="I322" t="str">
        <f>_xlfn.XLOOKUP($C322,战区信息!$A$1:$A$5,战区信息!$B$1:$B$5)</f>
        <v>001</v>
      </c>
      <c r="J322" t="str">
        <f>_xlfn.XLOOKUP($C322,战区信息!$A$1:$A$5,战区信息!$C$1:$C$5)</f>
        <v>江永</v>
      </c>
      <c r="K322" t="str">
        <f>_xlfn.XLOOKUP($C322,战区信息!$A$1:$A$5,战区信息!$D$1:$D$5)</f>
        <v>一级战区</v>
      </c>
      <c r="L322" t="str">
        <f>_xlfn.XLOOKUP($D322,城市信息!$B$1:$B$14,城市信息!$A$1:$A$14)</f>
        <v>013</v>
      </c>
      <c r="M322" t="str">
        <f>_xlfn.XLOOKUP($D322,城市信息!$B$1:$B$14,城市信息!$C$1:$C$14)</f>
        <v>张建</v>
      </c>
      <c r="N322" t="str">
        <f>_xlfn.XLOOKUP($D322,城市信息!$B$1:$B$14,城市信息!$D$1:$D$14)</f>
        <v>二线</v>
      </c>
      <c r="O322">
        <f>_xlfn.XLOOKUP($D322,城市信息!$B$1:$B$14,城市信息!$E$1:$E$14)</f>
        <v>8800</v>
      </c>
      <c r="P322" cm="1">
        <f t="array" ref="P322:U322">_xlfn.XLOOKUP(A322&amp;B322,'[1]2.4自动化报表-8月获客数据-非乱码'!$A:$A&amp;'[1]2.4自动化报表-8月获客数据-非乱码'!$B:$B,'[1]2.4自动化报表-8月获客数据-非乱码'!$C:$H)</f>
        <v>6027</v>
      </c>
      <c r="Q322">
        <v>5785</v>
      </c>
      <c r="R322">
        <v>5519</v>
      </c>
      <c r="S322">
        <v>3187</v>
      </c>
      <c r="T322">
        <v>1733</v>
      </c>
      <c r="U322">
        <v>696</v>
      </c>
    </row>
    <row r="323" spans="1:21" x14ac:dyDescent="0.3">
      <c r="A323" s="1">
        <v>44055</v>
      </c>
      <c r="B323" t="s">
        <v>20</v>
      </c>
      <c r="C323" t="s">
        <v>108</v>
      </c>
      <c r="D323" t="s">
        <v>56</v>
      </c>
      <c r="E323" t="s">
        <v>113</v>
      </c>
      <c r="F323" s="2">
        <v>93356</v>
      </c>
      <c r="G323" s="2">
        <v>4725</v>
      </c>
      <c r="H323">
        <v>0</v>
      </c>
      <c r="I323" t="str">
        <f>_xlfn.XLOOKUP($C323,战区信息!$A$1:$A$5,战区信息!$B$1:$B$5)</f>
        <v>001</v>
      </c>
      <c r="J323" t="str">
        <f>_xlfn.XLOOKUP($C323,战区信息!$A$1:$A$5,战区信息!$C$1:$C$5)</f>
        <v>江永</v>
      </c>
      <c r="K323" t="str">
        <f>_xlfn.XLOOKUP($C323,战区信息!$A$1:$A$5,战区信息!$D$1:$D$5)</f>
        <v>一级战区</v>
      </c>
      <c r="L323" t="str">
        <f>_xlfn.XLOOKUP($D323,城市信息!$B$1:$B$14,城市信息!$A$1:$A$14)</f>
        <v>001</v>
      </c>
      <c r="M323" t="str">
        <f>_xlfn.XLOOKUP($D323,城市信息!$B$1:$B$14,城市信息!$C$1:$C$14)</f>
        <v>吴刚</v>
      </c>
      <c r="N323" t="str">
        <f>_xlfn.XLOOKUP($D323,城市信息!$B$1:$B$14,城市信息!$D$1:$D$14)</f>
        <v>一线</v>
      </c>
      <c r="O323">
        <f>_xlfn.XLOOKUP($D323,城市信息!$B$1:$B$14,城市信息!$E$1:$E$14)</f>
        <v>12114</v>
      </c>
      <c r="P323" cm="1">
        <f t="array" ref="P323:U323">_xlfn.XLOOKUP(A323&amp;B323,'[1]2.4自动化报表-8月获客数据-非乱码'!$A:$A&amp;'[1]2.4自动化报表-8月获客数据-非乱码'!$B:$B,'[1]2.4自动化报表-8月获客数据-非乱码'!$C:$H)</f>
        <v>4336</v>
      </c>
      <c r="Q323">
        <v>4194</v>
      </c>
      <c r="R323">
        <v>4017</v>
      </c>
      <c r="S323">
        <v>2444</v>
      </c>
      <c r="T323">
        <v>1303</v>
      </c>
      <c r="U323">
        <v>693</v>
      </c>
    </row>
    <row r="324" spans="1:21" x14ac:dyDescent="0.3">
      <c r="A324" s="1">
        <v>44055</v>
      </c>
      <c r="B324" t="s">
        <v>19</v>
      </c>
      <c r="C324" t="s">
        <v>108</v>
      </c>
      <c r="D324" t="s">
        <v>56</v>
      </c>
      <c r="E324" t="s">
        <v>114</v>
      </c>
      <c r="F324" s="2">
        <v>80676</v>
      </c>
      <c r="G324" s="2">
        <v>4105</v>
      </c>
      <c r="H324">
        <v>170</v>
      </c>
      <c r="I324" t="str">
        <f>_xlfn.XLOOKUP($C324,战区信息!$A$1:$A$5,战区信息!$B$1:$B$5)</f>
        <v>001</v>
      </c>
      <c r="J324" t="str">
        <f>_xlfn.XLOOKUP($C324,战区信息!$A$1:$A$5,战区信息!$C$1:$C$5)</f>
        <v>江永</v>
      </c>
      <c r="K324" t="str">
        <f>_xlfn.XLOOKUP($C324,战区信息!$A$1:$A$5,战区信息!$D$1:$D$5)</f>
        <v>一级战区</v>
      </c>
      <c r="L324" t="str">
        <f>_xlfn.XLOOKUP($D324,城市信息!$B$1:$B$14,城市信息!$A$1:$A$14)</f>
        <v>001</v>
      </c>
      <c r="M324" t="str">
        <f>_xlfn.XLOOKUP($D324,城市信息!$B$1:$B$14,城市信息!$C$1:$C$14)</f>
        <v>吴刚</v>
      </c>
      <c r="N324" t="str">
        <f>_xlfn.XLOOKUP($D324,城市信息!$B$1:$B$14,城市信息!$D$1:$D$14)</f>
        <v>一线</v>
      </c>
      <c r="O324">
        <f>_xlfn.XLOOKUP($D324,城市信息!$B$1:$B$14,城市信息!$E$1:$E$14)</f>
        <v>12114</v>
      </c>
      <c r="P324" cm="1">
        <f t="array" ref="P324:U324">_xlfn.XLOOKUP(A324&amp;B324,'[1]2.4自动化报表-8月获客数据-非乱码'!$A:$A&amp;'[1]2.4自动化报表-8月获客数据-非乱码'!$B:$B,'[1]2.4自动化报表-8月获客数据-非乱码'!$C:$H)</f>
        <v>2925</v>
      </c>
      <c r="Q324">
        <v>2858</v>
      </c>
      <c r="R324">
        <v>2747</v>
      </c>
      <c r="S324">
        <v>1612</v>
      </c>
      <c r="T324">
        <v>968</v>
      </c>
      <c r="U324">
        <v>696</v>
      </c>
    </row>
    <row r="325" spans="1:21" x14ac:dyDescent="0.3">
      <c r="A325" s="1">
        <v>44055</v>
      </c>
      <c r="B325" t="s">
        <v>18</v>
      </c>
      <c r="C325" t="s">
        <v>108</v>
      </c>
      <c r="D325" t="s">
        <v>56</v>
      </c>
      <c r="E325" t="s">
        <v>115</v>
      </c>
      <c r="F325" s="2">
        <v>184281</v>
      </c>
      <c r="G325" s="2">
        <v>9578</v>
      </c>
      <c r="H325" s="2">
        <v>3247</v>
      </c>
      <c r="I325" t="str">
        <f>_xlfn.XLOOKUP($C325,战区信息!$A$1:$A$5,战区信息!$B$1:$B$5)</f>
        <v>001</v>
      </c>
      <c r="J325" t="str">
        <f>_xlfn.XLOOKUP($C325,战区信息!$A$1:$A$5,战区信息!$C$1:$C$5)</f>
        <v>江永</v>
      </c>
      <c r="K325" t="str">
        <f>_xlfn.XLOOKUP($C325,战区信息!$A$1:$A$5,战区信息!$D$1:$D$5)</f>
        <v>一级战区</v>
      </c>
      <c r="L325" t="str">
        <f>_xlfn.XLOOKUP($D325,城市信息!$B$1:$B$14,城市信息!$A$1:$A$14)</f>
        <v>001</v>
      </c>
      <c r="M325" t="str">
        <f>_xlfn.XLOOKUP($D325,城市信息!$B$1:$B$14,城市信息!$C$1:$C$14)</f>
        <v>吴刚</v>
      </c>
      <c r="N325" t="str">
        <f>_xlfn.XLOOKUP($D325,城市信息!$B$1:$B$14,城市信息!$D$1:$D$14)</f>
        <v>一线</v>
      </c>
      <c r="O325">
        <f>_xlfn.XLOOKUP($D325,城市信息!$B$1:$B$14,城市信息!$E$1:$E$14)</f>
        <v>12114</v>
      </c>
      <c r="P325" cm="1">
        <f t="array" ref="P325:U325">_xlfn.XLOOKUP(A325&amp;B325,'[1]2.4自动化报表-8月获客数据-非乱码'!$A:$A&amp;'[1]2.4自动化报表-8月获客数据-非乱码'!$B:$B,'[1]2.4自动化报表-8月获客数据-非乱码'!$C:$H)</f>
        <v>3421</v>
      </c>
      <c r="Q325">
        <v>3365</v>
      </c>
      <c r="R325">
        <v>3226</v>
      </c>
      <c r="S325">
        <v>1948</v>
      </c>
      <c r="T325">
        <v>1039</v>
      </c>
      <c r="U325">
        <v>690</v>
      </c>
    </row>
    <row r="326" spans="1:21" x14ac:dyDescent="0.3">
      <c r="A326" s="1">
        <v>44055</v>
      </c>
      <c r="B326" t="s">
        <v>17</v>
      </c>
      <c r="C326" t="s">
        <v>108</v>
      </c>
      <c r="D326" t="s">
        <v>59</v>
      </c>
      <c r="E326" t="s">
        <v>116</v>
      </c>
      <c r="F326" s="2">
        <v>141986</v>
      </c>
      <c r="G326" s="2">
        <v>8567</v>
      </c>
      <c r="H326">
        <v>0</v>
      </c>
      <c r="I326" t="str">
        <f>_xlfn.XLOOKUP($C326,战区信息!$A$1:$A$5,战区信息!$B$1:$B$5)</f>
        <v>001</v>
      </c>
      <c r="J326" t="str">
        <f>_xlfn.XLOOKUP($C326,战区信息!$A$1:$A$5,战区信息!$C$1:$C$5)</f>
        <v>江永</v>
      </c>
      <c r="K326" t="str">
        <f>_xlfn.XLOOKUP($C326,战区信息!$A$1:$A$5,战区信息!$D$1:$D$5)</f>
        <v>一级战区</v>
      </c>
      <c r="L326" t="str">
        <f>_xlfn.XLOOKUP($D326,城市信息!$B$1:$B$14,城市信息!$A$1:$A$14)</f>
        <v>004</v>
      </c>
      <c r="M326" t="str">
        <f>_xlfn.XLOOKUP($D326,城市信息!$B$1:$B$14,城市信息!$C$1:$C$14)</f>
        <v>苏川</v>
      </c>
      <c r="N326" t="str">
        <f>_xlfn.XLOOKUP($D326,城市信息!$B$1:$B$14,城市信息!$D$1:$D$14)</f>
        <v>二线</v>
      </c>
      <c r="O326">
        <f>_xlfn.XLOOKUP($D326,城市信息!$B$1:$B$14,城市信息!$E$1:$E$14)</f>
        <v>9912</v>
      </c>
      <c r="P326" cm="1">
        <f t="array" ref="P326:U326">_xlfn.XLOOKUP(A326&amp;B326,'[1]2.4自动化报表-8月获客数据-非乱码'!$A:$A&amp;'[1]2.4自动化报表-8月获客数据-非乱码'!$B:$B,'[1]2.4自动化报表-8月获客数据-非乱码'!$C:$H)</f>
        <v>2653</v>
      </c>
      <c r="Q326">
        <v>2593</v>
      </c>
      <c r="R326">
        <v>2506</v>
      </c>
      <c r="S326">
        <v>1439</v>
      </c>
      <c r="T326">
        <v>791</v>
      </c>
      <c r="U326">
        <v>696</v>
      </c>
    </row>
    <row r="327" spans="1:21" x14ac:dyDescent="0.3">
      <c r="A327" s="1">
        <v>44055</v>
      </c>
      <c r="B327" t="s">
        <v>16</v>
      </c>
      <c r="C327" t="s">
        <v>108</v>
      </c>
      <c r="D327" t="s">
        <v>59</v>
      </c>
      <c r="E327" t="s">
        <v>117</v>
      </c>
      <c r="F327" s="2">
        <v>92065</v>
      </c>
      <c r="G327" s="2">
        <v>4114</v>
      </c>
      <c r="H327">
        <v>0</v>
      </c>
      <c r="I327" t="str">
        <f>_xlfn.XLOOKUP($C327,战区信息!$A$1:$A$5,战区信息!$B$1:$B$5)</f>
        <v>001</v>
      </c>
      <c r="J327" t="str">
        <f>_xlfn.XLOOKUP($C327,战区信息!$A$1:$A$5,战区信息!$C$1:$C$5)</f>
        <v>江永</v>
      </c>
      <c r="K327" t="str">
        <f>_xlfn.XLOOKUP($C327,战区信息!$A$1:$A$5,战区信息!$D$1:$D$5)</f>
        <v>一级战区</v>
      </c>
      <c r="L327" t="str">
        <f>_xlfn.XLOOKUP($D327,城市信息!$B$1:$B$14,城市信息!$A$1:$A$14)</f>
        <v>004</v>
      </c>
      <c r="M327" t="str">
        <f>_xlfn.XLOOKUP($D327,城市信息!$B$1:$B$14,城市信息!$C$1:$C$14)</f>
        <v>苏川</v>
      </c>
      <c r="N327" t="str">
        <f>_xlfn.XLOOKUP($D327,城市信息!$B$1:$B$14,城市信息!$D$1:$D$14)</f>
        <v>二线</v>
      </c>
      <c r="O327">
        <f>_xlfn.XLOOKUP($D327,城市信息!$B$1:$B$14,城市信息!$E$1:$E$14)</f>
        <v>9912</v>
      </c>
      <c r="P327" cm="1">
        <f t="array" ref="P327:U327">_xlfn.XLOOKUP(A327&amp;B327,'[1]2.4自动化报表-8月获客数据-非乱码'!$A:$A&amp;'[1]2.4自动化报表-8月获客数据-非乱码'!$B:$B,'[1]2.4自动化报表-8月获客数据-非乱码'!$C:$H)</f>
        <v>1612</v>
      </c>
      <c r="Q327">
        <v>1554</v>
      </c>
      <c r="R327">
        <v>1476</v>
      </c>
      <c r="S327">
        <v>889</v>
      </c>
      <c r="T327">
        <v>481</v>
      </c>
      <c r="U327">
        <v>698</v>
      </c>
    </row>
    <row r="328" spans="1:21" x14ac:dyDescent="0.3">
      <c r="A328" s="1">
        <v>44055</v>
      </c>
      <c r="B328" t="s">
        <v>15</v>
      </c>
      <c r="C328" t="s">
        <v>108</v>
      </c>
      <c r="D328" t="s">
        <v>59</v>
      </c>
      <c r="E328" t="s">
        <v>118</v>
      </c>
      <c r="F328" s="2">
        <v>67351</v>
      </c>
      <c r="G328" s="2">
        <v>2840</v>
      </c>
      <c r="H328">
        <v>0</v>
      </c>
      <c r="I328" t="str">
        <f>_xlfn.XLOOKUP($C328,战区信息!$A$1:$A$5,战区信息!$B$1:$B$5)</f>
        <v>001</v>
      </c>
      <c r="J328" t="str">
        <f>_xlfn.XLOOKUP($C328,战区信息!$A$1:$A$5,战区信息!$C$1:$C$5)</f>
        <v>江永</v>
      </c>
      <c r="K328" t="str">
        <f>_xlfn.XLOOKUP($C328,战区信息!$A$1:$A$5,战区信息!$D$1:$D$5)</f>
        <v>一级战区</v>
      </c>
      <c r="L328" t="str">
        <f>_xlfn.XLOOKUP($D328,城市信息!$B$1:$B$14,城市信息!$A$1:$A$14)</f>
        <v>004</v>
      </c>
      <c r="M328" t="str">
        <f>_xlfn.XLOOKUP($D328,城市信息!$B$1:$B$14,城市信息!$C$1:$C$14)</f>
        <v>苏川</v>
      </c>
      <c r="N328" t="str">
        <f>_xlfn.XLOOKUP($D328,城市信息!$B$1:$B$14,城市信息!$D$1:$D$14)</f>
        <v>二线</v>
      </c>
      <c r="O328">
        <f>_xlfn.XLOOKUP($D328,城市信息!$B$1:$B$14,城市信息!$E$1:$E$14)</f>
        <v>9912</v>
      </c>
      <c r="P328" cm="1">
        <f t="array" ref="P328:U328">_xlfn.XLOOKUP(A328&amp;B328,'[1]2.4自动化报表-8月获客数据-非乱码'!$A:$A&amp;'[1]2.4自动化报表-8月获客数据-非乱码'!$B:$B,'[1]2.4自动化报表-8月获客数据-非乱码'!$C:$H)</f>
        <v>2869</v>
      </c>
      <c r="Q328">
        <v>2815</v>
      </c>
      <c r="R328">
        <v>2713</v>
      </c>
      <c r="S328">
        <v>1648</v>
      </c>
      <c r="T328">
        <v>829</v>
      </c>
      <c r="U328">
        <v>698</v>
      </c>
    </row>
    <row r="329" spans="1:21" x14ac:dyDescent="0.3">
      <c r="A329" s="1">
        <v>44055</v>
      </c>
      <c r="B329" t="s">
        <v>14</v>
      </c>
      <c r="C329" t="s">
        <v>108</v>
      </c>
      <c r="D329" t="s">
        <v>59</v>
      </c>
      <c r="E329" t="s">
        <v>119</v>
      </c>
      <c r="F329" s="2">
        <v>130904</v>
      </c>
      <c r="G329" s="2">
        <v>6164</v>
      </c>
      <c r="H329">
        <v>0</v>
      </c>
      <c r="I329" t="str">
        <f>_xlfn.XLOOKUP($C329,战区信息!$A$1:$A$5,战区信息!$B$1:$B$5)</f>
        <v>001</v>
      </c>
      <c r="J329" t="str">
        <f>_xlfn.XLOOKUP($C329,战区信息!$A$1:$A$5,战区信息!$C$1:$C$5)</f>
        <v>江永</v>
      </c>
      <c r="K329" t="str">
        <f>_xlfn.XLOOKUP($C329,战区信息!$A$1:$A$5,战区信息!$D$1:$D$5)</f>
        <v>一级战区</v>
      </c>
      <c r="L329" t="str">
        <f>_xlfn.XLOOKUP($D329,城市信息!$B$1:$B$14,城市信息!$A$1:$A$14)</f>
        <v>004</v>
      </c>
      <c r="M329" t="str">
        <f>_xlfn.XLOOKUP($D329,城市信息!$B$1:$B$14,城市信息!$C$1:$C$14)</f>
        <v>苏川</v>
      </c>
      <c r="N329" t="str">
        <f>_xlfn.XLOOKUP($D329,城市信息!$B$1:$B$14,城市信息!$D$1:$D$14)</f>
        <v>二线</v>
      </c>
      <c r="O329">
        <f>_xlfn.XLOOKUP($D329,城市信息!$B$1:$B$14,城市信息!$E$1:$E$14)</f>
        <v>9912</v>
      </c>
      <c r="P329" cm="1">
        <f t="array" ref="P329:U329">_xlfn.XLOOKUP(A329&amp;B329,'[1]2.4自动化报表-8月获客数据-非乱码'!$A:$A&amp;'[1]2.4自动化报表-8月获客数据-非乱码'!$B:$B,'[1]2.4自动化报表-8月获客数据-非乱码'!$C:$H)</f>
        <v>2750</v>
      </c>
      <c r="Q329">
        <v>2659</v>
      </c>
      <c r="R329">
        <v>2549</v>
      </c>
      <c r="S329">
        <v>1581</v>
      </c>
      <c r="T329">
        <v>811</v>
      </c>
      <c r="U329">
        <v>698</v>
      </c>
    </row>
    <row r="330" spans="1:21" x14ac:dyDescent="0.3">
      <c r="A330" s="1">
        <v>44055</v>
      </c>
      <c r="B330" t="s">
        <v>13</v>
      </c>
      <c r="C330" t="s">
        <v>108</v>
      </c>
      <c r="D330" t="s">
        <v>60</v>
      </c>
      <c r="E330" t="s">
        <v>120</v>
      </c>
      <c r="F330" s="2">
        <v>76057</v>
      </c>
      <c r="G330" s="2">
        <v>3395</v>
      </c>
      <c r="H330">
        <v>0</v>
      </c>
      <c r="I330" t="str">
        <f>_xlfn.XLOOKUP($C330,战区信息!$A$1:$A$5,战区信息!$B$1:$B$5)</f>
        <v>001</v>
      </c>
      <c r="J330" t="str">
        <f>_xlfn.XLOOKUP($C330,战区信息!$A$1:$A$5,战区信息!$C$1:$C$5)</f>
        <v>江永</v>
      </c>
      <c r="K330" t="str">
        <f>_xlfn.XLOOKUP($C330,战区信息!$A$1:$A$5,战区信息!$D$1:$D$5)</f>
        <v>一级战区</v>
      </c>
      <c r="L330" t="str">
        <f>_xlfn.XLOOKUP($D330,城市信息!$B$1:$B$14,城市信息!$A$1:$A$14)</f>
        <v>005</v>
      </c>
      <c r="M330" t="str">
        <f>_xlfn.XLOOKUP($D330,城市信息!$B$1:$B$14,城市信息!$C$1:$C$14)</f>
        <v>侯阳冰</v>
      </c>
      <c r="N330" t="str">
        <f>_xlfn.XLOOKUP($D330,城市信息!$B$1:$B$14,城市信息!$D$1:$D$14)</f>
        <v>二线</v>
      </c>
      <c r="O330">
        <f>_xlfn.XLOOKUP($D330,城市信息!$B$1:$B$14,城市信息!$E$1:$E$14)</f>
        <v>8694</v>
      </c>
      <c r="P330" cm="1">
        <f t="array" ref="P330:U330">_xlfn.XLOOKUP(A330&amp;B330,'[1]2.4自动化报表-8月获客数据-非乱码'!$A:$A&amp;'[1]2.4自动化报表-8月获客数据-非乱码'!$B:$B,'[1]2.4自动化报表-8月获客数据-非乱码'!$C:$H)</f>
        <v>3331</v>
      </c>
      <c r="Q330">
        <v>3254</v>
      </c>
      <c r="R330">
        <v>3110</v>
      </c>
      <c r="S330">
        <v>1880</v>
      </c>
      <c r="T330">
        <v>976</v>
      </c>
      <c r="U330">
        <v>692</v>
      </c>
    </row>
    <row r="331" spans="1:21" x14ac:dyDescent="0.3">
      <c r="A331" s="1">
        <v>44055</v>
      </c>
      <c r="B331" t="s">
        <v>12</v>
      </c>
      <c r="C331" t="s">
        <v>108</v>
      </c>
      <c r="D331" t="s">
        <v>60</v>
      </c>
      <c r="E331" t="s">
        <v>121</v>
      </c>
      <c r="F331" s="2">
        <v>134152</v>
      </c>
      <c r="G331" s="2">
        <v>6240</v>
      </c>
      <c r="H331" s="2">
        <v>13449</v>
      </c>
      <c r="I331" t="str">
        <f>_xlfn.XLOOKUP($C331,战区信息!$A$1:$A$5,战区信息!$B$1:$B$5)</f>
        <v>001</v>
      </c>
      <c r="J331" t="str">
        <f>_xlfn.XLOOKUP($C331,战区信息!$A$1:$A$5,战区信息!$C$1:$C$5)</f>
        <v>江永</v>
      </c>
      <c r="K331" t="str">
        <f>_xlfn.XLOOKUP($C331,战区信息!$A$1:$A$5,战区信息!$D$1:$D$5)</f>
        <v>一级战区</v>
      </c>
      <c r="L331" t="str">
        <f>_xlfn.XLOOKUP($D331,城市信息!$B$1:$B$14,城市信息!$A$1:$A$14)</f>
        <v>005</v>
      </c>
      <c r="M331" t="str">
        <f>_xlfn.XLOOKUP($D331,城市信息!$B$1:$B$14,城市信息!$C$1:$C$14)</f>
        <v>侯阳冰</v>
      </c>
      <c r="N331" t="str">
        <f>_xlfn.XLOOKUP($D331,城市信息!$B$1:$B$14,城市信息!$D$1:$D$14)</f>
        <v>二线</v>
      </c>
      <c r="O331">
        <f>_xlfn.XLOOKUP($D331,城市信息!$B$1:$B$14,城市信息!$E$1:$E$14)</f>
        <v>8694</v>
      </c>
      <c r="P331" cm="1">
        <f t="array" ref="P331:U331">_xlfn.XLOOKUP(A331&amp;B331,'[1]2.4自动化报表-8月获客数据-非乱码'!$A:$A&amp;'[1]2.4自动化报表-8月获客数据-非乱码'!$B:$B,'[1]2.4自动化报表-8月获客数据-非乱码'!$C:$H)</f>
        <v>1044</v>
      </c>
      <c r="Q331">
        <v>1026</v>
      </c>
      <c r="R331">
        <v>964</v>
      </c>
      <c r="S331">
        <v>631</v>
      </c>
      <c r="T331">
        <v>310</v>
      </c>
      <c r="U331">
        <v>697</v>
      </c>
    </row>
    <row r="332" spans="1:21" x14ac:dyDescent="0.3">
      <c r="A332" s="1">
        <v>44055</v>
      </c>
      <c r="B332" t="s">
        <v>11</v>
      </c>
      <c r="C332" t="s">
        <v>108</v>
      </c>
      <c r="D332" t="s">
        <v>58</v>
      </c>
      <c r="E332" t="s">
        <v>122</v>
      </c>
      <c r="F332" s="2">
        <v>208700</v>
      </c>
      <c r="G332" s="2">
        <v>10165</v>
      </c>
      <c r="H332">
        <v>0</v>
      </c>
      <c r="I332" t="str">
        <f>_xlfn.XLOOKUP($C332,战区信息!$A$1:$A$5,战区信息!$B$1:$B$5)</f>
        <v>001</v>
      </c>
      <c r="J332" t="str">
        <f>_xlfn.XLOOKUP($C332,战区信息!$A$1:$A$5,战区信息!$C$1:$C$5)</f>
        <v>江永</v>
      </c>
      <c r="K332" t="str">
        <f>_xlfn.XLOOKUP($C332,战区信息!$A$1:$A$5,战区信息!$D$1:$D$5)</f>
        <v>一级战区</v>
      </c>
      <c r="L332" t="str">
        <f>_xlfn.XLOOKUP($D332,城市信息!$B$1:$B$14,城市信息!$A$1:$A$14)</f>
        <v>003</v>
      </c>
      <c r="M332" t="str">
        <f>_xlfn.XLOOKUP($D332,城市信息!$B$1:$B$14,城市信息!$C$1:$C$14)</f>
        <v>杜光亮</v>
      </c>
      <c r="N332" t="str">
        <f>_xlfn.XLOOKUP($D332,城市信息!$B$1:$B$14,城市信息!$D$1:$D$14)</f>
        <v>二线</v>
      </c>
      <c r="O332">
        <f>_xlfn.XLOOKUP($D332,城市信息!$B$1:$B$14,城市信息!$E$1:$E$14)</f>
        <v>10499</v>
      </c>
      <c r="P332" cm="1">
        <f t="array" ref="P332:U332">_xlfn.XLOOKUP(A332&amp;B332,'[1]2.4自动化报表-8月获客数据-非乱码'!$A:$A&amp;'[1]2.4自动化报表-8月获客数据-非乱码'!$B:$B,'[1]2.4自动化报表-8月获客数据-非乱码'!$C:$H)</f>
        <v>5306</v>
      </c>
      <c r="Q332">
        <v>5100</v>
      </c>
      <c r="R332">
        <v>4819</v>
      </c>
      <c r="S332">
        <v>2993</v>
      </c>
      <c r="T332">
        <v>1380</v>
      </c>
      <c r="U332">
        <v>703</v>
      </c>
    </row>
    <row r="333" spans="1:21" x14ac:dyDescent="0.3">
      <c r="A333" s="1">
        <v>44055</v>
      </c>
      <c r="B333" t="s">
        <v>10</v>
      </c>
      <c r="C333" t="s">
        <v>108</v>
      </c>
      <c r="D333" t="s">
        <v>58</v>
      </c>
      <c r="E333" t="s">
        <v>123</v>
      </c>
      <c r="F333" s="2">
        <v>71002</v>
      </c>
      <c r="G333" s="2">
        <v>3034</v>
      </c>
      <c r="H333">
        <v>0</v>
      </c>
      <c r="I333" t="str">
        <f>_xlfn.XLOOKUP($C333,战区信息!$A$1:$A$5,战区信息!$B$1:$B$5)</f>
        <v>001</v>
      </c>
      <c r="J333" t="str">
        <f>_xlfn.XLOOKUP($C333,战区信息!$A$1:$A$5,战区信息!$C$1:$C$5)</f>
        <v>江永</v>
      </c>
      <c r="K333" t="str">
        <f>_xlfn.XLOOKUP($C333,战区信息!$A$1:$A$5,战区信息!$D$1:$D$5)</f>
        <v>一级战区</v>
      </c>
      <c r="L333" t="str">
        <f>_xlfn.XLOOKUP($D333,城市信息!$B$1:$B$14,城市信息!$A$1:$A$14)</f>
        <v>003</v>
      </c>
      <c r="M333" t="str">
        <f>_xlfn.XLOOKUP($D333,城市信息!$B$1:$B$14,城市信息!$C$1:$C$14)</f>
        <v>杜光亮</v>
      </c>
      <c r="N333" t="str">
        <f>_xlfn.XLOOKUP($D333,城市信息!$B$1:$B$14,城市信息!$D$1:$D$14)</f>
        <v>二线</v>
      </c>
      <c r="O333">
        <f>_xlfn.XLOOKUP($D333,城市信息!$B$1:$B$14,城市信息!$E$1:$E$14)</f>
        <v>10499</v>
      </c>
      <c r="P333" cm="1">
        <f t="array" ref="P333:U333">_xlfn.XLOOKUP(A333&amp;B333,'[1]2.4自动化报表-8月获客数据-非乱码'!$A:$A&amp;'[1]2.4自动化报表-8月获客数据-非乱码'!$B:$B,'[1]2.4自动化报表-8月获客数据-非乱码'!$C:$H)</f>
        <v>1773</v>
      </c>
      <c r="Q333">
        <v>1738</v>
      </c>
      <c r="R333">
        <v>1690</v>
      </c>
      <c r="S333">
        <v>1017</v>
      </c>
      <c r="T333">
        <v>614</v>
      </c>
      <c r="U333">
        <v>701</v>
      </c>
    </row>
    <row r="334" spans="1:21" x14ac:dyDescent="0.3">
      <c r="A334" s="1">
        <v>44055</v>
      </c>
      <c r="B334" t="s">
        <v>9</v>
      </c>
      <c r="C334" t="s">
        <v>108</v>
      </c>
      <c r="D334" t="s">
        <v>58</v>
      </c>
      <c r="E334" t="s">
        <v>124</v>
      </c>
      <c r="F334" s="2">
        <v>128828</v>
      </c>
      <c r="G334" s="2">
        <v>6012</v>
      </c>
      <c r="H334">
        <v>669</v>
      </c>
      <c r="I334" t="str">
        <f>_xlfn.XLOOKUP($C334,战区信息!$A$1:$A$5,战区信息!$B$1:$B$5)</f>
        <v>001</v>
      </c>
      <c r="J334" t="str">
        <f>_xlfn.XLOOKUP($C334,战区信息!$A$1:$A$5,战区信息!$C$1:$C$5)</f>
        <v>江永</v>
      </c>
      <c r="K334" t="str">
        <f>_xlfn.XLOOKUP($C334,战区信息!$A$1:$A$5,战区信息!$D$1:$D$5)</f>
        <v>一级战区</v>
      </c>
      <c r="L334" t="str">
        <f>_xlfn.XLOOKUP($D334,城市信息!$B$1:$B$14,城市信息!$A$1:$A$14)</f>
        <v>003</v>
      </c>
      <c r="M334" t="str">
        <f>_xlfn.XLOOKUP($D334,城市信息!$B$1:$B$14,城市信息!$C$1:$C$14)</f>
        <v>杜光亮</v>
      </c>
      <c r="N334" t="str">
        <f>_xlfn.XLOOKUP($D334,城市信息!$B$1:$B$14,城市信息!$D$1:$D$14)</f>
        <v>二线</v>
      </c>
      <c r="O334">
        <f>_xlfn.XLOOKUP($D334,城市信息!$B$1:$B$14,城市信息!$E$1:$E$14)</f>
        <v>10499</v>
      </c>
      <c r="P334" cm="1">
        <f t="array" ref="P334:U334">_xlfn.XLOOKUP(A334&amp;B334,'[1]2.4自动化报表-8月获客数据-非乱码'!$A:$A&amp;'[1]2.4自动化报表-8月获客数据-非乱码'!$B:$B,'[1]2.4自动化报表-8月获客数据-非乱码'!$C:$H)</f>
        <v>4286</v>
      </c>
      <c r="Q334">
        <v>4183</v>
      </c>
      <c r="R334">
        <v>4030</v>
      </c>
      <c r="S334">
        <v>2285</v>
      </c>
      <c r="T334">
        <v>1267</v>
      </c>
      <c r="U334">
        <v>693</v>
      </c>
    </row>
    <row r="335" spans="1:21" x14ac:dyDescent="0.3">
      <c r="A335" s="1">
        <v>44055</v>
      </c>
      <c r="B335" t="s">
        <v>8</v>
      </c>
      <c r="C335" t="s">
        <v>125</v>
      </c>
      <c r="D335" t="s">
        <v>66</v>
      </c>
      <c r="E335" t="s">
        <v>126</v>
      </c>
      <c r="F335" s="2">
        <v>48242</v>
      </c>
      <c r="G335" s="2">
        <v>2721</v>
      </c>
      <c r="H335">
        <v>498</v>
      </c>
      <c r="I335" t="str">
        <f>_xlfn.XLOOKUP($C335,战区信息!$A$1:$A$5,战区信息!$B$1:$B$5)</f>
        <v>004</v>
      </c>
      <c r="J335" t="str">
        <f>_xlfn.XLOOKUP($C335,战区信息!$A$1:$A$5,战区信息!$C$1:$C$5)</f>
        <v>沈乐欣</v>
      </c>
      <c r="K335" t="str">
        <f>_xlfn.XLOOKUP($C335,战区信息!$A$1:$A$5,战区信息!$D$1:$D$5)</f>
        <v>三级战区</v>
      </c>
      <c r="L335" t="str">
        <f>_xlfn.XLOOKUP($D335,城市信息!$B$1:$B$14,城市信息!$A$1:$A$14)</f>
        <v>011</v>
      </c>
      <c r="M335" t="str">
        <f>_xlfn.XLOOKUP($D335,城市信息!$B$1:$B$14,城市信息!$C$1:$C$14)</f>
        <v>冯谦</v>
      </c>
      <c r="N335" t="str">
        <f>_xlfn.XLOOKUP($D335,城市信息!$B$1:$B$14,城市信息!$D$1:$D$14)</f>
        <v>一线</v>
      </c>
      <c r="O335">
        <f>_xlfn.XLOOKUP($D335,城市信息!$B$1:$B$14,城市信息!$E$1:$E$14)</f>
        <v>8244</v>
      </c>
      <c r="P335" cm="1">
        <f t="array" ref="P335:U335">_xlfn.XLOOKUP(A335&amp;B335,'[1]2.4自动化报表-8月获客数据-非乱码'!$A:$A&amp;'[1]2.4自动化报表-8月获客数据-非乱码'!$B:$B,'[1]2.4自动化报表-8月获客数据-非乱码'!$C:$H)</f>
        <v>1449</v>
      </c>
      <c r="Q335">
        <v>1437</v>
      </c>
      <c r="R335">
        <v>1395</v>
      </c>
      <c r="S335">
        <v>753</v>
      </c>
      <c r="T335">
        <v>476</v>
      </c>
      <c r="U335">
        <v>685</v>
      </c>
    </row>
    <row r="336" spans="1:21" x14ac:dyDescent="0.3">
      <c r="A336" s="1">
        <v>44055</v>
      </c>
      <c r="B336" t="s">
        <v>6</v>
      </c>
      <c r="C336" t="s">
        <v>125</v>
      </c>
      <c r="D336" t="s">
        <v>62</v>
      </c>
      <c r="E336" t="s">
        <v>128</v>
      </c>
      <c r="F336" s="2">
        <v>12376</v>
      </c>
      <c r="G336">
        <v>768</v>
      </c>
      <c r="H336">
        <v>0</v>
      </c>
      <c r="I336" t="str">
        <f>_xlfn.XLOOKUP($C336,战区信息!$A$1:$A$5,战区信息!$B$1:$B$5)</f>
        <v>004</v>
      </c>
      <c r="J336" t="str">
        <f>_xlfn.XLOOKUP($C336,战区信息!$A$1:$A$5,战区信息!$C$1:$C$5)</f>
        <v>沈乐欣</v>
      </c>
      <c r="K336" t="str">
        <f>_xlfn.XLOOKUP($C336,战区信息!$A$1:$A$5,战区信息!$D$1:$D$5)</f>
        <v>三级战区</v>
      </c>
      <c r="L336" t="str">
        <f>_xlfn.XLOOKUP($D336,城市信息!$B$1:$B$14,城市信息!$A$1:$A$14)</f>
        <v>007</v>
      </c>
      <c r="M336" t="str">
        <f>_xlfn.XLOOKUP($D336,城市信息!$B$1:$B$14,城市信息!$C$1:$C$14)</f>
        <v>范俊发</v>
      </c>
      <c r="N336" t="str">
        <f>_xlfn.XLOOKUP($D336,城市信息!$B$1:$B$14,城市信息!$D$1:$D$14)</f>
        <v>一线</v>
      </c>
      <c r="O336">
        <f>_xlfn.XLOOKUP($D336,城市信息!$B$1:$B$14,城市信息!$E$1:$E$14)</f>
        <v>12358</v>
      </c>
      <c r="P336" cm="1">
        <f t="array" ref="P336:U336">_xlfn.XLOOKUP(A336&amp;B336,'[1]2.4自动化报表-8月获客数据-非乱码'!$A:$A&amp;'[1]2.4自动化报表-8月获客数据-非乱码'!$B:$B,'[1]2.4自动化报表-8月获客数据-非乱码'!$C:$H)</f>
        <v>1721</v>
      </c>
      <c r="Q336">
        <v>1698</v>
      </c>
      <c r="R336">
        <v>1663</v>
      </c>
      <c r="S336">
        <v>1003</v>
      </c>
      <c r="T336">
        <v>582</v>
      </c>
      <c r="U336">
        <v>688</v>
      </c>
    </row>
    <row r="337" spans="1:21" x14ac:dyDescent="0.3">
      <c r="A337" s="1">
        <v>44055</v>
      </c>
      <c r="B337" t="s">
        <v>5</v>
      </c>
      <c r="C337" t="s">
        <v>125</v>
      </c>
      <c r="D337" t="s">
        <v>62</v>
      </c>
      <c r="E337" t="s">
        <v>129</v>
      </c>
      <c r="F337" s="2">
        <v>47106</v>
      </c>
      <c r="G337" s="2">
        <v>2668</v>
      </c>
      <c r="H337">
        <v>0</v>
      </c>
      <c r="I337" t="str">
        <f>_xlfn.XLOOKUP($C337,战区信息!$A$1:$A$5,战区信息!$B$1:$B$5)</f>
        <v>004</v>
      </c>
      <c r="J337" t="str">
        <f>_xlfn.XLOOKUP($C337,战区信息!$A$1:$A$5,战区信息!$C$1:$C$5)</f>
        <v>沈乐欣</v>
      </c>
      <c r="K337" t="str">
        <f>_xlfn.XLOOKUP($C337,战区信息!$A$1:$A$5,战区信息!$D$1:$D$5)</f>
        <v>三级战区</v>
      </c>
      <c r="L337" t="str">
        <f>_xlfn.XLOOKUP($D337,城市信息!$B$1:$B$14,城市信息!$A$1:$A$14)</f>
        <v>007</v>
      </c>
      <c r="M337" t="str">
        <f>_xlfn.XLOOKUP($D337,城市信息!$B$1:$B$14,城市信息!$C$1:$C$14)</f>
        <v>范俊发</v>
      </c>
      <c r="N337" t="str">
        <f>_xlfn.XLOOKUP($D337,城市信息!$B$1:$B$14,城市信息!$D$1:$D$14)</f>
        <v>一线</v>
      </c>
      <c r="O337">
        <f>_xlfn.XLOOKUP($D337,城市信息!$B$1:$B$14,城市信息!$E$1:$E$14)</f>
        <v>12358</v>
      </c>
      <c r="P337" cm="1">
        <f t="array" ref="P337:U337">_xlfn.XLOOKUP(A337&amp;B337,'[1]2.4自动化报表-8月获客数据-非乱码'!$A:$A&amp;'[1]2.4自动化报表-8月获客数据-非乱码'!$B:$B,'[1]2.4自动化报表-8月获客数据-非乱码'!$C:$H)</f>
        <v>2245</v>
      </c>
      <c r="Q337">
        <v>2189</v>
      </c>
      <c r="R337">
        <v>2090</v>
      </c>
      <c r="S337">
        <v>1337</v>
      </c>
      <c r="T337">
        <v>667</v>
      </c>
      <c r="U337">
        <v>689</v>
      </c>
    </row>
    <row r="338" spans="1:21" x14ac:dyDescent="0.3">
      <c r="A338" s="1">
        <v>44056</v>
      </c>
      <c r="B338" t="s">
        <v>32</v>
      </c>
      <c r="C338" t="s">
        <v>97</v>
      </c>
      <c r="D338" t="s">
        <v>67</v>
      </c>
      <c r="E338" t="s">
        <v>98</v>
      </c>
      <c r="F338" s="2">
        <v>132035</v>
      </c>
      <c r="G338" s="2">
        <v>6298</v>
      </c>
      <c r="H338">
        <v>0</v>
      </c>
      <c r="I338" t="str">
        <f>_xlfn.XLOOKUP($C338,战区信息!$A$1:$A$5,战区信息!$B$1:$B$5)</f>
        <v>003</v>
      </c>
      <c r="J338" t="str">
        <f>_xlfn.XLOOKUP($C338,战区信息!$A$1:$A$5,战区信息!$C$1:$C$5)</f>
        <v>田楠</v>
      </c>
      <c r="K338" t="str">
        <f>_xlfn.XLOOKUP($C338,战区信息!$A$1:$A$5,战区信息!$D$1:$D$5)</f>
        <v>二级战区</v>
      </c>
      <c r="L338" t="str">
        <f>_xlfn.XLOOKUP($D338,城市信息!$B$1:$B$14,城市信息!$A$1:$A$14)</f>
        <v>012</v>
      </c>
      <c r="M338" t="str">
        <f>_xlfn.XLOOKUP($D338,城市信息!$B$1:$B$14,城市信息!$C$1:$C$14)</f>
        <v>于子默</v>
      </c>
      <c r="N338" t="str">
        <f>_xlfn.XLOOKUP($D338,城市信息!$B$1:$B$14,城市信息!$D$1:$D$14)</f>
        <v>二线</v>
      </c>
      <c r="O338">
        <f>_xlfn.XLOOKUP($D338,城市信息!$B$1:$B$14,城市信息!$E$1:$E$14)</f>
        <v>9713</v>
      </c>
      <c r="P338" cm="1">
        <f t="array" ref="P338:U338">_xlfn.XLOOKUP(A338&amp;B338,'[1]2.4自动化报表-8月获客数据-非乱码'!$A:$A&amp;'[1]2.4自动化报表-8月获客数据-非乱码'!$B:$B,'[1]2.4自动化报表-8月获客数据-非乱码'!$C:$H)</f>
        <v>2583</v>
      </c>
      <c r="Q338">
        <v>2540</v>
      </c>
      <c r="R338">
        <v>2470</v>
      </c>
      <c r="S338">
        <v>1542</v>
      </c>
      <c r="T338">
        <v>855</v>
      </c>
      <c r="U338">
        <v>690</v>
      </c>
    </row>
    <row r="339" spans="1:21" x14ac:dyDescent="0.3">
      <c r="A339" s="1">
        <v>44056</v>
      </c>
      <c r="B339" t="s">
        <v>31</v>
      </c>
      <c r="C339" t="s">
        <v>97</v>
      </c>
      <c r="D339" t="s">
        <v>65</v>
      </c>
      <c r="E339" t="s">
        <v>99</v>
      </c>
      <c r="F339" s="2">
        <v>34147</v>
      </c>
      <c r="G339" s="2">
        <v>1871</v>
      </c>
      <c r="H339">
        <v>0</v>
      </c>
      <c r="I339" t="str">
        <f>_xlfn.XLOOKUP($C339,战区信息!$A$1:$A$5,战区信息!$B$1:$B$5)</f>
        <v>003</v>
      </c>
      <c r="J339" t="str">
        <f>_xlfn.XLOOKUP($C339,战区信息!$A$1:$A$5,战区信息!$C$1:$C$5)</f>
        <v>田楠</v>
      </c>
      <c r="K339" t="str">
        <f>_xlfn.XLOOKUP($C339,战区信息!$A$1:$A$5,战区信息!$D$1:$D$5)</f>
        <v>二级战区</v>
      </c>
      <c r="L339" t="str">
        <f>_xlfn.XLOOKUP($D339,城市信息!$B$1:$B$14,城市信息!$A$1:$A$14)</f>
        <v>010</v>
      </c>
      <c r="M339" t="str">
        <f>_xlfn.XLOOKUP($D339,城市信息!$B$1:$B$14,城市信息!$C$1:$C$14)</f>
        <v>黄鹏天</v>
      </c>
      <c r="N339" t="str">
        <f>_xlfn.XLOOKUP($D339,城市信息!$B$1:$B$14,城市信息!$D$1:$D$14)</f>
        <v>二线</v>
      </c>
      <c r="O339">
        <f>_xlfn.XLOOKUP($D339,城市信息!$B$1:$B$14,城市信息!$E$1:$E$14)</f>
        <v>8295</v>
      </c>
      <c r="P339" cm="1">
        <f t="array" ref="P339:U339">_xlfn.XLOOKUP(A339&amp;B339,'[1]2.4自动化报表-8月获客数据-非乱码'!$A:$A&amp;'[1]2.4自动化报表-8月获客数据-非乱码'!$B:$B,'[1]2.4自动化报表-8月获客数据-非乱码'!$C:$H)</f>
        <v>2475</v>
      </c>
      <c r="Q339">
        <v>2426</v>
      </c>
      <c r="R339">
        <v>2349</v>
      </c>
      <c r="S339">
        <v>1384</v>
      </c>
      <c r="T339">
        <v>764</v>
      </c>
      <c r="U339">
        <v>690</v>
      </c>
    </row>
    <row r="340" spans="1:21" x14ac:dyDescent="0.3">
      <c r="A340" s="1">
        <v>44056</v>
      </c>
      <c r="B340" t="s">
        <v>30</v>
      </c>
      <c r="C340" t="s">
        <v>97</v>
      </c>
      <c r="D340" t="s">
        <v>61</v>
      </c>
      <c r="E340" t="s">
        <v>100</v>
      </c>
      <c r="F340" s="2">
        <v>142372</v>
      </c>
      <c r="G340" s="2">
        <v>7766</v>
      </c>
      <c r="H340">
        <v>0</v>
      </c>
      <c r="I340" t="str">
        <f>_xlfn.XLOOKUP($C340,战区信息!$A$1:$A$5,战区信息!$B$1:$B$5)</f>
        <v>003</v>
      </c>
      <c r="J340" t="str">
        <f>_xlfn.XLOOKUP($C340,战区信息!$A$1:$A$5,战区信息!$C$1:$C$5)</f>
        <v>田楠</v>
      </c>
      <c r="K340" t="str">
        <f>_xlfn.XLOOKUP($C340,战区信息!$A$1:$A$5,战区信息!$D$1:$D$5)</f>
        <v>二级战区</v>
      </c>
      <c r="L340" t="str">
        <f>_xlfn.XLOOKUP($D340,城市信息!$B$1:$B$14,城市信息!$A$1:$A$14)</f>
        <v>006</v>
      </c>
      <c r="M340" t="str">
        <f>_xlfn.XLOOKUP($D340,城市信息!$B$1:$B$14,城市信息!$C$1:$C$14)</f>
        <v>王刚</v>
      </c>
      <c r="N340" t="str">
        <f>_xlfn.XLOOKUP($D340,城市信息!$B$1:$B$14,城市信息!$D$1:$D$14)</f>
        <v>二线</v>
      </c>
      <c r="O340">
        <f>_xlfn.XLOOKUP($D340,城市信息!$B$1:$B$14,城市信息!$E$1:$E$14)</f>
        <v>9107</v>
      </c>
      <c r="P340" cm="1">
        <f t="array" ref="P340:U340">_xlfn.XLOOKUP(A340&amp;B340,'[1]2.4自动化报表-8月获客数据-非乱码'!$A:$A&amp;'[1]2.4自动化报表-8月获客数据-非乱码'!$B:$B,'[1]2.4自动化报表-8月获客数据-非乱码'!$C:$H)</f>
        <v>2005</v>
      </c>
      <c r="Q340">
        <v>1943</v>
      </c>
      <c r="R340">
        <v>1864</v>
      </c>
      <c r="S340">
        <v>1150</v>
      </c>
      <c r="T340">
        <v>610</v>
      </c>
      <c r="U340">
        <v>697</v>
      </c>
    </row>
    <row r="341" spans="1:21" x14ac:dyDescent="0.3">
      <c r="A341" s="1">
        <v>44056</v>
      </c>
      <c r="B341" t="s">
        <v>29</v>
      </c>
      <c r="C341" t="s">
        <v>97</v>
      </c>
      <c r="D341" t="s">
        <v>64</v>
      </c>
      <c r="E341" t="s">
        <v>101</v>
      </c>
      <c r="F341" s="2">
        <v>66997</v>
      </c>
      <c r="G341" s="2">
        <v>3275</v>
      </c>
      <c r="H341">
        <v>0</v>
      </c>
      <c r="I341" t="str">
        <f>_xlfn.XLOOKUP($C341,战区信息!$A$1:$A$5,战区信息!$B$1:$B$5)</f>
        <v>003</v>
      </c>
      <c r="J341" t="str">
        <f>_xlfn.XLOOKUP($C341,战区信息!$A$1:$A$5,战区信息!$C$1:$C$5)</f>
        <v>田楠</v>
      </c>
      <c r="K341" t="str">
        <f>_xlfn.XLOOKUP($C341,战区信息!$A$1:$A$5,战区信息!$D$1:$D$5)</f>
        <v>二级战区</v>
      </c>
      <c r="L341" t="str">
        <f>_xlfn.XLOOKUP($D341,城市信息!$B$1:$B$14,城市信息!$A$1:$A$14)</f>
        <v>009</v>
      </c>
      <c r="M341" t="str">
        <f>_xlfn.XLOOKUP($D341,城市信息!$B$1:$B$14,城市信息!$C$1:$C$14)</f>
        <v>叶超</v>
      </c>
      <c r="N341" t="str">
        <f>_xlfn.XLOOKUP($D341,城市信息!$B$1:$B$14,城市信息!$D$1:$D$14)</f>
        <v>二线</v>
      </c>
      <c r="O341">
        <f>_xlfn.XLOOKUP($D341,城市信息!$B$1:$B$14,城市信息!$E$1:$E$14)</f>
        <v>9016</v>
      </c>
      <c r="P341" cm="1">
        <f t="array" ref="P341:U341">_xlfn.XLOOKUP(A341&amp;B341,'[1]2.4自动化报表-8月获客数据-非乱码'!$A:$A&amp;'[1]2.4自动化报表-8月获客数据-非乱码'!$B:$B,'[1]2.4自动化报表-8月获客数据-非乱码'!$C:$H)</f>
        <v>2347</v>
      </c>
      <c r="Q341">
        <v>2290</v>
      </c>
      <c r="R341">
        <v>2207</v>
      </c>
      <c r="S341">
        <v>1434</v>
      </c>
      <c r="T341">
        <v>793</v>
      </c>
      <c r="U341">
        <v>690</v>
      </c>
    </row>
    <row r="342" spans="1:21" x14ac:dyDescent="0.3">
      <c r="A342" s="1">
        <v>44056</v>
      </c>
      <c r="B342" t="s">
        <v>28</v>
      </c>
      <c r="C342" t="s">
        <v>97</v>
      </c>
      <c r="D342" t="s">
        <v>64</v>
      </c>
      <c r="E342" t="s">
        <v>102</v>
      </c>
      <c r="F342" s="2">
        <v>31001</v>
      </c>
      <c r="G342" s="2">
        <v>1291</v>
      </c>
      <c r="H342">
        <v>0</v>
      </c>
      <c r="I342" t="str">
        <f>_xlfn.XLOOKUP($C342,战区信息!$A$1:$A$5,战区信息!$B$1:$B$5)</f>
        <v>003</v>
      </c>
      <c r="J342" t="str">
        <f>_xlfn.XLOOKUP($C342,战区信息!$A$1:$A$5,战区信息!$C$1:$C$5)</f>
        <v>田楠</v>
      </c>
      <c r="K342" t="str">
        <f>_xlfn.XLOOKUP($C342,战区信息!$A$1:$A$5,战区信息!$D$1:$D$5)</f>
        <v>二级战区</v>
      </c>
      <c r="L342" t="str">
        <f>_xlfn.XLOOKUP($D342,城市信息!$B$1:$B$14,城市信息!$A$1:$A$14)</f>
        <v>009</v>
      </c>
      <c r="M342" t="str">
        <f>_xlfn.XLOOKUP($D342,城市信息!$B$1:$B$14,城市信息!$C$1:$C$14)</f>
        <v>叶超</v>
      </c>
      <c r="N342" t="str">
        <f>_xlfn.XLOOKUP($D342,城市信息!$B$1:$B$14,城市信息!$D$1:$D$14)</f>
        <v>二线</v>
      </c>
      <c r="O342">
        <f>_xlfn.XLOOKUP($D342,城市信息!$B$1:$B$14,城市信息!$E$1:$E$14)</f>
        <v>9016</v>
      </c>
      <c r="P342" cm="1">
        <f t="array" ref="P342:U342">_xlfn.XLOOKUP(A342&amp;B342,'[1]2.4自动化报表-8月获客数据-非乱码'!$A:$A&amp;'[1]2.4自动化报表-8月获客数据-非乱码'!$B:$B,'[1]2.4自动化报表-8月获客数据-非乱码'!$C:$H)</f>
        <v>672</v>
      </c>
      <c r="Q342">
        <v>662</v>
      </c>
      <c r="R342">
        <v>643</v>
      </c>
      <c r="S342">
        <v>443</v>
      </c>
      <c r="T342">
        <v>209</v>
      </c>
      <c r="U342">
        <v>692</v>
      </c>
    </row>
    <row r="343" spans="1:21" x14ac:dyDescent="0.3">
      <c r="A343" s="1">
        <v>44056</v>
      </c>
      <c r="B343" t="s">
        <v>27</v>
      </c>
      <c r="C343" t="s">
        <v>103</v>
      </c>
      <c r="D343" t="s">
        <v>63</v>
      </c>
      <c r="E343" t="s">
        <v>104</v>
      </c>
      <c r="F343" s="2">
        <v>106963</v>
      </c>
      <c r="G343" s="2">
        <v>5617</v>
      </c>
      <c r="H343" s="2">
        <v>1477</v>
      </c>
      <c r="I343" t="str">
        <f>_xlfn.XLOOKUP($C343,战区信息!$A$1:$A$5,战区信息!$B$1:$B$5)</f>
        <v>002</v>
      </c>
      <c r="J343" t="str">
        <f>_xlfn.XLOOKUP($C343,战区信息!$A$1:$A$5,战区信息!$C$1:$C$5)</f>
        <v>高安平</v>
      </c>
      <c r="K343" t="str">
        <f>_xlfn.XLOOKUP($C343,战区信息!$A$1:$A$5,战区信息!$D$1:$D$5)</f>
        <v>二级战区</v>
      </c>
      <c r="L343" t="str">
        <f>_xlfn.XLOOKUP($D343,城市信息!$B$1:$B$14,城市信息!$A$1:$A$14)</f>
        <v>008</v>
      </c>
      <c r="M343" t="str">
        <f>_xlfn.XLOOKUP($D343,城市信息!$B$1:$B$14,城市信息!$C$1:$C$14)</f>
        <v>高弘壮</v>
      </c>
      <c r="N343" t="str">
        <f>_xlfn.XLOOKUP($D343,城市信息!$B$1:$B$14,城市信息!$D$1:$D$14)</f>
        <v>一线</v>
      </c>
      <c r="O343">
        <f>_xlfn.XLOOKUP($D343,城市信息!$B$1:$B$14,城市信息!$E$1:$E$14)</f>
        <v>11498</v>
      </c>
      <c r="P343" cm="1">
        <f t="array" ref="P343:U343">_xlfn.XLOOKUP(A343&amp;B343,'[1]2.4自动化报表-8月获客数据-非乱码'!$A:$A&amp;'[1]2.4自动化报表-8月获客数据-非乱码'!$B:$B,'[1]2.4自动化报表-8月获客数据-非乱码'!$C:$H)</f>
        <v>3823</v>
      </c>
      <c r="Q343">
        <v>3708</v>
      </c>
      <c r="R343">
        <v>3535</v>
      </c>
      <c r="S343">
        <v>2103</v>
      </c>
      <c r="T343">
        <v>1122</v>
      </c>
      <c r="U343">
        <v>689</v>
      </c>
    </row>
    <row r="344" spans="1:21" x14ac:dyDescent="0.3">
      <c r="A344" s="1">
        <v>44056</v>
      </c>
      <c r="B344" t="s">
        <v>26</v>
      </c>
      <c r="C344" t="s">
        <v>103</v>
      </c>
      <c r="D344" t="s">
        <v>57</v>
      </c>
      <c r="E344" t="s">
        <v>105</v>
      </c>
      <c r="F344" s="2">
        <v>276445</v>
      </c>
      <c r="G344" s="2">
        <v>12624</v>
      </c>
      <c r="H344">
        <v>271</v>
      </c>
      <c r="I344" t="str">
        <f>_xlfn.XLOOKUP($C344,战区信息!$A$1:$A$5,战区信息!$B$1:$B$5)</f>
        <v>002</v>
      </c>
      <c r="J344" t="str">
        <f>_xlfn.XLOOKUP($C344,战区信息!$A$1:$A$5,战区信息!$C$1:$C$5)</f>
        <v>高安平</v>
      </c>
      <c r="K344" t="str">
        <f>_xlfn.XLOOKUP($C344,战区信息!$A$1:$A$5,战区信息!$D$1:$D$5)</f>
        <v>二级战区</v>
      </c>
      <c r="L344" t="str">
        <f>_xlfn.XLOOKUP($D344,城市信息!$B$1:$B$14,城市信息!$A$1:$A$14)</f>
        <v>002</v>
      </c>
      <c r="M344" t="str">
        <f>_xlfn.XLOOKUP($D344,城市信息!$B$1:$B$14,城市信息!$C$1:$C$14)</f>
        <v>孙乒</v>
      </c>
      <c r="N344" t="str">
        <f>_xlfn.XLOOKUP($D344,城市信息!$B$1:$B$14,城市信息!$D$1:$D$14)</f>
        <v>一线</v>
      </c>
      <c r="O344">
        <f>_xlfn.XLOOKUP($D344,城市信息!$B$1:$B$14,城市信息!$E$1:$E$14)</f>
        <v>9854</v>
      </c>
      <c r="P344" cm="1">
        <f t="array" ref="P344:U344">_xlfn.XLOOKUP(A344&amp;B344,'[1]2.4自动化报表-8月获客数据-非乱码'!$A:$A&amp;'[1]2.4自动化报表-8月获客数据-非乱码'!$B:$B,'[1]2.4自动化报表-8月获客数据-非乱码'!$C:$H)</f>
        <v>5229</v>
      </c>
      <c r="Q344">
        <v>5103</v>
      </c>
      <c r="R344">
        <v>4911</v>
      </c>
      <c r="S344">
        <v>3076</v>
      </c>
      <c r="T344">
        <v>1679</v>
      </c>
      <c r="U344">
        <v>688</v>
      </c>
    </row>
    <row r="345" spans="1:21" x14ac:dyDescent="0.3">
      <c r="A345" s="1">
        <v>44056</v>
      </c>
      <c r="B345" t="s">
        <v>25</v>
      </c>
      <c r="C345" t="s">
        <v>103</v>
      </c>
      <c r="D345" t="s">
        <v>57</v>
      </c>
      <c r="E345" t="s">
        <v>106</v>
      </c>
      <c r="F345" s="2">
        <v>101448</v>
      </c>
      <c r="G345" s="2">
        <v>4805</v>
      </c>
      <c r="H345" s="2">
        <v>1476</v>
      </c>
      <c r="I345" t="str">
        <f>_xlfn.XLOOKUP($C345,战区信息!$A$1:$A$5,战区信息!$B$1:$B$5)</f>
        <v>002</v>
      </c>
      <c r="J345" t="str">
        <f>_xlfn.XLOOKUP($C345,战区信息!$A$1:$A$5,战区信息!$C$1:$C$5)</f>
        <v>高安平</v>
      </c>
      <c r="K345" t="str">
        <f>_xlfn.XLOOKUP($C345,战区信息!$A$1:$A$5,战区信息!$D$1:$D$5)</f>
        <v>二级战区</v>
      </c>
      <c r="L345" t="str">
        <f>_xlfn.XLOOKUP($D345,城市信息!$B$1:$B$14,城市信息!$A$1:$A$14)</f>
        <v>002</v>
      </c>
      <c r="M345" t="str">
        <f>_xlfn.XLOOKUP($D345,城市信息!$B$1:$B$14,城市信息!$C$1:$C$14)</f>
        <v>孙乒</v>
      </c>
      <c r="N345" t="str">
        <f>_xlfn.XLOOKUP($D345,城市信息!$B$1:$B$14,城市信息!$D$1:$D$14)</f>
        <v>一线</v>
      </c>
      <c r="O345">
        <f>_xlfn.XLOOKUP($D345,城市信息!$B$1:$B$14,城市信息!$E$1:$E$14)</f>
        <v>9854</v>
      </c>
      <c r="P345" cm="1">
        <f t="array" ref="P345:U345">_xlfn.XLOOKUP(A345&amp;B345,'[1]2.4自动化报表-8月获客数据-非乱码'!$A:$A&amp;'[1]2.4自动化报表-8月获客数据-非乱码'!$B:$B,'[1]2.4自动化报表-8月获客数据-非乱码'!$C:$H)</f>
        <v>3219</v>
      </c>
      <c r="Q345">
        <v>3133</v>
      </c>
      <c r="R345">
        <v>2965</v>
      </c>
      <c r="S345">
        <v>1749</v>
      </c>
      <c r="T345">
        <v>966</v>
      </c>
      <c r="U345">
        <v>688</v>
      </c>
    </row>
    <row r="346" spans="1:21" x14ac:dyDescent="0.3">
      <c r="A346" s="1">
        <v>44056</v>
      </c>
      <c r="B346" t="s">
        <v>24</v>
      </c>
      <c r="C346" t="s">
        <v>103</v>
      </c>
      <c r="D346" t="s">
        <v>57</v>
      </c>
      <c r="E346" t="s">
        <v>107</v>
      </c>
      <c r="F346" s="2">
        <v>211891</v>
      </c>
      <c r="G346" s="2">
        <v>11507</v>
      </c>
      <c r="H346" s="2">
        <v>16417</v>
      </c>
      <c r="I346" t="str">
        <f>_xlfn.XLOOKUP($C346,战区信息!$A$1:$A$5,战区信息!$B$1:$B$5)</f>
        <v>002</v>
      </c>
      <c r="J346" t="str">
        <f>_xlfn.XLOOKUP($C346,战区信息!$A$1:$A$5,战区信息!$C$1:$C$5)</f>
        <v>高安平</v>
      </c>
      <c r="K346" t="str">
        <f>_xlfn.XLOOKUP($C346,战区信息!$A$1:$A$5,战区信息!$D$1:$D$5)</f>
        <v>二级战区</v>
      </c>
      <c r="L346" t="str">
        <f>_xlfn.XLOOKUP($D346,城市信息!$B$1:$B$14,城市信息!$A$1:$A$14)</f>
        <v>002</v>
      </c>
      <c r="M346" t="str">
        <f>_xlfn.XLOOKUP($D346,城市信息!$B$1:$B$14,城市信息!$C$1:$C$14)</f>
        <v>孙乒</v>
      </c>
      <c r="N346" t="str">
        <f>_xlfn.XLOOKUP($D346,城市信息!$B$1:$B$14,城市信息!$D$1:$D$14)</f>
        <v>一线</v>
      </c>
      <c r="O346">
        <f>_xlfn.XLOOKUP($D346,城市信息!$B$1:$B$14,城市信息!$E$1:$E$14)</f>
        <v>9854</v>
      </c>
      <c r="P346" cm="1">
        <f t="array" ref="P346:U346">_xlfn.XLOOKUP(A346&amp;B346,'[1]2.4自动化报表-8月获客数据-非乱码'!$A:$A&amp;'[1]2.4自动化报表-8月获客数据-非乱码'!$B:$B,'[1]2.4自动化报表-8月获客数据-非乱码'!$C:$H)</f>
        <v>4484</v>
      </c>
      <c r="Q346">
        <v>4394</v>
      </c>
      <c r="R346">
        <v>4200</v>
      </c>
      <c r="S346">
        <v>2583</v>
      </c>
      <c r="T346">
        <v>1493</v>
      </c>
      <c r="U346">
        <v>691</v>
      </c>
    </row>
    <row r="347" spans="1:21" x14ac:dyDescent="0.3">
      <c r="A347" s="1">
        <v>44056</v>
      </c>
      <c r="B347" t="s">
        <v>23</v>
      </c>
      <c r="C347" t="s">
        <v>108</v>
      </c>
      <c r="D347" t="s">
        <v>109</v>
      </c>
      <c r="E347" t="s">
        <v>110</v>
      </c>
      <c r="F347" s="2">
        <v>204227</v>
      </c>
      <c r="G347" s="2">
        <v>11071</v>
      </c>
      <c r="H347">
        <v>0</v>
      </c>
      <c r="I347" t="str">
        <f>_xlfn.XLOOKUP($C347,战区信息!$A$1:$A$5,战区信息!$B$1:$B$5)</f>
        <v>001</v>
      </c>
      <c r="J347" t="str">
        <f>_xlfn.XLOOKUP($C347,战区信息!$A$1:$A$5,战区信息!$C$1:$C$5)</f>
        <v>江永</v>
      </c>
      <c r="K347" t="str">
        <f>_xlfn.XLOOKUP($C347,战区信息!$A$1:$A$5,战区信息!$D$1:$D$5)</f>
        <v>一级战区</v>
      </c>
      <c r="L347" t="str">
        <f>_xlfn.XLOOKUP($D347,城市信息!$B$1:$B$14,城市信息!$A$1:$A$14)</f>
        <v>013</v>
      </c>
      <c r="M347" t="str">
        <f>_xlfn.XLOOKUP($D347,城市信息!$B$1:$B$14,城市信息!$C$1:$C$14)</f>
        <v>张建</v>
      </c>
      <c r="N347" t="str">
        <f>_xlfn.XLOOKUP($D347,城市信息!$B$1:$B$14,城市信息!$D$1:$D$14)</f>
        <v>二线</v>
      </c>
      <c r="O347">
        <f>_xlfn.XLOOKUP($D347,城市信息!$B$1:$B$14,城市信息!$E$1:$E$14)</f>
        <v>8800</v>
      </c>
      <c r="P347" cm="1">
        <f t="array" ref="P347:U347">_xlfn.XLOOKUP(A347&amp;B347,'[1]2.4自动化报表-8月获客数据-非乱码'!$A:$A&amp;'[1]2.4自动化报表-8月获客数据-非乱码'!$B:$B,'[1]2.4自动化报表-8月获客数据-非乱码'!$C:$H)</f>
        <v>5554</v>
      </c>
      <c r="Q347">
        <v>5348</v>
      </c>
      <c r="R347">
        <v>5094</v>
      </c>
      <c r="S347">
        <v>3106</v>
      </c>
      <c r="T347">
        <v>1603</v>
      </c>
      <c r="U347">
        <v>695</v>
      </c>
    </row>
    <row r="348" spans="1:21" x14ac:dyDescent="0.3">
      <c r="A348" s="1">
        <v>44056</v>
      </c>
      <c r="B348" t="s">
        <v>22</v>
      </c>
      <c r="C348" t="s">
        <v>108</v>
      </c>
      <c r="D348" t="s">
        <v>109</v>
      </c>
      <c r="E348" t="s">
        <v>111</v>
      </c>
      <c r="F348" s="2">
        <v>3845</v>
      </c>
      <c r="G348">
        <v>276</v>
      </c>
      <c r="H348">
        <v>0</v>
      </c>
      <c r="I348" t="str">
        <f>_xlfn.XLOOKUP($C348,战区信息!$A$1:$A$5,战区信息!$B$1:$B$5)</f>
        <v>001</v>
      </c>
      <c r="J348" t="str">
        <f>_xlfn.XLOOKUP($C348,战区信息!$A$1:$A$5,战区信息!$C$1:$C$5)</f>
        <v>江永</v>
      </c>
      <c r="K348" t="str">
        <f>_xlfn.XLOOKUP($C348,战区信息!$A$1:$A$5,战区信息!$D$1:$D$5)</f>
        <v>一级战区</v>
      </c>
      <c r="L348" t="str">
        <f>_xlfn.XLOOKUP($D348,城市信息!$B$1:$B$14,城市信息!$A$1:$A$14)</f>
        <v>013</v>
      </c>
      <c r="M348" t="str">
        <f>_xlfn.XLOOKUP($D348,城市信息!$B$1:$B$14,城市信息!$C$1:$C$14)</f>
        <v>张建</v>
      </c>
      <c r="N348" t="str">
        <f>_xlfn.XLOOKUP($D348,城市信息!$B$1:$B$14,城市信息!$D$1:$D$14)</f>
        <v>二线</v>
      </c>
      <c r="O348">
        <f>_xlfn.XLOOKUP($D348,城市信息!$B$1:$B$14,城市信息!$E$1:$E$14)</f>
        <v>8800</v>
      </c>
      <c r="P348" cm="1">
        <f t="array" ref="P348:U348">_xlfn.XLOOKUP(A348&amp;B348,'[1]2.4自动化报表-8月获客数据-非乱码'!$A:$A&amp;'[1]2.4自动化报表-8月获客数据-非乱码'!$B:$B,'[1]2.4自动化报表-8月获客数据-非乱码'!$C:$H)</f>
        <v>179</v>
      </c>
      <c r="Q348">
        <v>176</v>
      </c>
      <c r="R348">
        <v>172</v>
      </c>
      <c r="S348">
        <v>104</v>
      </c>
      <c r="T348">
        <v>76</v>
      </c>
      <c r="U348">
        <v>694</v>
      </c>
    </row>
    <row r="349" spans="1:21" x14ac:dyDescent="0.3">
      <c r="A349" s="1">
        <v>44056</v>
      </c>
      <c r="B349" t="s">
        <v>21</v>
      </c>
      <c r="C349" t="s">
        <v>108</v>
      </c>
      <c r="D349" t="s">
        <v>109</v>
      </c>
      <c r="E349" t="s">
        <v>112</v>
      </c>
      <c r="F349" s="2">
        <v>243491</v>
      </c>
      <c r="G349" s="2">
        <v>11951</v>
      </c>
      <c r="H349" s="2">
        <v>1398</v>
      </c>
      <c r="I349" t="str">
        <f>_xlfn.XLOOKUP($C349,战区信息!$A$1:$A$5,战区信息!$B$1:$B$5)</f>
        <v>001</v>
      </c>
      <c r="J349" t="str">
        <f>_xlfn.XLOOKUP($C349,战区信息!$A$1:$A$5,战区信息!$C$1:$C$5)</f>
        <v>江永</v>
      </c>
      <c r="K349" t="str">
        <f>_xlfn.XLOOKUP($C349,战区信息!$A$1:$A$5,战区信息!$D$1:$D$5)</f>
        <v>一级战区</v>
      </c>
      <c r="L349" t="str">
        <f>_xlfn.XLOOKUP($D349,城市信息!$B$1:$B$14,城市信息!$A$1:$A$14)</f>
        <v>013</v>
      </c>
      <c r="M349" t="str">
        <f>_xlfn.XLOOKUP($D349,城市信息!$B$1:$B$14,城市信息!$C$1:$C$14)</f>
        <v>张建</v>
      </c>
      <c r="N349" t="str">
        <f>_xlfn.XLOOKUP($D349,城市信息!$B$1:$B$14,城市信息!$D$1:$D$14)</f>
        <v>二线</v>
      </c>
      <c r="O349">
        <f>_xlfn.XLOOKUP($D349,城市信息!$B$1:$B$14,城市信息!$E$1:$E$14)</f>
        <v>8800</v>
      </c>
      <c r="P349" cm="1">
        <f t="array" ref="P349:U349">_xlfn.XLOOKUP(A349&amp;B349,'[1]2.4自动化报表-8月获客数据-非乱码'!$A:$A&amp;'[1]2.4自动化报表-8月获客数据-非乱码'!$B:$B,'[1]2.4自动化报表-8月获客数据-非乱码'!$C:$H)</f>
        <v>6850</v>
      </c>
      <c r="Q349">
        <v>6578</v>
      </c>
      <c r="R349">
        <v>6264</v>
      </c>
      <c r="S349">
        <v>3626</v>
      </c>
      <c r="T349">
        <v>1974</v>
      </c>
      <c r="U349">
        <v>696</v>
      </c>
    </row>
    <row r="350" spans="1:21" x14ac:dyDescent="0.3">
      <c r="A350" s="1">
        <v>44056</v>
      </c>
      <c r="B350" t="s">
        <v>20</v>
      </c>
      <c r="C350" t="s">
        <v>108</v>
      </c>
      <c r="D350" t="s">
        <v>56</v>
      </c>
      <c r="E350" t="s">
        <v>113</v>
      </c>
      <c r="F350" s="2">
        <v>146635</v>
      </c>
      <c r="G350" s="2">
        <v>8018</v>
      </c>
      <c r="H350">
        <v>0</v>
      </c>
      <c r="I350" t="str">
        <f>_xlfn.XLOOKUP($C350,战区信息!$A$1:$A$5,战区信息!$B$1:$B$5)</f>
        <v>001</v>
      </c>
      <c r="J350" t="str">
        <f>_xlfn.XLOOKUP($C350,战区信息!$A$1:$A$5,战区信息!$C$1:$C$5)</f>
        <v>江永</v>
      </c>
      <c r="K350" t="str">
        <f>_xlfn.XLOOKUP($C350,战区信息!$A$1:$A$5,战区信息!$D$1:$D$5)</f>
        <v>一级战区</v>
      </c>
      <c r="L350" t="str">
        <f>_xlfn.XLOOKUP($D350,城市信息!$B$1:$B$14,城市信息!$A$1:$A$14)</f>
        <v>001</v>
      </c>
      <c r="M350" t="str">
        <f>_xlfn.XLOOKUP($D350,城市信息!$B$1:$B$14,城市信息!$C$1:$C$14)</f>
        <v>吴刚</v>
      </c>
      <c r="N350" t="str">
        <f>_xlfn.XLOOKUP($D350,城市信息!$B$1:$B$14,城市信息!$D$1:$D$14)</f>
        <v>一线</v>
      </c>
      <c r="O350">
        <f>_xlfn.XLOOKUP($D350,城市信息!$B$1:$B$14,城市信息!$E$1:$E$14)</f>
        <v>12114</v>
      </c>
      <c r="P350" cm="1">
        <f t="array" ref="P350:U350">_xlfn.XLOOKUP(A350&amp;B350,'[1]2.4自动化报表-8月获客数据-非乱码'!$A:$A&amp;'[1]2.4自动化报表-8月获客数据-非乱码'!$B:$B,'[1]2.4自动化报表-8月获客数据-非乱码'!$C:$H)</f>
        <v>4454</v>
      </c>
      <c r="Q350">
        <v>4328</v>
      </c>
      <c r="R350">
        <v>4156</v>
      </c>
      <c r="S350">
        <v>2538</v>
      </c>
      <c r="T350">
        <v>1463</v>
      </c>
      <c r="U350">
        <v>696</v>
      </c>
    </row>
    <row r="351" spans="1:21" x14ac:dyDescent="0.3">
      <c r="A351" s="1">
        <v>44056</v>
      </c>
      <c r="B351" t="s">
        <v>19</v>
      </c>
      <c r="C351" t="s">
        <v>108</v>
      </c>
      <c r="D351" t="s">
        <v>56</v>
      </c>
      <c r="E351" t="s">
        <v>114</v>
      </c>
      <c r="F351" s="2">
        <v>56128</v>
      </c>
      <c r="G351" s="2">
        <v>3435</v>
      </c>
      <c r="H351">
        <v>0</v>
      </c>
      <c r="I351" t="str">
        <f>_xlfn.XLOOKUP($C351,战区信息!$A$1:$A$5,战区信息!$B$1:$B$5)</f>
        <v>001</v>
      </c>
      <c r="J351" t="str">
        <f>_xlfn.XLOOKUP($C351,战区信息!$A$1:$A$5,战区信息!$C$1:$C$5)</f>
        <v>江永</v>
      </c>
      <c r="K351" t="str">
        <f>_xlfn.XLOOKUP($C351,战区信息!$A$1:$A$5,战区信息!$D$1:$D$5)</f>
        <v>一级战区</v>
      </c>
      <c r="L351" t="str">
        <f>_xlfn.XLOOKUP($D351,城市信息!$B$1:$B$14,城市信息!$A$1:$A$14)</f>
        <v>001</v>
      </c>
      <c r="M351" t="str">
        <f>_xlfn.XLOOKUP($D351,城市信息!$B$1:$B$14,城市信息!$C$1:$C$14)</f>
        <v>吴刚</v>
      </c>
      <c r="N351" t="str">
        <f>_xlfn.XLOOKUP($D351,城市信息!$B$1:$B$14,城市信息!$D$1:$D$14)</f>
        <v>一线</v>
      </c>
      <c r="O351">
        <f>_xlfn.XLOOKUP($D351,城市信息!$B$1:$B$14,城市信息!$E$1:$E$14)</f>
        <v>12114</v>
      </c>
      <c r="P351" cm="1">
        <f t="array" ref="P351:U351">_xlfn.XLOOKUP(A351&amp;B351,'[1]2.4自动化报表-8月获客数据-非乱码'!$A:$A&amp;'[1]2.4自动化报表-8月获客数据-非乱码'!$B:$B,'[1]2.4自动化报表-8月获客数据-非乱码'!$C:$H)</f>
        <v>2925</v>
      </c>
      <c r="Q351">
        <v>2858</v>
      </c>
      <c r="R351">
        <v>2747</v>
      </c>
      <c r="S351">
        <v>1612</v>
      </c>
      <c r="T351">
        <v>968</v>
      </c>
      <c r="U351">
        <v>696</v>
      </c>
    </row>
    <row r="352" spans="1:21" x14ac:dyDescent="0.3">
      <c r="A352" s="1">
        <v>44056</v>
      </c>
      <c r="B352" t="s">
        <v>18</v>
      </c>
      <c r="C352" t="s">
        <v>108</v>
      </c>
      <c r="D352" t="s">
        <v>56</v>
      </c>
      <c r="E352" t="s">
        <v>115</v>
      </c>
      <c r="F352" s="2">
        <v>30044</v>
      </c>
      <c r="G352" s="2">
        <v>1892</v>
      </c>
      <c r="H352">
        <v>0</v>
      </c>
      <c r="I352" t="str">
        <f>_xlfn.XLOOKUP($C352,战区信息!$A$1:$A$5,战区信息!$B$1:$B$5)</f>
        <v>001</v>
      </c>
      <c r="J352" t="str">
        <f>_xlfn.XLOOKUP($C352,战区信息!$A$1:$A$5,战区信息!$C$1:$C$5)</f>
        <v>江永</v>
      </c>
      <c r="K352" t="str">
        <f>_xlfn.XLOOKUP($C352,战区信息!$A$1:$A$5,战区信息!$D$1:$D$5)</f>
        <v>一级战区</v>
      </c>
      <c r="L352" t="str">
        <f>_xlfn.XLOOKUP($D352,城市信息!$B$1:$B$14,城市信息!$A$1:$A$14)</f>
        <v>001</v>
      </c>
      <c r="M352" t="str">
        <f>_xlfn.XLOOKUP($D352,城市信息!$B$1:$B$14,城市信息!$C$1:$C$14)</f>
        <v>吴刚</v>
      </c>
      <c r="N352" t="str">
        <f>_xlfn.XLOOKUP($D352,城市信息!$B$1:$B$14,城市信息!$D$1:$D$14)</f>
        <v>一线</v>
      </c>
      <c r="O352">
        <f>_xlfn.XLOOKUP($D352,城市信息!$B$1:$B$14,城市信息!$E$1:$E$14)</f>
        <v>12114</v>
      </c>
      <c r="P352" cm="1">
        <f t="array" ref="P352:U352">_xlfn.XLOOKUP(A352&amp;B352,'[1]2.4自动化报表-8月获客数据-非乱码'!$A:$A&amp;'[1]2.4自动化报表-8月获客数据-非乱码'!$B:$B,'[1]2.4自动化报表-8月获客数据-非乱码'!$C:$H)</f>
        <v>2335</v>
      </c>
      <c r="Q352">
        <v>2299</v>
      </c>
      <c r="R352">
        <v>2204</v>
      </c>
      <c r="S352">
        <v>1291</v>
      </c>
      <c r="T352">
        <v>704</v>
      </c>
      <c r="U352">
        <v>691</v>
      </c>
    </row>
    <row r="353" spans="1:21" x14ac:dyDescent="0.3">
      <c r="A353" s="1">
        <v>44056</v>
      </c>
      <c r="B353" t="s">
        <v>17</v>
      </c>
      <c r="C353" t="s">
        <v>108</v>
      </c>
      <c r="D353" t="s">
        <v>59</v>
      </c>
      <c r="E353" t="s">
        <v>116</v>
      </c>
      <c r="F353" s="2">
        <v>84550</v>
      </c>
      <c r="G353" s="2">
        <v>4364</v>
      </c>
      <c r="H353">
        <v>0</v>
      </c>
      <c r="I353" t="str">
        <f>_xlfn.XLOOKUP($C353,战区信息!$A$1:$A$5,战区信息!$B$1:$B$5)</f>
        <v>001</v>
      </c>
      <c r="J353" t="str">
        <f>_xlfn.XLOOKUP($C353,战区信息!$A$1:$A$5,战区信息!$C$1:$C$5)</f>
        <v>江永</v>
      </c>
      <c r="K353" t="str">
        <f>_xlfn.XLOOKUP($C353,战区信息!$A$1:$A$5,战区信息!$D$1:$D$5)</f>
        <v>一级战区</v>
      </c>
      <c r="L353" t="str">
        <f>_xlfn.XLOOKUP($D353,城市信息!$B$1:$B$14,城市信息!$A$1:$A$14)</f>
        <v>004</v>
      </c>
      <c r="M353" t="str">
        <f>_xlfn.XLOOKUP($D353,城市信息!$B$1:$B$14,城市信息!$C$1:$C$14)</f>
        <v>苏川</v>
      </c>
      <c r="N353" t="str">
        <f>_xlfn.XLOOKUP($D353,城市信息!$B$1:$B$14,城市信息!$D$1:$D$14)</f>
        <v>二线</v>
      </c>
      <c r="O353">
        <f>_xlfn.XLOOKUP($D353,城市信息!$B$1:$B$14,城市信息!$E$1:$E$14)</f>
        <v>9912</v>
      </c>
      <c r="P353" cm="1">
        <f t="array" ref="P353:U353">_xlfn.XLOOKUP(A353&amp;B353,'[1]2.4自动化报表-8月获客数据-非乱码'!$A:$A&amp;'[1]2.4自动化报表-8月获客数据-非乱码'!$B:$B,'[1]2.4自动化报表-8月获客数据-非乱码'!$C:$H)</f>
        <v>3574</v>
      </c>
      <c r="Q353">
        <v>3497</v>
      </c>
      <c r="R353">
        <v>3369</v>
      </c>
      <c r="S353">
        <v>1956</v>
      </c>
      <c r="T353">
        <v>1087</v>
      </c>
      <c r="U353">
        <v>698</v>
      </c>
    </row>
    <row r="354" spans="1:21" x14ac:dyDescent="0.3">
      <c r="A354" s="1">
        <v>44056</v>
      </c>
      <c r="B354" t="s">
        <v>16</v>
      </c>
      <c r="C354" t="s">
        <v>108</v>
      </c>
      <c r="D354" t="s">
        <v>59</v>
      </c>
      <c r="E354" t="s">
        <v>117</v>
      </c>
      <c r="F354" s="2">
        <v>42030</v>
      </c>
      <c r="G354" s="2">
        <v>1750</v>
      </c>
      <c r="H354">
        <v>0</v>
      </c>
      <c r="I354" t="str">
        <f>_xlfn.XLOOKUP($C354,战区信息!$A$1:$A$5,战区信息!$B$1:$B$5)</f>
        <v>001</v>
      </c>
      <c r="J354" t="str">
        <f>_xlfn.XLOOKUP($C354,战区信息!$A$1:$A$5,战区信息!$C$1:$C$5)</f>
        <v>江永</v>
      </c>
      <c r="K354" t="str">
        <f>_xlfn.XLOOKUP($C354,战区信息!$A$1:$A$5,战区信息!$D$1:$D$5)</f>
        <v>一级战区</v>
      </c>
      <c r="L354" t="str">
        <f>_xlfn.XLOOKUP($D354,城市信息!$B$1:$B$14,城市信息!$A$1:$A$14)</f>
        <v>004</v>
      </c>
      <c r="M354" t="str">
        <f>_xlfn.XLOOKUP($D354,城市信息!$B$1:$B$14,城市信息!$C$1:$C$14)</f>
        <v>苏川</v>
      </c>
      <c r="N354" t="str">
        <f>_xlfn.XLOOKUP($D354,城市信息!$B$1:$B$14,城市信息!$D$1:$D$14)</f>
        <v>二线</v>
      </c>
      <c r="O354">
        <f>_xlfn.XLOOKUP($D354,城市信息!$B$1:$B$14,城市信息!$E$1:$E$14)</f>
        <v>9912</v>
      </c>
      <c r="P354" cm="1">
        <f t="array" ref="P354:U354">_xlfn.XLOOKUP(A354&amp;B354,'[1]2.4自动化报表-8月获客数据-非乱码'!$A:$A&amp;'[1]2.4自动化报表-8月获客数据-非乱码'!$B:$B,'[1]2.4自动化报表-8月获客数据-非乱码'!$C:$H)</f>
        <v>1402</v>
      </c>
      <c r="Q354">
        <v>1368</v>
      </c>
      <c r="R354">
        <v>1311</v>
      </c>
      <c r="S354">
        <v>766</v>
      </c>
      <c r="T354">
        <v>467</v>
      </c>
      <c r="U354">
        <v>696</v>
      </c>
    </row>
    <row r="355" spans="1:21" x14ac:dyDescent="0.3">
      <c r="A355" s="1">
        <v>44056</v>
      </c>
      <c r="B355" t="s">
        <v>15</v>
      </c>
      <c r="C355" t="s">
        <v>108</v>
      </c>
      <c r="D355" t="s">
        <v>59</v>
      </c>
      <c r="E355" t="s">
        <v>118</v>
      </c>
      <c r="F355" s="2">
        <v>94034</v>
      </c>
      <c r="G355" s="2">
        <v>5006</v>
      </c>
      <c r="H355">
        <v>0</v>
      </c>
      <c r="I355" t="str">
        <f>_xlfn.XLOOKUP($C355,战区信息!$A$1:$A$5,战区信息!$B$1:$B$5)</f>
        <v>001</v>
      </c>
      <c r="J355" t="str">
        <f>_xlfn.XLOOKUP($C355,战区信息!$A$1:$A$5,战区信息!$C$1:$C$5)</f>
        <v>江永</v>
      </c>
      <c r="K355" t="str">
        <f>_xlfn.XLOOKUP($C355,战区信息!$A$1:$A$5,战区信息!$D$1:$D$5)</f>
        <v>一级战区</v>
      </c>
      <c r="L355" t="str">
        <f>_xlfn.XLOOKUP($D355,城市信息!$B$1:$B$14,城市信息!$A$1:$A$14)</f>
        <v>004</v>
      </c>
      <c r="M355" t="str">
        <f>_xlfn.XLOOKUP($D355,城市信息!$B$1:$B$14,城市信息!$C$1:$C$14)</f>
        <v>苏川</v>
      </c>
      <c r="N355" t="str">
        <f>_xlfn.XLOOKUP($D355,城市信息!$B$1:$B$14,城市信息!$D$1:$D$14)</f>
        <v>二线</v>
      </c>
      <c r="O355">
        <f>_xlfn.XLOOKUP($D355,城市信息!$B$1:$B$14,城市信息!$E$1:$E$14)</f>
        <v>9912</v>
      </c>
      <c r="P355" cm="1">
        <f t="array" ref="P355:U355">_xlfn.XLOOKUP(A355&amp;B355,'[1]2.4自动化报表-8月获客数据-非乱码'!$A:$A&amp;'[1]2.4自动化报表-8月获客数据-非乱码'!$B:$B,'[1]2.4自动化报表-8月获客数据-非乱码'!$C:$H)</f>
        <v>2373</v>
      </c>
      <c r="Q355">
        <v>2334</v>
      </c>
      <c r="R355">
        <v>2249</v>
      </c>
      <c r="S355">
        <v>1350</v>
      </c>
      <c r="T355">
        <v>694</v>
      </c>
      <c r="U355">
        <v>697</v>
      </c>
    </row>
    <row r="356" spans="1:21" x14ac:dyDescent="0.3">
      <c r="A356" s="1">
        <v>44056</v>
      </c>
      <c r="B356" t="s">
        <v>14</v>
      </c>
      <c r="C356" t="s">
        <v>108</v>
      </c>
      <c r="D356" t="s">
        <v>59</v>
      </c>
      <c r="E356" t="s">
        <v>119</v>
      </c>
      <c r="F356" s="2">
        <v>103504</v>
      </c>
      <c r="G356" s="2">
        <v>5639</v>
      </c>
      <c r="H356" s="2">
        <v>4193</v>
      </c>
      <c r="I356" t="str">
        <f>_xlfn.XLOOKUP($C356,战区信息!$A$1:$A$5,战区信息!$B$1:$B$5)</f>
        <v>001</v>
      </c>
      <c r="J356" t="str">
        <f>_xlfn.XLOOKUP($C356,战区信息!$A$1:$A$5,战区信息!$C$1:$C$5)</f>
        <v>江永</v>
      </c>
      <c r="K356" t="str">
        <f>_xlfn.XLOOKUP($C356,战区信息!$A$1:$A$5,战区信息!$D$1:$D$5)</f>
        <v>一级战区</v>
      </c>
      <c r="L356" t="str">
        <f>_xlfn.XLOOKUP($D356,城市信息!$B$1:$B$14,城市信息!$A$1:$A$14)</f>
        <v>004</v>
      </c>
      <c r="M356" t="str">
        <f>_xlfn.XLOOKUP($D356,城市信息!$B$1:$B$14,城市信息!$C$1:$C$14)</f>
        <v>苏川</v>
      </c>
      <c r="N356" t="str">
        <f>_xlfn.XLOOKUP($D356,城市信息!$B$1:$B$14,城市信息!$D$1:$D$14)</f>
        <v>二线</v>
      </c>
      <c r="O356">
        <f>_xlfn.XLOOKUP($D356,城市信息!$B$1:$B$14,城市信息!$E$1:$E$14)</f>
        <v>9912</v>
      </c>
      <c r="P356" cm="1">
        <f t="array" ref="P356:U356">_xlfn.XLOOKUP(A356&amp;B356,'[1]2.4自动化报表-8月获客数据-非乱码'!$A:$A&amp;'[1]2.4自动化报表-8月获客数据-非乱码'!$B:$B,'[1]2.4自动化报表-8月获客数据-非乱码'!$C:$H)</f>
        <v>2177</v>
      </c>
      <c r="Q356">
        <v>2104</v>
      </c>
      <c r="R356">
        <v>2011</v>
      </c>
      <c r="S356">
        <v>1273</v>
      </c>
      <c r="T356">
        <v>634</v>
      </c>
      <c r="U356">
        <v>698</v>
      </c>
    </row>
    <row r="357" spans="1:21" x14ac:dyDescent="0.3">
      <c r="A357" s="1">
        <v>44056</v>
      </c>
      <c r="B357" t="s">
        <v>13</v>
      </c>
      <c r="C357" t="s">
        <v>108</v>
      </c>
      <c r="D357" t="s">
        <v>60</v>
      </c>
      <c r="E357" t="s">
        <v>120</v>
      </c>
      <c r="F357" s="2">
        <v>101906</v>
      </c>
      <c r="G357" s="2">
        <v>5289</v>
      </c>
      <c r="H357">
        <v>0</v>
      </c>
      <c r="I357" t="str">
        <f>_xlfn.XLOOKUP($C357,战区信息!$A$1:$A$5,战区信息!$B$1:$B$5)</f>
        <v>001</v>
      </c>
      <c r="J357" t="str">
        <f>_xlfn.XLOOKUP($C357,战区信息!$A$1:$A$5,战区信息!$C$1:$C$5)</f>
        <v>江永</v>
      </c>
      <c r="K357" t="str">
        <f>_xlfn.XLOOKUP($C357,战区信息!$A$1:$A$5,战区信息!$D$1:$D$5)</f>
        <v>一级战区</v>
      </c>
      <c r="L357" t="str">
        <f>_xlfn.XLOOKUP($D357,城市信息!$B$1:$B$14,城市信息!$A$1:$A$14)</f>
        <v>005</v>
      </c>
      <c r="M357" t="str">
        <f>_xlfn.XLOOKUP($D357,城市信息!$B$1:$B$14,城市信息!$C$1:$C$14)</f>
        <v>侯阳冰</v>
      </c>
      <c r="N357" t="str">
        <f>_xlfn.XLOOKUP($D357,城市信息!$B$1:$B$14,城市信息!$D$1:$D$14)</f>
        <v>二线</v>
      </c>
      <c r="O357">
        <f>_xlfn.XLOOKUP($D357,城市信息!$B$1:$B$14,城市信息!$E$1:$E$14)</f>
        <v>8694</v>
      </c>
      <c r="P357" cm="1">
        <f t="array" ref="P357:U357">_xlfn.XLOOKUP(A357&amp;B357,'[1]2.4自动化报表-8月获客数据-非乱码'!$A:$A&amp;'[1]2.4自动化报表-8月获客数据-非乱码'!$B:$B,'[1]2.4自动化报表-8月获客数据-非乱码'!$C:$H)</f>
        <v>3446</v>
      </c>
      <c r="Q357">
        <v>3355</v>
      </c>
      <c r="R357">
        <v>3182</v>
      </c>
      <c r="S357">
        <v>1934</v>
      </c>
      <c r="T357">
        <v>968</v>
      </c>
      <c r="U357">
        <v>694</v>
      </c>
    </row>
    <row r="358" spans="1:21" x14ac:dyDescent="0.3">
      <c r="A358" s="1">
        <v>44056</v>
      </c>
      <c r="B358" t="s">
        <v>12</v>
      </c>
      <c r="C358" t="s">
        <v>108</v>
      </c>
      <c r="D358" t="s">
        <v>60</v>
      </c>
      <c r="E358" t="s">
        <v>121</v>
      </c>
      <c r="F358" s="2">
        <v>121237</v>
      </c>
      <c r="G358" s="2">
        <v>6196</v>
      </c>
      <c r="H358">
        <v>879</v>
      </c>
      <c r="I358" t="str">
        <f>_xlfn.XLOOKUP($C358,战区信息!$A$1:$A$5,战区信息!$B$1:$B$5)</f>
        <v>001</v>
      </c>
      <c r="J358" t="str">
        <f>_xlfn.XLOOKUP($C358,战区信息!$A$1:$A$5,战区信息!$C$1:$C$5)</f>
        <v>江永</v>
      </c>
      <c r="K358" t="str">
        <f>_xlfn.XLOOKUP($C358,战区信息!$A$1:$A$5,战区信息!$D$1:$D$5)</f>
        <v>一级战区</v>
      </c>
      <c r="L358" t="str">
        <f>_xlfn.XLOOKUP($D358,城市信息!$B$1:$B$14,城市信息!$A$1:$A$14)</f>
        <v>005</v>
      </c>
      <c r="M358" t="str">
        <f>_xlfn.XLOOKUP($D358,城市信息!$B$1:$B$14,城市信息!$C$1:$C$14)</f>
        <v>侯阳冰</v>
      </c>
      <c r="N358" t="str">
        <f>_xlfn.XLOOKUP($D358,城市信息!$B$1:$B$14,城市信息!$D$1:$D$14)</f>
        <v>二线</v>
      </c>
      <c r="O358">
        <f>_xlfn.XLOOKUP($D358,城市信息!$B$1:$B$14,城市信息!$E$1:$E$14)</f>
        <v>8694</v>
      </c>
      <c r="P358" cm="1">
        <f t="array" ref="P358:U358">_xlfn.XLOOKUP(A358&amp;B358,'[1]2.4自动化报表-8月获客数据-非乱码'!$A:$A&amp;'[1]2.4自动化报表-8月获客数据-非乱码'!$B:$B,'[1]2.4自动化报表-8月获客数据-非乱码'!$C:$H)</f>
        <v>1405</v>
      </c>
      <c r="Q358">
        <v>1382</v>
      </c>
      <c r="R358">
        <v>1304</v>
      </c>
      <c r="S358">
        <v>833</v>
      </c>
      <c r="T358">
        <v>419</v>
      </c>
      <c r="U358">
        <v>697</v>
      </c>
    </row>
    <row r="359" spans="1:21" x14ac:dyDescent="0.3">
      <c r="A359" s="1">
        <v>44056</v>
      </c>
      <c r="B359" t="s">
        <v>11</v>
      </c>
      <c r="C359" t="s">
        <v>108</v>
      </c>
      <c r="D359" t="s">
        <v>58</v>
      </c>
      <c r="E359" t="s">
        <v>122</v>
      </c>
      <c r="F359" s="2">
        <v>87870</v>
      </c>
      <c r="G359" s="2">
        <v>4385</v>
      </c>
      <c r="H359">
        <v>0</v>
      </c>
      <c r="I359" t="str">
        <f>_xlfn.XLOOKUP($C359,战区信息!$A$1:$A$5,战区信息!$B$1:$B$5)</f>
        <v>001</v>
      </c>
      <c r="J359" t="str">
        <f>_xlfn.XLOOKUP($C359,战区信息!$A$1:$A$5,战区信息!$C$1:$C$5)</f>
        <v>江永</v>
      </c>
      <c r="K359" t="str">
        <f>_xlfn.XLOOKUP($C359,战区信息!$A$1:$A$5,战区信息!$D$1:$D$5)</f>
        <v>一级战区</v>
      </c>
      <c r="L359" t="str">
        <f>_xlfn.XLOOKUP($D359,城市信息!$B$1:$B$14,城市信息!$A$1:$A$14)</f>
        <v>003</v>
      </c>
      <c r="M359" t="str">
        <f>_xlfn.XLOOKUP($D359,城市信息!$B$1:$B$14,城市信息!$C$1:$C$14)</f>
        <v>杜光亮</v>
      </c>
      <c r="N359" t="str">
        <f>_xlfn.XLOOKUP($D359,城市信息!$B$1:$B$14,城市信息!$D$1:$D$14)</f>
        <v>二线</v>
      </c>
      <c r="O359">
        <f>_xlfn.XLOOKUP($D359,城市信息!$B$1:$B$14,城市信息!$E$1:$E$14)</f>
        <v>10499</v>
      </c>
      <c r="P359" cm="1">
        <f t="array" ref="P359:U359">_xlfn.XLOOKUP(A359&amp;B359,'[1]2.4自动化报表-8月获客数据-非乱码'!$A:$A&amp;'[1]2.4自动化报表-8月获客数据-非乱码'!$B:$B,'[1]2.4自动化报表-8月获客数据-非乱码'!$C:$H)</f>
        <v>4649</v>
      </c>
      <c r="Q359">
        <v>4473</v>
      </c>
      <c r="R359">
        <v>4242</v>
      </c>
      <c r="S359">
        <v>2596</v>
      </c>
      <c r="T359">
        <v>1292</v>
      </c>
      <c r="U359">
        <v>701</v>
      </c>
    </row>
    <row r="360" spans="1:21" x14ac:dyDescent="0.3">
      <c r="A360" s="1">
        <v>44056</v>
      </c>
      <c r="B360" t="s">
        <v>10</v>
      </c>
      <c r="C360" t="s">
        <v>108</v>
      </c>
      <c r="D360" t="s">
        <v>58</v>
      </c>
      <c r="E360" t="s">
        <v>123</v>
      </c>
      <c r="F360" s="2">
        <v>45673</v>
      </c>
      <c r="G360" s="2">
        <v>2382</v>
      </c>
      <c r="H360">
        <v>0</v>
      </c>
      <c r="I360" t="str">
        <f>_xlfn.XLOOKUP($C360,战区信息!$A$1:$A$5,战区信息!$B$1:$B$5)</f>
        <v>001</v>
      </c>
      <c r="J360" t="str">
        <f>_xlfn.XLOOKUP($C360,战区信息!$A$1:$A$5,战区信息!$C$1:$C$5)</f>
        <v>江永</v>
      </c>
      <c r="K360" t="str">
        <f>_xlfn.XLOOKUP($C360,战区信息!$A$1:$A$5,战区信息!$D$1:$D$5)</f>
        <v>一级战区</v>
      </c>
      <c r="L360" t="str">
        <f>_xlfn.XLOOKUP($D360,城市信息!$B$1:$B$14,城市信息!$A$1:$A$14)</f>
        <v>003</v>
      </c>
      <c r="M360" t="str">
        <f>_xlfn.XLOOKUP($D360,城市信息!$B$1:$B$14,城市信息!$C$1:$C$14)</f>
        <v>杜光亮</v>
      </c>
      <c r="N360" t="str">
        <f>_xlfn.XLOOKUP($D360,城市信息!$B$1:$B$14,城市信息!$D$1:$D$14)</f>
        <v>二线</v>
      </c>
      <c r="O360">
        <f>_xlfn.XLOOKUP($D360,城市信息!$B$1:$B$14,城市信息!$E$1:$E$14)</f>
        <v>10499</v>
      </c>
      <c r="P360" cm="1">
        <f t="array" ref="P360:U360">_xlfn.XLOOKUP(A360&amp;B360,'[1]2.4自动化报表-8月获客数据-非乱码'!$A:$A&amp;'[1]2.4自动化报表-8月获客数据-非乱码'!$B:$B,'[1]2.4自动化报表-8月获客数据-非乱码'!$C:$H)</f>
        <v>1773</v>
      </c>
      <c r="Q360">
        <v>1738</v>
      </c>
      <c r="R360">
        <v>1690</v>
      </c>
      <c r="S360">
        <v>1017</v>
      </c>
      <c r="T360">
        <v>614</v>
      </c>
      <c r="U360">
        <v>701</v>
      </c>
    </row>
    <row r="361" spans="1:21" x14ac:dyDescent="0.3">
      <c r="A361" s="1">
        <v>44056</v>
      </c>
      <c r="B361" t="s">
        <v>9</v>
      </c>
      <c r="C361" t="s">
        <v>108</v>
      </c>
      <c r="D361" t="s">
        <v>58</v>
      </c>
      <c r="E361" t="s">
        <v>124</v>
      </c>
      <c r="F361" s="2">
        <v>136248</v>
      </c>
      <c r="G361" s="2">
        <v>7344</v>
      </c>
      <c r="H361">
        <v>334</v>
      </c>
      <c r="I361" t="str">
        <f>_xlfn.XLOOKUP($C361,战区信息!$A$1:$A$5,战区信息!$B$1:$B$5)</f>
        <v>001</v>
      </c>
      <c r="J361" t="str">
        <f>_xlfn.XLOOKUP($C361,战区信息!$A$1:$A$5,战区信息!$C$1:$C$5)</f>
        <v>江永</v>
      </c>
      <c r="K361" t="str">
        <f>_xlfn.XLOOKUP($C361,战区信息!$A$1:$A$5,战区信息!$D$1:$D$5)</f>
        <v>一级战区</v>
      </c>
      <c r="L361" t="str">
        <f>_xlfn.XLOOKUP($D361,城市信息!$B$1:$B$14,城市信息!$A$1:$A$14)</f>
        <v>003</v>
      </c>
      <c r="M361" t="str">
        <f>_xlfn.XLOOKUP($D361,城市信息!$B$1:$B$14,城市信息!$C$1:$C$14)</f>
        <v>杜光亮</v>
      </c>
      <c r="N361" t="str">
        <f>_xlfn.XLOOKUP($D361,城市信息!$B$1:$B$14,城市信息!$D$1:$D$14)</f>
        <v>二线</v>
      </c>
      <c r="O361">
        <f>_xlfn.XLOOKUP($D361,城市信息!$B$1:$B$14,城市信息!$E$1:$E$14)</f>
        <v>10499</v>
      </c>
      <c r="P361" cm="1">
        <f t="array" ref="P361:U361">_xlfn.XLOOKUP(A361&amp;B361,'[1]2.4自动化报表-8月获客数据-非乱码'!$A:$A&amp;'[1]2.4自动化报表-8月获客数据-非乱码'!$B:$B,'[1]2.4自动化报表-8月获客数据-非乱码'!$C:$H)</f>
        <v>4302</v>
      </c>
      <c r="Q361">
        <v>4208</v>
      </c>
      <c r="R361">
        <v>4058</v>
      </c>
      <c r="S361">
        <v>2295</v>
      </c>
      <c r="T361">
        <v>1297</v>
      </c>
      <c r="U361">
        <v>693</v>
      </c>
    </row>
    <row r="362" spans="1:21" x14ac:dyDescent="0.3">
      <c r="A362" s="1">
        <v>44056</v>
      </c>
      <c r="B362" t="s">
        <v>8</v>
      </c>
      <c r="C362" t="s">
        <v>125</v>
      </c>
      <c r="D362" t="s">
        <v>66</v>
      </c>
      <c r="E362" t="s">
        <v>126</v>
      </c>
      <c r="F362" s="2">
        <v>94614</v>
      </c>
      <c r="G362" s="2">
        <v>4156</v>
      </c>
      <c r="H362">
        <v>0</v>
      </c>
      <c r="I362" t="str">
        <f>_xlfn.XLOOKUP($C362,战区信息!$A$1:$A$5,战区信息!$B$1:$B$5)</f>
        <v>004</v>
      </c>
      <c r="J362" t="str">
        <f>_xlfn.XLOOKUP($C362,战区信息!$A$1:$A$5,战区信息!$C$1:$C$5)</f>
        <v>沈乐欣</v>
      </c>
      <c r="K362" t="str">
        <f>_xlfn.XLOOKUP($C362,战区信息!$A$1:$A$5,战区信息!$D$1:$D$5)</f>
        <v>三级战区</v>
      </c>
      <c r="L362" t="str">
        <f>_xlfn.XLOOKUP($D362,城市信息!$B$1:$B$14,城市信息!$A$1:$A$14)</f>
        <v>011</v>
      </c>
      <c r="M362" t="str">
        <f>_xlfn.XLOOKUP($D362,城市信息!$B$1:$B$14,城市信息!$C$1:$C$14)</f>
        <v>冯谦</v>
      </c>
      <c r="N362" t="str">
        <f>_xlfn.XLOOKUP($D362,城市信息!$B$1:$B$14,城市信息!$D$1:$D$14)</f>
        <v>一线</v>
      </c>
      <c r="O362">
        <f>_xlfn.XLOOKUP($D362,城市信息!$B$1:$B$14,城市信息!$E$1:$E$14)</f>
        <v>8244</v>
      </c>
      <c r="P362" cm="1">
        <f t="array" ref="P362:U362">_xlfn.XLOOKUP(A362&amp;B362,'[1]2.4自动化报表-8月获客数据-非乱码'!$A:$A&amp;'[1]2.4自动化报表-8月获客数据-非乱码'!$B:$B,'[1]2.4自动化报表-8月获客数据-非乱码'!$C:$H)</f>
        <v>1579</v>
      </c>
      <c r="Q362">
        <v>1560</v>
      </c>
      <c r="R362">
        <v>1513</v>
      </c>
      <c r="S362">
        <v>826</v>
      </c>
      <c r="T362">
        <v>526</v>
      </c>
      <c r="U362">
        <v>686</v>
      </c>
    </row>
    <row r="363" spans="1:21" x14ac:dyDescent="0.3">
      <c r="A363" s="1">
        <v>44056</v>
      </c>
      <c r="B363" t="s">
        <v>7</v>
      </c>
      <c r="C363" t="s">
        <v>125</v>
      </c>
      <c r="D363" t="s">
        <v>62</v>
      </c>
      <c r="E363" t="s">
        <v>127</v>
      </c>
      <c r="F363" s="2">
        <v>31001</v>
      </c>
      <c r="G363" s="2">
        <v>1194</v>
      </c>
      <c r="H363" s="2">
        <v>9224</v>
      </c>
      <c r="I363" t="str">
        <f>_xlfn.XLOOKUP($C363,战区信息!$A$1:$A$5,战区信息!$B$1:$B$5)</f>
        <v>004</v>
      </c>
      <c r="J363" t="str">
        <f>_xlfn.XLOOKUP($C363,战区信息!$A$1:$A$5,战区信息!$C$1:$C$5)</f>
        <v>沈乐欣</v>
      </c>
      <c r="K363" t="str">
        <f>_xlfn.XLOOKUP($C363,战区信息!$A$1:$A$5,战区信息!$D$1:$D$5)</f>
        <v>三级战区</v>
      </c>
      <c r="L363" t="str">
        <f>_xlfn.XLOOKUP($D363,城市信息!$B$1:$B$14,城市信息!$A$1:$A$14)</f>
        <v>007</v>
      </c>
      <c r="M363" t="str">
        <f>_xlfn.XLOOKUP($D363,城市信息!$B$1:$B$14,城市信息!$C$1:$C$14)</f>
        <v>范俊发</v>
      </c>
      <c r="N363" t="str">
        <f>_xlfn.XLOOKUP($D363,城市信息!$B$1:$B$14,城市信息!$D$1:$D$14)</f>
        <v>一线</v>
      </c>
      <c r="O363">
        <f>_xlfn.XLOOKUP($D363,城市信息!$B$1:$B$14,城市信息!$E$1:$E$14)</f>
        <v>12358</v>
      </c>
      <c r="P363" cm="1">
        <f t="array" ref="P363:U363">_xlfn.XLOOKUP(A363&amp;B363,'[1]2.4自动化报表-8月获客数据-非乱码'!$A:$A&amp;'[1]2.4自动化报表-8月获客数据-非乱码'!$B:$B,'[1]2.4自动化报表-8月获客数据-非乱码'!$C:$H)</f>
        <v>95</v>
      </c>
      <c r="Q363">
        <v>91</v>
      </c>
      <c r="R363">
        <v>85</v>
      </c>
      <c r="S363">
        <v>45</v>
      </c>
      <c r="T363">
        <v>25</v>
      </c>
      <c r="U363">
        <v>686</v>
      </c>
    </row>
    <row r="364" spans="1:21" x14ac:dyDescent="0.3">
      <c r="A364" s="1">
        <v>44056</v>
      </c>
      <c r="B364" t="s">
        <v>6</v>
      </c>
      <c r="C364" t="s">
        <v>125</v>
      </c>
      <c r="D364" t="s">
        <v>62</v>
      </c>
      <c r="E364" t="s">
        <v>128</v>
      </c>
      <c r="F364" s="2">
        <v>7459</v>
      </c>
      <c r="G364">
        <v>348</v>
      </c>
      <c r="H364">
        <v>0</v>
      </c>
      <c r="I364" t="str">
        <f>_xlfn.XLOOKUP($C364,战区信息!$A$1:$A$5,战区信息!$B$1:$B$5)</f>
        <v>004</v>
      </c>
      <c r="J364" t="str">
        <f>_xlfn.XLOOKUP($C364,战区信息!$A$1:$A$5,战区信息!$C$1:$C$5)</f>
        <v>沈乐欣</v>
      </c>
      <c r="K364" t="str">
        <f>_xlfn.XLOOKUP($C364,战区信息!$A$1:$A$5,战区信息!$D$1:$D$5)</f>
        <v>三级战区</v>
      </c>
      <c r="L364" t="str">
        <f>_xlfn.XLOOKUP($D364,城市信息!$B$1:$B$14,城市信息!$A$1:$A$14)</f>
        <v>007</v>
      </c>
      <c r="M364" t="str">
        <f>_xlfn.XLOOKUP($D364,城市信息!$B$1:$B$14,城市信息!$C$1:$C$14)</f>
        <v>范俊发</v>
      </c>
      <c r="N364" t="str">
        <f>_xlfn.XLOOKUP($D364,城市信息!$B$1:$B$14,城市信息!$D$1:$D$14)</f>
        <v>一线</v>
      </c>
      <c r="O364">
        <f>_xlfn.XLOOKUP($D364,城市信息!$B$1:$B$14,城市信息!$E$1:$E$14)</f>
        <v>12358</v>
      </c>
      <c r="P364" cm="1">
        <f t="array" ref="P364:U364">_xlfn.XLOOKUP(A364&amp;B364,'[1]2.4自动化报表-8月获客数据-非乱码'!$A:$A&amp;'[1]2.4自动化报表-8月获客数据-非乱码'!$B:$B,'[1]2.4自动化报表-8月获客数据-非乱码'!$C:$H)</f>
        <v>798</v>
      </c>
      <c r="Q364">
        <v>786</v>
      </c>
      <c r="R364">
        <v>769</v>
      </c>
      <c r="S364">
        <v>456</v>
      </c>
      <c r="T364">
        <v>283</v>
      </c>
      <c r="U364">
        <v>688</v>
      </c>
    </row>
    <row r="365" spans="1:21" x14ac:dyDescent="0.3">
      <c r="A365" s="1">
        <v>44056</v>
      </c>
      <c r="B365" t="s">
        <v>5</v>
      </c>
      <c r="C365" t="s">
        <v>125</v>
      </c>
      <c r="D365" t="s">
        <v>62</v>
      </c>
      <c r="E365" t="s">
        <v>129</v>
      </c>
      <c r="F365" s="2">
        <v>64146</v>
      </c>
      <c r="G365" s="2">
        <v>3507</v>
      </c>
      <c r="H365">
        <v>0</v>
      </c>
      <c r="I365" t="str">
        <f>_xlfn.XLOOKUP($C365,战区信息!$A$1:$A$5,战区信息!$B$1:$B$5)</f>
        <v>004</v>
      </c>
      <c r="J365" t="str">
        <f>_xlfn.XLOOKUP($C365,战区信息!$A$1:$A$5,战区信息!$C$1:$C$5)</f>
        <v>沈乐欣</v>
      </c>
      <c r="K365" t="str">
        <f>_xlfn.XLOOKUP($C365,战区信息!$A$1:$A$5,战区信息!$D$1:$D$5)</f>
        <v>三级战区</v>
      </c>
      <c r="L365" t="str">
        <f>_xlfn.XLOOKUP($D365,城市信息!$B$1:$B$14,城市信息!$A$1:$A$14)</f>
        <v>007</v>
      </c>
      <c r="M365" t="str">
        <f>_xlfn.XLOOKUP($D365,城市信息!$B$1:$B$14,城市信息!$C$1:$C$14)</f>
        <v>范俊发</v>
      </c>
      <c r="N365" t="str">
        <f>_xlfn.XLOOKUP($D365,城市信息!$B$1:$B$14,城市信息!$D$1:$D$14)</f>
        <v>一线</v>
      </c>
      <c r="O365">
        <f>_xlfn.XLOOKUP($D365,城市信息!$B$1:$B$14,城市信息!$E$1:$E$14)</f>
        <v>12358</v>
      </c>
      <c r="P365" cm="1">
        <f t="array" ref="P365:U365">_xlfn.XLOOKUP(A365&amp;B365,'[1]2.4自动化报表-8月获客数据-非乱码'!$A:$A&amp;'[1]2.4自动化报表-8月获客数据-非乱码'!$B:$B,'[1]2.4自动化报表-8月获客数据-非乱码'!$C:$H)</f>
        <v>1807</v>
      </c>
      <c r="Q365">
        <v>1765</v>
      </c>
      <c r="R365">
        <v>1688</v>
      </c>
      <c r="S365">
        <v>1076</v>
      </c>
      <c r="T365">
        <v>548</v>
      </c>
      <c r="U365">
        <v>690</v>
      </c>
    </row>
    <row r="366" spans="1:21" x14ac:dyDescent="0.3">
      <c r="A366" s="1">
        <v>44057</v>
      </c>
      <c r="B366" t="s">
        <v>32</v>
      </c>
      <c r="C366" t="s">
        <v>97</v>
      </c>
      <c r="D366" t="s">
        <v>67</v>
      </c>
      <c r="E366" t="s">
        <v>98</v>
      </c>
      <c r="F366" s="2">
        <v>48962</v>
      </c>
      <c r="G366" s="2">
        <v>2348</v>
      </c>
      <c r="H366">
        <v>0</v>
      </c>
      <c r="I366" t="str">
        <f>_xlfn.XLOOKUP($C366,战区信息!$A$1:$A$5,战区信息!$B$1:$B$5)</f>
        <v>003</v>
      </c>
      <c r="J366" t="str">
        <f>_xlfn.XLOOKUP($C366,战区信息!$A$1:$A$5,战区信息!$C$1:$C$5)</f>
        <v>田楠</v>
      </c>
      <c r="K366" t="str">
        <f>_xlfn.XLOOKUP($C366,战区信息!$A$1:$A$5,战区信息!$D$1:$D$5)</f>
        <v>二级战区</v>
      </c>
      <c r="L366" t="str">
        <f>_xlfn.XLOOKUP($D366,城市信息!$B$1:$B$14,城市信息!$A$1:$A$14)</f>
        <v>012</v>
      </c>
      <c r="M366" t="str">
        <f>_xlfn.XLOOKUP($D366,城市信息!$B$1:$B$14,城市信息!$C$1:$C$14)</f>
        <v>于子默</v>
      </c>
      <c r="N366" t="str">
        <f>_xlfn.XLOOKUP($D366,城市信息!$B$1:$B$14,城市信息!$D$1:$D$14)</f>
        <v>二线</v>
      </c>
      <c r="O366">
        <f>_xlfn.XLOOKUP($D366,城市信息!$B$1:$B$14,城市信息!$E$1:$E$14)</f>
        <v>9713</v>
      </c>
      <c r="P366" cm="1">
        <f t="array" ref="P366:U366">_xlfn.XLOOKUP(A366&amp;B366,'[1]2.4自动化报表-8月获客数据-非乱码'!$A:$A&amp;'[1]2.4自动化报表-8月获客数据-非乱码'!$B:$B,'[1]2.4自动化报表-8月获客数据-非乱码'!$C:$H)</f>
        <v>2583</v>
      </c>
      <c r="Q366">
        <v>2540</v>
      </c>
      <c r="R366">
        <v>2470</v>
      </c>
      <c r="S366">
        <v>1542</v>
      </c>
      <c r="T366">
        <v>855</v>
      </c>
      <c r="U366">
        <v>690</v>
      </c>
    </row>
    <row r="367" spans="1:21" x14ac:dyDescent="0.3">
      <c r="A367" s="1">
        <v>44057</v>
      </c>
      <c r="B367" t="s">
        <v>31</v>
      </c>
      <c r="C367" t="s">
        <v>97</v>
      </c>
      <c r="D367" t="s">
        <v>65</v>
      </c>
      <c r="E367" t="s">
        <v>99</v>
      </c>
      <c r="F367" s="2">
        <v>91543</v>
      </c>
      <c r="G367" s="2">
        <v>6266</v>
      </c>
      <c r="H367" s="2">
        <v>26063</v>
      </c>
      <c r="I367" t="str">
        <f>_xlfn.XLOOKUP($C367,战区信息!$A$1:$A$5,战区信息!$B$1:$B$5)</f>
        <v>003</v>
      </c>
      <c r="J367" t="str">
        <f>_xlfn.XLOOKUP($C367,战区信息!$A$1:$A$5,战区信息!$C$1:$C$5)</f>
        <v>田楠</v>
      </c>
      <c r="K367" t="str">
        <f>_xlfn.XLOOKUP($C367,战区信息!$A$1:$A$5,战区信息!$D$1:$D$5)</f>
        <v>二级战区</v>
      </c>
      <c r="L367" t="str">
        <f>_xlfn.XLOOKUP($D367,城市信息!$B$1:$B$14,城市信息!$A$1:$A$14)</f>
        <v>010</v>
      </c>
      <c r="M367" t="str">
        <f>_xlfn.XLOOKUP($D367,城市信息!$B$1:$B$14,城市信息!$C$1:$C$14)</f>
        <v>黄鹏天</v>
      </c>
      <c r="N367" t="str">
        <f>_xlfn.XLOOKUP($D367,城市信息!$B$1:$B$14,城市信息!$D$1:$D$14)</f>
        <v>二线</v>
      </c>
      <c r="O367">
        <f>_xlfn.XLOOKUP($D367,城市信息!$B$1:$B$14,城市信息!$E$1:$E$14)</f>
        <v>8295</v>
      </c>
      <c r="P367" cm="1">
        <f t="array" ref="P367:U367">_xlfn.XLOOKUP(A367&amp;B367,'[1]2.4自动化报表-8月获客数据-非乱码'!$A:$A&amp;'[1]2.4自动化报表-8月获客数据-非乱码'!$B:$B,'[1]2.4自动化报表-8月获客数据-非乱码'!$C:$H)</f>
        <v>3717</v>
      </c>
      <c r="Q367">
        <v>3652</v>
      </c>
      <c r="R367">
        <v>3534</v>
      </c>
      <c r="S367">
        <v>2135</v>
      </c>
      <c r="T367">
        <v>1196</v>
      </c>
      <c r="U367">
        <v>691</v>
      </c>
    </row>
    <row r="368" spans="1:21" x14ac:dyDescent="0.3">
      <c r="A368" s="1">
        <v>44057</v>
      </c>
      <c r="B368" t="s">
        <v>30</v>
      </c>
      <c r="C368" t="s">
        <v>97</v>
      </c>
      <c r="D368" t="s">
        <v>61</v>
      </c>
      <c r="E368" t="s">
        <v>100</v>
      </c>
      <c r="F368" s="2">
        <v>389529</v>
      </c>
      <c r="G368" s="2">
        <v>19432</v>
      </c>
      <c r="H368" s="2">
        <v>4193</v>
      </c>
      <c r="I368" t="str">
        <f>_xlfn.XLOOKUP($C368,战区信息!$A$1:$A$5,战区信息!$B$1:$B$5)</f>
        <v>003</v>
      </c>
      <c r="J368" t="str">
        <f>_xlfn.XLOOKUP($C368,战区信息!$A$1:$A$5,战区信息!$C$1:$C$5)</f>
        <v>田楠</v>
      </c>
      <c r="K368" t="str">
        <f>_xlfn.XLOOKUP($C368,战区信息!$A$1:$A$5,战区信息!$D$1:$D$5)</f>
        <v>二级战区</v>
      </c>
      <c r="L368" t="str">
        <f>_xlfn.XLOOKUP($D368,城市信息!$B$1:$B$14,城市信息!$A$1:$A$14)</f>
        <v>006</v>
      </c>
      <c r="M368" t="str">
        <f>_xlfn.XLOOKUP($D368,城市信息!$B$1:$B$14,城市信息!$C$1:$C$14)</f>
        <v>王刚</v>
      </c>
      <c r="N368" t="str">
        <f>_xlfn.XLOOKUP($D368,城市信息!$B$1:$B$14,城市信息!$D$1:$D$14)</f>
        <v>二线</v>
      </c>
      <c r="O368">
        <f>_xlfn.XLOOKUP($D368,城市信息!$B$1:$B$14,城市信息!$E$1:$E$14)</f>
        <v>9107</v>
      </c>
      <c r="P368" cm="1">
        <f t="array" ref="P368:U368">_xlfn.XLOOKUP(A368&amp;B368,'[1]2.4自动化报表-8月获客数据-非乱码'!$A:$A&amp;'[1]2.4自动化报表-8月获客数据-非乱码'!$B:$B,'[1]2.4自动化报表-8月获客数据-非乱码'!$C:$H)</f>
        <v>4995</v>
      </c>
      <c r="Q368">
        <v>4878</v>
      </c>
      <c r="R368">
        <v>4685</v>
      </c>
      <c r="S368">
        <v>2939</v>
      </c>
      <c r="T368">
        <v>1529</v>
      </c>
      <c r="U368">
        <v>699</v>
      </c>
    </row>
    <row r="369" spans="1:21" x14ac:dyDescent="0.3">
      <c r="A369" s="1">
        <v>44057</v>
      </c>
      <c r="B369" t="s">
        <v>29</v>
      </c>
      <c r="C369" t="s">
        <v>97</v>
      </c>
      <c r="D369" t="s">
        <v>64</v>
      </c>
      <c r="E369" t="s">
        <v>101</v>
      </c>
      <c r="F369" s="2">
        <v>146553</v>
      </c>
      <c r="G369" s="2">
        <v>7214</v>
      </c>
      <c r="H369">
        <v>0</v>
      </c>
      <c r="I369" t="str">
        <f>_xlfn.XLOOKUP($C369,战区信息!$A$1:$A$5,战区信息!$B$1:$B$5)</f>
        <v>003</v>
      </c>
      <c r="J369" t="str">
        <f>_xlfn.XLOOKUP($C369,战区信息!$A$1:$A$5,战区信息!$C$1:$C$5)</f>
        <v>田楠</v>
      </c>
      <c r="K369" t="str">
        <f>_xlfn.XLOOKUP($C369,战区信息!$A$1:$A$5,战区信息!$D$1:$D$5)</f>
        <v>二级战区</v>
      </c>
      <c r="L369" t="str">
        <f>_xlfn.XLOOKUP($D369,城市信息!$B$1:$B$14,城市信息!$A$1:$A$14)</f>
        <v>009</v>
      </c>
      <c r="M369" t="str">
        <f>_xlfn.XLOOKUP($D369,城市信息!$B$1:$B$14,城市信息!$C$1:$C$14)</f>
        <v>叶超</v>
      </c>
      <c r="N369" t="str">
        <f>_xlfn.XLOOKUP($D369,城市信息!$B$1:$B$14,城市信息!$D$1:$D$14)</f>
        <v>二线</v>
      </c>
      <c r="O369">
        <f>_xlfn.XLOOKUP($D369,城市信息!$B$1:$B$14,城市信息!$E$1:$E$14)</f>
        <v>9016</v>
      </c>
      <c r="P369" cm="1">
        <f t="array" ref="P369:U369">_xlfn.XLOOKUP(A369&amp;B369,'[1]2.4自动化报表-8月获客数据-非乱码'!$A:$A&amp;'[1]2.4自动化报表-8月获客数据-非乱码'!$B:$B,'[1]2.4自动化报表-8月获客数据-非乱码'!$C:$H)</f>
        <v>2426</v>
      </c>
      <c r="Q369">
        <v>2372</v>
      </c>
      <c r="R369">
        <v>2292</v>
      </c>
      <c r="S369">
        <v>1496</v>
      </c>
      <c r="T369">
        <v>869</v>
      </c>
      <c r="U369">
        <v>691</v>
      </c>
    </row>
    <row r="370" spans="1:21" x14ac:dyDescent="0.3">
      <c r="A370" s="1">
        <v>44057</v>
      </c>
      <c r="B370" t="s">
        <v>28</v>
      </c>
      <c r="C370" t="s">
        <v>97</v>
      </c>
      <c r="D370" t="s">
        <v>64</v>
      </c>
      <c r="E370" t="s">
        <v>102</v>
      </c>
      <c r="F370" s="2">
        <v>45001</v>
      </c>
      <c r="G370" s="2">
        <v>2197</v>
      </c>
      <c r="H370">
        <v>0</v>
      </c>
      <c r="I370" t="str">
        <f>_xlfn.XLOOKUP($C370,战区信息!$A$1:$A$5,战区信息!$B$1:$B$5)</f>
        <v>003</v>
      </c>
      <c r="J370" t="str">
        <f>_xlfn.XLOOKUP($C370,战区信息!$A$1:$A$5,战区信息!$C$1:$C$5)</f>
        <v>田楠</v>
      </c>
      <c r="K370" t="str">
        <f>_xlfn.XLOOKUP($C370,战区信息!$A$1:$A$5,战区信息!$D$1:$D$5)</f>
        <v>二级战区</v>
      </c>
      <c r="L370" t="str">
        <f>_xlfn.XLOOKUP($D370,城市信息!$B$1:$B$14,城市信息!$A$1:$A$14)</f>
        <v>009</v>
      </c>
      <c r="M370" t="str">
        <f>_xlfn.XLOOKUP($D370,城市信息!$B$1:$B$14,城市信息!$C$1:$C$14)</f>
        <v>叶超</v>
      </c>
      <c r="N370" t="str">
        <f>_xlfn.XLOOKUP($D370,城市信息!$B$1:$B$14,城市信息!$D$1:$D$14)</f>
        <v>二线</v>
      </c>
      <c r="O370">
        <f>_xlfn.XLOOKUP($D370,城市信息!$B$1:$B$14,城市信息!$E$1:$E$14)</f>
        <v>9016</v>
      </c>
      <c r="P370" cm="1">
        <f t="array" ref="P370:U370">_xlfn.XLOOKUP(A370&amp;B370,'[1]2.4自动化报表-8月获客数据-非乱码'!$A:$A&amp;'[1]2.4自动化报表-8月获客数据-非乱码'!$B:$B,'[1]2.4自动化报表-8月获客数据-非乱码'!$C:$H)</f>
        <v>672</v>
      </c>
      <c r="Q370">
        <v>662</v>
      </c>
      <c r="R370">
        <v>643</v>
      </c>
      <c r="S370">
        <v>443</v>
      </c>
      <c r="T370">
        <v>209</v>
      </c>
      <c r="U370">
        <v>692</v>
      </c>
    </row>
    <row r="371" spans="1:21" x14ac:dyDescent="0.3">
      <c r="A371" s="1">
        <v>44057</v>
      </c>
      <c r="B371" t="s">
        <v>27</v>
      </c>
      <c r="C371" t="s">
        <v>103</v>
      </c>
      <c r="D371" t="s">
        <v>63</v>
      </c>
      <c r="E371" t="s">
        <v>104</v>
      </c>
      <c r="F371" s="2">
        <v>102734</v>
      </c>
      <c r="G371" s="2">
        <v>5013</v>
      </c>
      <c r="H371">
        <v>0</v>
      </c>
      <c r="I371" t="str">
        <f>_xlfn.XLOOKUP($C371,战区信息!$A$1:$A$5,战区信息!$B$1:$B$5)</f>
        <v>002</v>
      </c>
      <c r="J371" t="str">
        <f>_xlfn.XLOOKUP($C371,战区信息!$A$1:$A$5,战区信息!$C$1:$C$5)</f>
        <v>高安平</v>
      </c>
      <c r="K371" t="str">
        <f>_xlfn.XLOOKUP($C371,战区信息!$A$1:$A$5,战区信息!$D$1:$D$5)</f>
        <v>二级战区</v>
      </c>
      <c r="L371" t="str">
        <f>_xlfn.XLOOKUP($D371,城市信息!$B$1:$B$14,城市信息!$A$1:$A$14)</f>
        <v>008</v>
      </c>
      <c r="M371" t="str">
        <f>_xlfn.XLOOKUP($D371,城市信息!$B$1:$B$14,城市信息!$C$1:$C$14)</f>
        <v>高弘壮</v>
      </c>
      <c r="N371" t="str">
        <f>_xlfn.XLOOKUP($D371,城市信息!$B$1:$B$14,城市信息!$D$1:$D$14)</f>
        <v>一线</v>
      </c>
      <c r="O371">
        <f>_xlfn.XLOOKUP($D371,城市信息!$B$1:$B$14,城市信息!$E$1:$E$14)</f>
        <v>11498</v>
      </c>
      <c r="P371" cm="1">
        <f t="array" ref="P371:U371">_xlfn.XLOOKUP(A371&amp;B371,'[1]2.4自动化报表-8月获客数据-非乱码'!$A:$A&amp;'[1]2.4自动化报表-8月获客数据-非乱码'!$B:$B,'[1]2.4自动化报表-8月获客数据-非乱码'!$C:$H)</f>
        <v>3823</v>
      </c>
      <c r="Q371">
        <v>3708</v>
      </c>
      <c r="R371">
        <v>3535</v>
      </c>
      <c r="S371">
        <v>2103</v>
      </c>
      <c r="T371">
        <v>1122</v>
      </c>
      <c r="U371">
        <v>689</v>
      </c>
    </row>
    <row r="372" spans="1:21" x14ac:dyDescent="0.3">
      <c r="A372" s="1">
        <v>44057</v>
      </c>
      <c r="B372" t="s">
        <v>26</v>
      </c>
      <c r="C372" t="s">
        <v>103</v>
      </c>
      <c r="D372" t="s">
        <v>57</v>
      </c>
      <c r="E372" t="s">
        <v>105</v>
      </c>
      <c r="F372" s="2">
        <v>277892</v>
      </c>
      <c r="G372" s="2">
        <v>17316</v>
      </c>
      <c r="H372">
        <v>0</v>
      </c>
      <c r="I372" t="str">
        <f>_xlfn.XLOOKUP($C372,战区信息!$A$1:$A$5,战区信息!$B$1:$B$5)</f>
        <v>002</v>
      </c>
      <c r="J372" t="str">
        <f>_xlfn.XLOOKUP($C372,战区信息!$A$1:$A$5,战区信息!$C$1:$C$5)</f>
        <v>高安平</v>
      </c>
      <c r="K372" t="str">
        <f>_xlfn.XLOOKUP($C372,战区信息!$A$1:$A$5,战区信息!$D$1:$D$5)</f>
        <v>二级战区</v>
      </c>
      <c r="L372" t="str">
        <f>_xlfn.XLOOKUP($D372,城市信息!$B$1:$B$14,城市信息!$A$1:$A$14)</f>
        <v>002</v>
      </c>
      <c r="M372" t="str">
        <f>_xlfn.XLOOKUP($D372,城市信息!$B$1:$B$14,城市信息!$C$1:$C$14)</f>
        <v>孙乒</v>
      </c>
      <c r="N372" t="str">
        <f>_xlfn.XLOOKUP($D372,城市信息!$B$1:$B$14,城市信息!$D$1:$D$14)</f>
        <v>一线</v>
      </c>
      <c r="O372">
        <f>_xlfn.XLOOKUP($D372,城市信息!$B$1:$B$14,城市信息!$E$1:$E$14)</f>
        <v>9854</v>
      </c>
      <c r="P372" cm="1">
        <f t="array" ref="P372:U372">_xlfn.XLOOKUP(A372&amp;B372,'[1]2.4自动化报表-8月获客数据-非乱码'!$A:$A&amp;'[1]2.4自动化报表-8月获客数据-非乱码'!$B:$B,'[1]2.4自动化报表-8月获客数据-非乱码'!$C:$H)</f>
        <v>6383</v>
      </c>
      <c r="Q372">
        <v>6224</v>
      </c>
      <c r="R372">
        <v>5960</v>
      </c>
      <c r="S372">
        <v>3747</v>
      </c>
      <c r="T372">
        <v>2077</v>
      </c>
      <c r="U372">
        <v>688</v>
      </c>
    </row>
    <row r="373" spans="1:21" x14ac:dyDescent="0.3">
      <c r="A373" s="1">
        <v>44057</v>
      </c>
      <c r="B373" t="s">
        <v>25</v>
      </c>
      <c r="C373" t="s">
        <v>103</v>
      </c>
      <c r="D373" t="s">
        <v>57</v>
      </c>
      <c r="E373" t="s">
        <v>106</v>
      </c>
      <c r="F373" s="2">
        <v>74647</v>
      </c>
      <c r="G373" s="2">
        <v>4197</v>
      </c>
      <c r="H373">
        <v>0</v>
      </c>
      <c r="I373" t="str">
        <f>_xlfn.XLOOKUP($C373,战区信息!$A$1:$A$5,战区信息!$B$1:$B$5)</f>
        <v>002</v>
      </c>
      <c r="J373" t="str">
        <f>_xlfn.XLOOKUP($C373,战区信息!$A$1:$A$5,战区信息!$C$1:$C$5)</f>
        <v>高安平</v>
      </c>
      <c r="K373" t="str">
        <f>_xlfn.XLOOKUP($C373,战区信息!$A$1:$A$5,战区信息!$D$1:$D$5)</f>
        <v>二级战区</v>
      </c>
      <c r="L373" t="str">
        <f>_xlfn.XLOOKUP($D373,城市信息!$B$1:$B$14,城市信息!$A$1:$A$14)</f>
        <v>002</v>
      </c>
      <c r="M373" t="str">
        <f>_xlfn.XLOOKUP($D373,城市信息!$B$1:$B$14,城市信息!$C$1:$C$14)</f>
        <v>孙乒</v>
      </c>
      <c r="N373" t="str">
        <f>_xlfn.XLOOKUP($D373,城市信息!$B$1:$B$14,城市信息!$D$1:$D$14)</f>
        <v>一线</v>
      </c>
      <c r="O373">
        <f>_xlfn.XLOOKUP($D373,城市信息!$B$1:$B$14,城市信息!$E$1:$E$14)</f>
        <v>9854</v>
      </c>
      <c r="P373" cm="1">
        <f t="array" ref="P373:U373">_xlfn.XLOOKUP(A373&amp;B373,'[1]2.4自动化报表-8月获客数据-非乱码'!$A:$A&amp;'[1]2.4自动化报表-8月获客数据-非乱码'!$B:$B,'[1]2.4自动化报表-8月获客数据-非乱码'!$C:$H)</f>
        <v>3215</v>
      </c>
      <c r="Q373">
        <v>3129</v>
      </c>
      <c r="R373">
        <v>2961</v>
      </c>
      <c r="S373">
        <v>1747</v>
      </c>
      <c r="T373">
        <v>965</v>
      </c>
      <c r="U373">
        <v>688</v>
      </c>
    </row>
    <row r="374" spans="1:21" x14ac:dyDescent="0.3">
      <c r="A374" s="1">
        <v>44057</v>
      </c>
      <c r="B374" t="s">
        <v>24</v>
      </c>
      <c r="C374" t="s">
        <v>103</v>
      </c>
      <c r="D374" t="s">
        <v>57</v>
      </c>
      <c r="E374" t="s">
        <v>107</v>
      </c>
      <c r="F374" s="2">
        <v>105691</v>
      </c>
      <c r="G374" s="2">
        <v>5048</v>
      </c>
      <c r="H374">
        <v>0</v>
      </c>
      <c r="I374" t="str">
        <f>_xlfn.XLOOKUP($C374,战区信息!$A$1:$A$5,战区信息!$B$1:$B$5)</f>
        <v>002</v>
      </c>
      <c r="J374" t="str">
        <f>_xlfn.XLOOKUP($C374,战区信息!$A$1:$A$5,战区信息!$C$1:$C$5)</f>
        <v>高安平</v>
      </c>
      <c r="K374" t="str">
        <f>_xlfn.XLOOKUP($C374,战区信息!$A$1:$A$5,战区信息!$D$1:$D$5)</f>
        <v>二级战区</v>
      </c>
      <c r="L374" t="str">
        <f>_xlfn.XLOOKUP($D374,城市信息!$B$1:$B$14,城市信息!$A$1:$A$14)</f>
        <v>002</v>
      </c>
      <c r="M374" t="str">
        <f>_xlfn.XLOOKUP($D374,城市信息!$B$1:$B$14,城市信息!$C$1:$C$14)</f>
        <v>孙乒</v>
      </c>
      <c r="N374" t="str">
        <f>_xlfn.XLOOKUP($D374,城市信息!$B$1:$B$14,城市信息!$D$1:$D$14)</f>
        <v>一线</v>
      </c>
      <c r="O374">
        <f>_xlfn.XLOOKUP($D374,城市信息!$B$1:$B$14,城市信息!$E$1:$E$14)</f>
        <v>9854</v>
      </c>
      <c r="P374" cm="1">
        <f t="array" ref="P374:U374">_xlfn.XLOOKUP(A374&amp;B374,'[1]2.4自动化报表-8月获客数据-非乱码'!$A:$A&amp;'[1]2.4自动化报表-8月获客数据-非乱码'!$B:$B,'[1]2.4自动化报表-8月获客数据-非乱码'!$C:$H)</f>
        <v>4484</v>
      </c>
      <c r="Q374">
        <v>4394</v>
      </c>
      <c r="R374">
        <v>4200</v>
      </c>
      <c r="S374">
        <v>2583</v>
      </c>
      <c r="T374">
        <v>1493</v>
      </c>
      <c r="U374">
        <v>691</v>
      </c>
    </row>
    <row r="375" spans="1:21" x14ac:dyDescent="0.3">
      <c r="A375" s="1">
        <v>44057</v>
      </c>
      <c r="B375" t="s">
        <v>23</v>
      </c>
      <c r="C375" t="s">
        <v>108</v>
      </c>
      <c r="D375" t="s">
        <v>109</v>
      </c>
      <c r="E375" t="s">
        <v>110</v>
      </c>
      <c r="F375" s="2">
        <v>147162</v>
      </c>
      <c r="G375" s="2">
        <v>6338</v>
      </c>
      <c r="H375" s="2">
        <v>7283</v>
      </c>
      <c r="I375" t="str">
        <f>_xlfn.XLOOKUP($C375,战区信息!$A$1:$A$5,战区信息!$B$1:$B$5)</f>
        <v>001</v>
      </c>
      <c r="J375" t="str">
        <f>_xlfn.XLOOKUP($C375,战区信息!$A$1:$A$5,战区信息!$C$1:$C$5)</f>
        <v>江永</v>
      </c>
      <c r="K375" t="str">
        <f>_xlfn.XLOOKUP($C375,战区信息!$A$1:$A$5,战区信息!$D$1:$D$5)</f>
        <v>一级战区</v>
      </c>
      <c r="L375" t="str">
        <f>_xlfn.XLOOKUP($D375,城市信息!$B$1:$B$14,城市信息!$A$1:$A$14)</f>
        <v>013</v>
      </c>
      <c r="M375" t="str">
        <f>_xlfn.XLOOKUP($D375,城市信息!$B$1:$B$14,城市信息!$C$1:$C$14)</f>
        <v>张建</v>
      </c>
      <c r="N375" t="str">
        <f>_xlfn.XLOOKUP($D375,城市信息!$B$1:$B$14,城市信息!$D$1:$D$14)</f>
        <v>二线</v>
      </c>
      <c r="O375">
        <f>_xlfn.XLOOKUP($D375,城市信息!$B$1:$B$14,城市信息!$E$1:$E$14)</f>
        <v>8800</v>
      </c>
      <c r="P375" cm="1">
        <f t="array" ref="P375:U375">_xlfn.XLOOKUP(A375&amp;B375,'[1]2.4自动化报表-8月获客数据-非乱码'!$A:$A&amp;'[1]2.4自动化报表-8月获客数据-非乱码'!$B:$B,'[1]2.4自动化报表-8月获客数据-非乱码'!$C:$H)</f>
        <v>5113</v>
      </c>
      <c r="Q375">
        <v>4948</v>
      </c>
      <c r="R375">
        <v>4724</v>
      </c>
      <c r="S375">
        <v>2861</v>
      </c>
      <c r="T375">
        <v>1484</v>
      </c>
      <c r="U375">
        <v>694</v>
      </c>
    </row>
    <row r="376" spans="1:21" x14ac:dyDescent="0.3">
      <c r="A376" s="1">
        <v>44057</v>
      </c>
      <c r="B376" t="s">
        <v>22</v>
      </c>
      <c r="C376" t="s">
        <v>108</v>
      </c>
      <c r="D376" t="s">
        <v>109</v>
      </c>
      <c r="E376" t="s">
        <v>111</v>
      </c>
      <c r="F376" s="2">
        <v>7500</v>
      </c>
      <c r="G376">
        <v>312</v>
      </c>
      <c r="H376">
        <v>0</v>
      </c>
      <c r="I376" t="str">
        <f>_xlfn.XLOOKUP($C376,战区信息!$A$1:$A$5,战区信息!$B$1:$B$5)</f>
        <v>001</v>
      </c>
      <c r="J376" t="str">
        <f>_xlfn.XLOOKUP($C376,战区信息!$A$1:$A$5,战区信息!$C$1:$C$5)</f>
        <v>江永</v>
      </c>
      <c r="K376" t="str">
        <f>_xlfn.XLOOKUP($C376,战区信息!$A$1:$A$5,战区信息!$D$1:$D$5)</f>
        <v>一级战区</v>
      </c>
      <c r="L376" t="str">
        <f>_xlfn.XLOOKUP($D376,城市信息!$B$1:$B$14,城市信息!$A$1:$A$14)</f>
        <v>013</v>
      </c>
      <c r="M376" t="str">
        <f>_xlfn.XLOOKUP($D376,城市信息!$B$1:$B$14,城市信息!$C$1:$C$14)</f>
        <v>张建</v>
      </c>
      <c r="N376" t="str">
        <f>_xlfn.XLOOKUP($D376,城市信息!$B$1:$B$14,城市信息!$D$1:$D$14)</f>
        <v>二线</v>
      </c>
      <c r="O376">
        <f>_xlfn.XLOOKUP($D376,城市信息!$B$1:$B$14,城市信息!$E$1:$E$14)</f>
        <v>8800</v>
      </c>
      <c r="P376" cm="1">
        <f t="array" ref="P376:U376">_xlfn.XLOOKUP(A376&amp;B376,'[1]2.4自动化报表-8月获客数据-非乱码'!$A:$A&amp;'[1]2.4自动化报表-8月获客数据-非乱码'!$B:$B,'[1]2.4自动化报表-8月获客数据-非乱码'!$C:$H)</f>
        <v>83</v>
      </c>
      <c r="Q376">
        <v>80</v>
      </c>
      <c r="R376">
        <v>70</v>
      </c>
      <c r="S376">
        <v>41</v>
      </c>
      <c r="T376">
        <v>18</v>
      </c>
      <c r="U376">
        <v>684</v>
      </c>
    </row>
    <row r="377" spans="1:21" x14ac:dyDescent="0.3">
      <c r="A377" s="1">
        <v>44057</v>
      </c>
      <c r="B377" t="s">
        <v>21</v>
      </c>
      <c r="C377" t="s">
        <v>108</v>
      </c>
      <c r="D377" t="s">
        <v>109</v>
      </c>
      <c r="E377" t="s">
        <v>112</v>
      </c>
      <c r="F377" s="2">
        <v>304605</v>
      </c>
      <c r="G377" s="2">
        <v>15641</v>
      </c>
      <c r="H377" s="2">
        <v>8386</v>
      </c>
      <c r="I377" t="str">
        <f>_xlfn.XLOOKUP($C377,战区信息!$A$1:$A$5,战区信息!$B$1:$B$5)</f>
        <v>001</v>
      </c>
      <c r="J377" t="str">
        <f>_xlfn.XLOOKUP($C377,战区信息!$A$1:$A$5,战区信息!$C$1:$C$5)</f>
        <v>江永</v>
      </c>
      <c r="K377" t="str">
        <f>_xlfn.XLOOKUP($C377,战区信息!$A$1:$A$5,战区信息!$D$1:$D$5)</f>
        <v>一级战区</v>
      </c>
      <c r="L377" t="str">
        <f>_xlfn.XLOOKUP($D377,城市信息!$B$1:$B$14,城市信息!$A$1:$A$14)</f>
        <v>013</v>
      </c>
      <c r="M377" t="str">
        <f>_xlfn.XLOOKUP($D377,城市信息!$B$1:$B$14,城市信息!$C$1:$C$14)</f>
        <v>张建</v>
      </c>
      <c r="N377" t="str">
        <f>_xlfn.XLOOKUP($D377,城市信息!$B$1:$B$14,城市信息!$D$1:$D$14)</f>
        <v>二线</v>
      </c>
      <c r="O377">
        <f>_xlfn.XLOOKUP($D377,城市信息!$B$1:$B$14,城市信息!$E$1:$E$14)</f>
        <v>8800</v>
      </c>
      <c r="P377" cm="1">
        <f t="array" ref="P377:U377">_xlfn.XLOOKUP(A377&amp;B377,'[1]2.4自动化报表-8月获客数据-非乱码'!$A:$A&amp;'[1]2.4自动化报表-8月获客数据-非乱码'!$B:$B,'[1]2.4自动化报表-8月获客数据-非乱码'!$C:$H)</f>
        <v>6462</v>
      </c>
      <c r="Q377">
        <v>6194</v>
      </c>
      <c r="R377">
        <v>5893</v>
      </c>
      <c r="S377">
        <v>3424</v>
      </c>
      <c r="T377">
        <v>1874</v>
      </c>
      <c r="U377">
        <v>696</v>
      </c>
    </row>
    <row r="378" spans="1:21" x14ac:dyDescent="0.3">
      <c r="A378" s="1">
        <v>44057</v>
      </c>
      <c r="B378" t="s">
        <v>20</v>
      </c>
      <c r="C378" t="s">
        <v>108</v>
      </c>
      <c r="D378" t="s">
        <v>56</v>
      </c>
      <c r="E378" t="s">
        <v>113</v>
      </c>
      <c r="F378" s="2">
        <v>205486</v>
      </c>
      <c r="G378" s="2">
        <v>9816</v>
      </c>
      <c r="H378">
        <v>0</v>
      </c>
      <c r="I378" t="str">
        <f>_xlfn.XLOOKUP($C378,战区信息!$A$1:$A$5,战区信息!$B$1:$B$5)</f>
        <v>001</v>
      </c>
      <c r="J378" t="str">
        <f>_xlfn.XLOOKUP($C378,战区信息!$A$1:$A$5,战区信息!$C$1:$C$5)</f>
        <v>江永</v>
      </c>
      <c r="K378" t="str">
        <f>_xlfn.XLOOKUP($C378,战区信息!$A$1:$A$5,战区信息!$D$1:$D$5)</f>
        <v>一级战区</v>
      </c>
      <c r="L378" t="str">
        <f>_xlfn.XLOOKUP($D378,城市信息!$B$1:$B$14,城市信息!$A$1:$A$14)</f>
        <v>001</v>
      </c>
      <c r="M378" t="str">
        <f>_xlfn.XLOOKUP($D378,城市信息!$B$1:$B$14,城市信息!$C$1:$C$14)</f>
        <v>吴刚</v>
      </c>
      <c r="N378" t="str">
        <f>_xlfn.XLOOKUP($D378,城市信息!$B$1:$B$14,城市信息!$D$1:$D$14)</f>
        <v>一线</v>
      </c>
      <c r="O378">
        <f>_xlfn.XLOOKUP($D378,城市信息!$B$1:$B$14,城市信息!$E$1:$E$14)</f>
        <v>12114</v>
      </c>
      <c r="P378" cm="1">
        <f t="array" ref="P378:U378">_xlfn.XLOOKUP(A378&amp;B378,'[1]2.4自动化报表-8月获客数据-非乱码'!$A:$A&amp;'[1]2.4自动化报表-8月获客数据-非乱码'!$B:$B,'[1]2.4自动化报表-8月获客数据-非乱码'!$C:$H)</f>
        <v>4626</v>
      </c>
      <c r="Q378">
        <v>4473</v>
      </c>
      <c r="R378">
        <v>4294</v>
      </c>
      <c r="S378">
        <v>2606</v>
      </c>
      <c r="T378">
        <v>1506</v>
      </c>
      <c r="U378">
        <v>696</v>
      </c>
    </row>
    <row r="379" spans="1:21" x14ac:dyDescent="0.3">
      <c r="A379" s="1">
        <v>44057</v>
      </c>
      <c r="B379" t="s">
        <v>19</v>
      </c>
      <c r="C379" t="s">
        <v>108</v>
      </c>
      <c r="D379" t="s">
        <v>56</v>
      </c>
      <c r="E379" t="s">
        <v>114</v>
      </c>
      <c r="F379" s="2">
        <v>131003</v>
      </c>
      <c r="G379" s="2">
        <v>7726</v>
      </c>
      <c r="H379">
        <v>0</v>
      </c>
      <c r="I379" t="str">
        <f>_xlfn.XLOOKUP($C379,战区信息!$A$1:$A$5,战区信息!$B$1:$B$5)</f>
        <v>001</v>
      </c>
      <c r="J379" t="str">
        <f>_xlfn.XLOOKUP($C379,战区信息!$A$1:$A$5,战区信息!$C$1:$C$5)</f>
        <v>江永</v>
      </c>
      <c r="K379" t="str">
        <f>_xlfn.XLOOKUP($C379,战区信息!$A$1:$A$5,战区信息!$D$1:$D$5)</f>
        <v>一级战区</v>
      </c>
      <c r="L379" t="str">
        <f>_xlfn.XLOOKUP($D379,城市信息!$B$1:$B$14,城市信息!$A$1:$A$14)</f>
        <v>001</v>
      </c>
      <c r="M379" t="str">
        <f>_xlfn.XLOOKUP($D379,城市信息!$B$1:$B$14,城市信息!$C$1:$C$14)</f>
        <v>吴刚</v>
      </c>
      <c r="N379" t="str">
        <f>_xlfn.XLOOKUP($D379,城市信息!$B$1:$B$14,城市信息!$D$1:$D$14)</f>
        <v>一线</v>
      </c>
      <c r="O379">
        <f>_xlfn.XLOOKUP($D379,城市信息!$B$1:$B$14,城市信息!$E$1:$E$14)</f>
        <v>12114</v>
      </c>
      <c r="P379" cm="1">
        <f t="array" ref="P379:U379">_xlfn.XLOOKUP(A379&amp;B379,'[1]2.4自动化报表-8月获客数据-非乱码'!$A:$A&amp;'[1]2.4自动化报表-8月获客数据-非乱码'!$B:$B,'[1]2.4自动化报表-8月获客数据-非乱码'!$C:$H)</f>
        <v>2925</v>
      </c>
      <c r="Q379">
        <v>2858</v>
      </c>
      <c r="R379">
        <v>2747</v>
      </c>
      <c r="S379">
        <v>1612</v>
      </c>
      <c r="T379">
        <v>968</v>
      </c>
      <c r="U379">
        <v>696</v>
      </c>
    </row>
    <row r="380" spans="1:21" x14ac:dyDescent="0.3">
      <c r="A380" s="1">
        <v>44057</v>
      </c>
      <c r="B380" t="s">
        <v>18</v>
      </c>
      <c r="C380" t="s">
        <v>108</v>
      </c>
      <c r="D380" t="s">
        <v>56</v>
      </c>
      <c r="E380" t="s">
        <v>115</v>
      </c>
      <c r="F380" s="2">
        <v>142236</v>
      </c>
      <c r="G380" s="2">
        <v>7214</v>
      </c>
      <c r="H380">
        <v>0</v>
      </c>
      <c r="I380" t="str">
        <f>_xlfn.XLOOKUP($C380,战区信息!$A$1:$A$5,战区信息!$B$1:$B$5)</f>
        <v>001</v>
      </c>
      <c r="J380" t="str">
        <f>_xlfn.XLOOKUP($C380,战区信息!$A$1:$A$5,战区信息!$C$1:$C$5)</f>
        <v>江永</v>
      </c>
      <c r="K380" t="str">
        <f>_xlfn.XLOOKUP($C380,战区信息!$A$1:$A$5,战区信息!$D$1:$D$5)</f>
        <v>一级战区</v>
      </c>
      <c r="L380" t="str">
        <f>_xlfn.XLOOKUP($D380,城市信息!$B$1:$B$14,城市信息!$A$1:$A$14)</f>
        <v>001</v>
      </c>
      <c r="M380" t="str">
        <f>_xlfn.XLOOKUP($D380,城市信息!$B$1:$B$14,城市信息!$C$1:$C$14)</f>
        <v>吴刚</v>
      </c>
      <c r="N380" t="str">
        <f>_xlfn.XLOOKUP($D380,城市信息!$B$1:$B$14,城市信息!$D$1:$D$14)</f>
        <v>一线</v>
      </c>
      <c r="O380">
        <f>_xlfn.XLOOKUP($D380,城市信息!$B$1:$B$14,城市信息!$E$1:$E$14)</f>
        <v>12114</v>
      </c>
      <c r="P380" cm="1">
        <f t="array" ref="P380:U380">_xlfn.XLOOKUP(A380&amp;B380,'[1]2.4自动化报表-8月获客数据-非乱码'!$A:$A&amp;'[1]2.4自动化报表-8月获客数据-非乱码'!$B:$B,'[1]2.4自动化报表-8月获客数据-非乱码'!$C:$H)</f>
        <v>2513</v>
      </c>
      <c r="Q380">
        <v>2475</v>
      </c>
      <c r="R380">
        <v>2375</v>
      </c>
      <c r="S380">
        <v>1440</v>
      </c>
      <c r="T380">
        <v>776</v>
      </c>
      <c r="U380">
        <v>691</v>
      </c>
    </row>
    <row r="381" spans="1:21" x14ac:dyDescent="0.3">
      <c r="A381" s="1">
        <v>44057</v>
      </c>
      <c r="B381" t="s">
        <v>17</v>
      </c>
      <c r="C381" t="s">
        <v>108</v>
      </c>
      <c r="D381" t="s">
        <v>59</v>
      </c>
      <c r="E381" t="s">
        <v>116</v>
      </c>
      <c r="F381" s="2">
        <v>185538</v>
      </c>
      <c r="G381" s="2">
        <v>9040</v>
      </c>
      <c r="H381">
        <v>0</v>
      </c>
      <c r="I381" t="str">
        <f>_xlfn.XLOOKUP($C381,战区信息!$A$1:$A$5,战区信息!$B$1:$B$5)</f>
        <v>001</v>
      </c>
      <c r="J381" t="str">
        <f>_xlfn.XLOOKUP($C381,战区信息!$A$1:$A$5,战区信息!$C$1:$C$5)</f>
        <v>江永</v>
      </c>
      <c r="K381" t="str">
        <f>_xlfn.XLOOKUP($C381,战区信息!$A$1:$A$5,战区信息!$D$1:$D$5)</f>
        <v>一级战区</v>
      </c>
      <c r="L381" t="str">
        <f>_xlfn.XLOOKUP($D381,城市信息!$B$1:$B$14,城市信息!$A$1:$A$14)</f>
        <v>004</v>
      </c>
      <c r="M381" t="str">
        <f>_xlfn.XLOOKUP($D381,城市信息!$B$1:$B$14,城市信息!$C$1:$C$14)</f>
        <v>苏川</v>
      </c>
      <c r="N381" t="str">
        <f>_xlfn.XLOOKUP($D381,城市信息!$B$1:$B$14,城市信息!$D$1:$D$14)</f>
        <v>二线</v>
      </c>
      <c r="O381">
        <f>_xlfn.XLOOKUP($D381,城市信息!$B$1:$B$14,城市信息!$E$1:$E$14)</f>
        <v>9912</v>
      </c>
      <c r="P381" cm="1">
        <f t="array" ref="P381:U381">_xlfn.XLOOKUP(A381&amp;B381,'[1]2.4自动化报表-8月获客数据-非乱码'!$A:$A&amp;'[1]2.4自动化报表-8月获客数据-非乱码'!$B:$B,'[1]2.4自动化报表-8月获客数据-非乱码'!$C:$H)</f>
        <v>2540</v>
      </c>
      <c r="Q381">
        <v>2495</v>
      </c>
      <c r="R381">
        <v>2424</v>
      </c>
      <c r="S381">
        <v>1407</v>
      </c>
      <c r="T381">
        <v>816</v>
      </c>
      <c r="U381">
        <v>696</v>
      </c>
    </row>
    <row r="382" spans="1:21" x14ac:dyDescent="0.3">
      <c r="A382" s="1">
        <v>44057</v>
      </c>
      <c r="B382" t="s">
        <v>16</v>
      </c>
      <c r="C382" t="s">
        <v>108</v>
      </c>
      <c r="D382" t="s">
        <v>59</v>
      </c>
      <c r="E382" t="s">
        <v>117</v>
      </c>
      <c r="F382" s="2">
        <v>60002</v>
      </c>
      <c r="G382" s="2">
        <v>2498</v>
      </c>
      <c r="H382">
        <v>0</v>
      </c>
      <c r="I382" t="str">
        <f>_xlfn.XLOOKUP($C382,战区信息!$A$1:$A$5,战区信息!$B$1:$B$5)</f>
        <v>001</v>
      </c>
      <c r="J382" t="str">
        <f>_xlfn.XLOOKUP($C382,战区信息!$A$1:$A$5,战区信息!$C$1:$C$5)</f>
        <v>江永</v>
      </c>
      <c r="K382" t="str">
        <f>_xlfn.XLOOKUP($C382,战区信息!$A$1:$A$5,战区信息!$D$1:$D$5)</f>
        <v>一级战区</v>
      </c>
      <c r="L382" t="str">
        <f>_xlfn.XLOOKUP($D382,城市信息!$B$1:$B$14,城市信息!$A$1:$A$14)</f>
        <v>004</v>
      </c>
      <c r="M382" t="str">
        <f>_xlfn.XLOOKUP($D382,城市信息!$B$1:$B$14,城市信息!$C$1:$C$14)</f>
        <v>苏川</v>
      </c>
      <c r="N382" t="str">
        <f>_xlfn.XLOOKUP($D382,城市信息!$B$1:$B$14,城市信息!$D$1:$D$14)</f>
        <v>二线</v>
      </c>
      <c r="O382">
        <f>_xlfn.XLOOKUP($D382,城市信息!$B$1:$B$14,城市信息!$E$1:$E$14)</f>
        <v>9912</v>
      </c>
      <c r="P382" cm="1">
        <f t="array" ref="P382:U382">_xlfn.XLOOKUP(A382&amp;B382,'[1]2.4自动化报表-8月获客数据-非乱码'!$A:$A&amp;'[1]2.4自动化报表-8月获客数据-非乱码'!$B:$B,'[1]2.4自动化报表-8月获客数据-非乱码'!$C:$H)</f>
        <v>1907</v>
      </c>
      <c r="Q382">
        <v>1854</v>
      </c>
      <c r="R382">
        <v>1776</v>
      </c>
      <c r="S382">
        <v>1048</v>
      </c>
      <c r="T382">
        <v>592</v>
      </c>
      <c r="U382">
        <v>696</v>
      </c>
    </row>
    <row r="383" spans="1:21" x14ac:dyDescent="0.3">
      <c r="A383" s="1">
        <v>44057</v>
      </c>
      <c r="B383" t="s">
        <v>15</v>
      </c>
      <c r="C383" t="s">
        <v>108</v>
      </c>
      <c r="D383" t="s">
        <v>59</v>
      </c>
      <c r="E383" t="s">
        <v>118</v>
      </c>
      <c r="F383" s="2">
        <v>133504</v>
      </c>
      <c r="G383" s="2">
        <v>6140</v>
      </c>
      <c r="H383">
        <v>0</v>
      </c>
      <c r="I383" t="str">
        <f>_xlfn.XLOOKUP($C383,战区信息!$A$1:$A$5,战区信息!$B$1:$B$5)</f>
        <v>001</v>
      </c>
      <c r="J383" t="str">
        <f>_xlfn.XLOOKUP($C383,战区信息!$A$1:$A$5,战区信息!$C$1:$C$5)</f>
        <v>江永</v>
      </c>
      <c r="K383" t="str">
        <f>_xlfn.XLOOKUP($C383,战区信息!$A$1:$A$5,战区信息!$D$1:$D$5)</f>
        <v>一级战区</v>
      </c>
      <c r="L383" t="str">
        <f>_xlfn.XLOOKUP($D383,城市信息!$B$1:$B$14,城市信息!$A$1:$A$14)</f>
        <v>004</v>
      </c>
      <c r="M383" t="str">
        <f>_xlfn.XLOOKUP($D383,城市信息!$B$1:$B$14,城市信息!$C$1:$C$14)</f>
        <v>苏川</v>
      </c>
      <c r="N383" t="str">
        <f>_xlfn.XLOOKUP($D383,城市信息!$B$1:$B$14,城市信息!$D$1:$D$14)</f>
        <v>二线</v>
      </c>
      <c r="O383">
        <f>_xlfn.XLOOKUP($D383,城市信息!$B$1:$B$14,城市信息!$E$1:$E$14)</f>
        <v>9912</v>
      </c>
      <c r="P383" cm="1">
        <f t="array" ref="P383:U383">_xlfn.XLOOKUP(A383&amp;B383,'[1]2.4自动化报表-8月获客数据-非乱码'!$A:$A&amp;'[1]2.4自动化报表-8月获客数据-非乱码'!$B:$B,'[1]2.4自动化报表-8月获客数据-非乱码'!$C:$H)</f>
        <v>2869</v>
      </c>
      <c r="Q383">
        <v>2815</v>
      </c>
      <c r="R383">
        <v>2713</v>
      </c>
      <c r="S383">
        <v>1648</v>
      </c>
      <c r="T383">
        <v>829</v>
      </c>
      <c r="U383">
        <v>698</v>
      </c>
    </row>
    <row r="384" spans="1:21" x14ac:dyDescent="0.3">
      <c r="A384" s="1">
        <v>44057</v>
      </c>
      <c r="B384" t="s">
        <v>14</v>
      </c>
      <c r="C384" t="s">
        <v>108</v>
      </c>
      <c r="D384" t="s">
        <v>59</v>
      </c>
      <c r="E384" t="s">
        <v>119</v>
      </c>
      <c r="F384" s="2">
        <v>121542</v>
      </c>
      <c r="G384" s="2">
        <v>6590</v>
      </c>
      <c r="H384" s="2">
        <v>23217</v>
      </c>
      <c r="I384" t="str">
        <f>_xlfn.XLOOKUP($C384,战区信息!$A$1:$A$5,战区信息!$B$1:$B$5)</f>
        <v>001</v>
      </c>
      <c r="J384" t="str">
        <f>_xlfn.XLOOKUP($C384,战区信息!$A$1:$A$5,战区信息!$C$1:$C$5)</f>
        <v>江永</v>
      </c>
      <c r="K384" t="str">
        <f>_xlfn.XLOOKUP($C384,战区信息!$A$1:$A$5,战区信息!$D$1:$D$5)</f>
        <v>一级战区</v>
      </c>
      <c r="L384" t="str">
        <f>_xlfn.XLOOKUP($D384,城市信息!$B$1:$B$14,城市信息!$A$1:$A$14)</f>
        <v>004</v>
      </c>
      <c r="M384" t="str">
        <f>_xlfn.XLOOKUP($D384,城市信息!$B$1:$B$14,城市信息!$C$1:$C$14)</f>
        <v>苏川</v>
      </c>
      <c r="N384" t="str">
        <f>_xlfn.XLOOKUP($D384,城市信息!$B$1:$B$14,城市信息!$D$1:$D$14)</f>
        <v>二线</v>
      </c>
      <c r="O384">
        <f>_xlfn.XLOOKUP($D384,城市信息!$B$1:$B$14,城市信息!$E$1:$E$14)</f>
        <v>9912</v>
      </c>
      <c r="P384" cm="1">
        <f t="array" ref="P384:U384">_xlfn.XLOOKUP(A384&amp;B384,'[1]2.4自动化报表-8月获客数据-非乱码'!$A:$A&amp;'[1]2.4自动化报表-8月获客数据-非乱码'!$B:$B,'[1]2.4自动化报表-8月获客数据-非乱码'!$C:$H)</f>
        <v>1821</v>
      </c>
      <c r="Q384">
        <v>1766</v>
      </c>
      <c r="R384">
        <v>1687</v>
      </c>
      <c r="S384">
        <v>1085</v>
      </c>
      <c r="T384">
        <v>569</v>
      </c>
      <c r="U384">
        <v>700</v>
      </c>
    </row>
    <row r="385" spans="1:21" x14ac:dyDescent="0.3">
      <c r="A385" s="1">
        <v>44057</v>
      </c>
      <c r="B385" t="s">
        <v>13</v>
      </c>
      <c r="C385" t="s">
        <v>108</v>
      </c>
      <c r="D385" t="s">
        <v>60</v>
      </c>
      <c r="E385" t="s">
        <v>120</v>
      </c>
      <c r="F385" s="2">
        <v>178195</v>
      </c>
      <c r="G385" s="2">
        <v>12122</v>
      </c>
      <c r="H385">
        <v>773</v>
      </c>
      <c r="I385" t="str">
        <f>_xlfn.XLOOKUP($C385,战区信息!$A$1:$A$5,战区信息!$B$1:$B$5)</f>
        <v>001</v>
      </c>
      <c r="J385" t="str">
        <f>_xlfn.XLOOKUP($C385,战区信息!$A$1:$A$5,战区信息!$C$1:$C$5)</f>
        <v>江永</v>
      </c>
      <c r="K385" t="str">
        <f>_xlfn.XLOOKUP($C385,战区信息!$A$1:$A$5,战区信息!$D$1:$D$5)</f>
        <v>一级战区</v>
      </c>
      <c r="L385" t="str">
        <f>_xlfn.XLOOKUP($D385,城市信息!$B$1:$B$14,城市信息!$A$1:$A$14)</f>
        <v>005</v>
      </c>
      <c r="M385" t="str">
        <f>_xlfn.XLOOKUP($D385,城市信息!$B$1:$B$14,城市信息!$C$1:$C$14)</f>
        <v>侯阳冰</v>
      </c>
      <c r="N385" t="str">
        <f>_xlfn.XLOOKUP($D385,城市信息!$B$1:$B$14,城市信息!$D$1:$D$14)</f>
        <v>二线</v>
      </c>
      <c r="O385">
        <f>_xlfn.XLOOKUP($D385,城市信息!$B$1:$B$14,城市信息!$E$1:$E$14)</f>
        <v>8694</v>
      </c>
      <c r="P385" cm="1">
        <f t="array" ref="P385:U385">_xlfn.XLOOKUP(A385&amp;B385,'[1]2.4自动化报表-8月获客数据-非乱码'!$A:$A&amp;'[1]2.4自动化报表-8月获客数据-非乱码'!$B:$B,'[1]2.4自动化报表-8月获客数据-非乱码'!$C:$H)</f>
        <v>5493</v>
      </c>
      <c r="Q385">
        <v>5366</v>
      </c>
      <c r="R385">
        <v>5117</v>
      </c>
      <c r="S385">
        <v>3186</v>
      </c>
      <c r="T385">
        <v>1527</v>
      </c>
      <c r="U385">
        <v>695</v>
      </c>
    </row>
    <row r="386" spans="1:21" x14ac:dyDescent="0.3">
      <c r="A386" s="1">
        <v>44057</v>
      </c>
      <c r="B386" t="s">
        <v>12</v>
      </c>
      <c r="C386" t="s">
        <v>108</v>
      </c>
      <c r="D386" t="s">
        <v>60</v>
      </c>
      <c r="E386" t="s">
        <v>121</v>
      </c>
      <c r="F386" s="2">
        <v>101585</v>
      </c>
      <c r="G386" s="2">
        <v>4838</v>
      </c>
      <c r="H386">
        <v>0</v>
      </c>
      <c r="I386" t="str">
        <f>_xlfn.XLOOKUP($C386,战区信息!$A$1:$A$5,战区信息!$B$1:$B$5)</f>
        <v>001</v>
      </c>
      <c r="J386" t="str">
        <f>_xlfn.XLOOKUP($C386,战区信息!$A$1:$A$5,战区信息!$C$1:$C$5)</f>
        <v>江永</v>
      </c>
      <c r="K386" t="str">
        <f>_xlfn.XLOOKUP($C386,战区信息!$A$1:$A$5,战区信息!$D$1:$D$5)</f>
        <v>一级战区</v>
      </c>
      <c r="L386" t="str">
        <f>_xlfn.XLOOKUP($D386,城市信息!$B$1:$B$14,城市信息!$A$1:$A$14)</f>
        <v>005</v>
      </c>
      <c r="M386" t="str">
        <f>_xlfn.XLOOKUP($D386,城市信息!$B$1:$B$14,城市信息!$C$1:$C$14)</f>
        <v>侯阳冰</v>
      </c>
      <c r="N386" t="str">
        <f>_xlfn.XLOOKUP($D386,城市信息!$B$1:$B$14,城市信息!$D$1:$D$14)</f>
        <v>二线</v>
      </c>
      <c r="O386">
        <f>_xlfn.XLOOKUP($D386,城市信息!$B$1:$B$14,城市信息!$E$1:$E$14)</f>
        <v>8694</v>
      </c>
      <c r="P386" cm="1">
        <f t="array" ref="P386:U386">_xlfn.XLOOKUP(A386&amp;B386,'[1]2.4自动化报表-8月获客数据-非乱码'!$A:$A&amp;'[1]2.4自动化报表-8月获客数据-非乱码'!$B:$B,'[1]2.4自动化报表-8月获客数据-非乱码'!$C:$H)</f>
        <v>1174</v>
      </c>
      <c r="Q386">
        <v>1153</v>
      </c>
      <c r="R386">
        <v>1085</v>
      </c>
      <c r="S386">
        <v>694</v>
      </c>
      <c r="T386">
        <v>344</v>
      </c>
      <c r="U386">
        <v>698</v>
      </c>
    </row>
    <row r="387" spans="1:21" x14ac:dyDescent="0.3">
      <c r="A387" s="1">
        <v>44057</v>
      </c>
      <c r="B387" t="s">
        <v>11</v>
      </c>
      <c r="C387" t="s">
        <v>108</v>
      </c>
      <c r="D387" t="s">
        <v>58</v>
      </c>
      <c r="E387" t="s">
        <v>122</v>
      </c>
      <c r="F387" s="2">
        <v>232628</v>
      </c>
      <c r="G387" s="2">
        <v>14047</v>
      </c>
      <c r="H387" s="2">
        <v>10894</v>
      </c>
      <c r="I387" t="str">
        <f>_xlfn.XLOOKUP($C387,战区信息!$A$1:$A$5,战区信息!$B$1:$B$5)</f>
        <v>001</v>
      </c>
      <c r="J387" t="str">
        <f>_xlfn.XLOOKUP($C387,战区信息!$A$1:$A$5,战区信息!$C$1:$C$5)</f>
        <v>江永</v>
      </c>
      <c r="K387" t="str">
        <f>_xlfn.XLOOKUP($C387,战区信息!$A$1:$A$5,战区信息!$D$1:$D$5)</f>
        <v>一级战区</v>
      </c>
      <c r="L387" t="str">
        <f>_xlfn.XLOOKUP($D387,城市信息!$B$1:$B$14,城市信息!$A$1:$A$14)</f>
        <v>003</v>
      </c>
      <c r="M387" t="str">
        <f>_xlfn.XLOOKUP($D387,城市信息!$B$1:$B$14,城市信息!$C$1:$C$14)</f>
        <v>杜光亮</v>
      </c>
      <c r="N387" t="str">
        <f>_xlfn.XLOOKUP($D387,城市信息!$B$1:$B$14,城市信息!$D$1:$D$14)</f>
        <v>二线</v>
      </c>
      <c r="O387">
        <f>_xlfn.XLOOKUP($D387,城市信息!$B$1:$B$14,城市信息!$E$1:$E$14)</f>
        <v>10499</v>
      </c>
      <c r="P387" cm="1">
        <f t="array" ref="P387:U387">_xlfn.XLOOKUP(A387&amp;B387,'[1]2.4自动化报表-8月获客数据-非乱码'!$A:$A&amp;'[1]2.4自动化报表-8月获客数据-非乱码'!$B:$B,'[1]2.4自动化报表-8月获客数据-非乱码'!$C:$H)</f>
        <v>5497</v>
      </c>
      <c r="Q387">
        <v>5275</v>
      </c>
      <c r="R387">
        <v>4997</v>
      </c>
      <c r="S387">
        <v>3077</v>
      </c>
      <c r="T387">
        <v>1524</v>
      </c>
      <c r="U387">
        <v>702</v>
      </c>
    </row>
    <row r="388" spans="1:21" x14ac:dyDescent="0.3">
      <c r="A388" s="1">
        <v>44057</v>
      </c>
      <c r="B388" t="s">
        <v>10</v>
      </c>
      <c r="C388" t="s">
        <v>108</v>
      </c>
      <c r="D388" t="s">
        <v>58</v>
      </c>
      <c r="E388" t="s">
        <v>123</v>
      </c>
      <c r="F388" s="2">
        <v>53531</v>
      </c>
      <c r="G388" s="2">
        <v>2776</v>
      </c>
      <c r="H388">
        <v>0</v>
      </c>
      <c r="I388" t="str">
        <f>_xlfn.XLOOKUP($C388,战区信息!$A$1:$A$5,战区信息!$B$1:$B$5)</f>
        <v>001</v>
      </c>
      <c r="J388" t="str">
        <f>_xlfn.XLOOKUP($C388,战区信息!$A$1:$A$5,战区信息!$C$1:$C$5)</f>
        <v>江永</v>
      </c>
      <c r="K388" t="str">
        <f>_xlfn.XLOOKUP($C388,战区信息!$A$1:$A$5,战区信息!$D$1:$D$5)</f>
        <v>一级战区</v>
      </c>
      <c r="L388" t="str">
        <f>_xlfn.XLOOKUP($D388,城市信息!$B$1:$B$14,城市信息!$A$1:$A$14)</f>
        <v>003</v>
      </c>
      <c r="M388" t="str">
        <f>_xlfn.XLOOKUP($D388,城市信息!$B$1:$B$14,城市信息!$C$1:$C$14)</f>
        <v>杜光亮</v>
      </c>
      <c r="N388" t="str">
        <f>_xlfn.XLOOKUP($D388,城市信息!$B$1:$B$14,城市信息!$D$1:$D$14)</f>
        <v>二线</v>
      </c>
      <c r="O388">
        <f>_xlfn.XLOOKUP($D388,城市信息!$B$1:$B$14,城市信息!$E$1:$E$14)</f>
        <v>10499</v>
      </c>
      <c r="P388" cm="1">
        <f t="array" ref="P388:U388">_xlfn.XLOOKUP(A388&amp;B388,'[1]2.4自动化报表-8月获客数据-非乱码'!$A:$A&amp;'[1]2.4自动化报表-8月获客数据-非乱码'!$B:$B,'[1]2.4自动化报表-8月获客数据-非乱码'!$C:$H)</f>
        <v>1773</v>
      </c>
      <c r="Q388">
        <v>1738</v>
      </c>
      <c r="R388">
        <v>1690</v>
      </c>
      <c r="S388">
        <v>1017</v>
      </c>
      <c r="T388">
        <v>614</v>
      </c>
      <c r="U388">
        <v>701</v>
      </c>
    </row>
    <row r="389" spans="1:21" x14ac:dyDescent="0.3">
      <c r="A389" s="1">
        <v>44057</v>
      </c>
      <c r="B389" t="s">
        <v>9</v>
      </c>
      <c r="C389" t="s">
        <v>108</v>
      </c>
      <c r="D389" t="s">
        <v>58</v>
      </c>
      <c r="E389" t="s">
        <v>124</v>
      </c>
      <c r="F389" s="2">
        <v>134668</v>
      </c>
      <c r="G389" s="2">
        <v>6883</v>
      </c>
      <c r="H389">
        <v>96</v>
      </c>
      <c r="I389" t="str">
        <f>_xlfn.XLOOKUP($C389,战区信息!$A$1:$A$5,战区信息!$B$1:$B$5)</f>
        <v>001</v>
      </c>
      <c r="J389" t="str">
        <f>_xlfn.XLOOKUP($C389,战区信息!$A$1:$A$5,战区信息!$C$1:$C$5)</f>
        <v>江永</v>
      </c>
      <c r="K389" t="str">
        <f>_xlfn.XLOOKUP($C389,战区信息!$A$1:$A$5,战区信息!$D$1:$D$5)</f>
        <v>一级战区</v>
      </c>
      <c r="L389" t="str">
        <f>_xlfn.XLOOKUP($D389,城市信息!$B$1:$B$14,城市信息!$A$1:$A$14)</f>
        <v>003</v>
      </c>
      <c r="M389" t="str">
        <f>_xlfn.XLOOKUP($D389,城市信息!$B$1:$B$14,城市信息!$C$1:$C$14)</f>
        <v>杜光亮</v>
      </c>
      <c r="N389" t="str">
        <f>_xlfn.XLOOKUP($D389,城市信息!$B$1:$B$14,城市信息!$D$1:$D$14)</f>
        <v>二线</v>
      </c>
      <c r="O389">
        <f>_xlfn.XLOOKUP($D389,城市信息!$B$1:$B$14,城市信息!$E$1:$E$14)</f>
        <v>10499</v>
      </c>
      <c r="P389" cm="1">
        <f t="array" ref="P389:U389">_xlfn.XLOOKUP(A389&amp;B389,'[1]2.4自动化报表-8月获客数据-非乱码'!$A:$A&amp;'[1]2.4自动化报表-8月获客数据-非乱码'!$B:$B,'[1]2.4自动化报表-8月获客数据-非乱码'!$C:$H)</f>
        <v>4580</v>
      </c>
      <c r="Q389">
        <v>4469</v>
      </c>
      <c r="R389">
        <v>4325</v>
      </c>
      <c r="S389">
        <v>2440</v>
      </c>
      <c r="T389">
        <v>1402</v>
      </c>
      <c r="U389">
        <v>694</v>
      </c>
    </row>
    <row r="390" spans="1:21" x14ac:dyDescent="0.3">
      <c r="A390" s="1">
        <v>44057</v>
      </c>
      <c r="B390" t="s">
        <v>8</v>
      </c>
      <c r="C390" t="s">
        <v>125</v>
      </c>
      <c r="D390" t="s">
        <v>66</v>
      </c>
      <c r="E390" t="s">
        <v>126</v>
      </c>
      <c r="F390" s="2">
        <v>54273</v>
      </c>
      <c r="G390" s="2">
        <v>2878</v>
      </c>
      <c r="H390">
        <v>0</v>
      </c>
      <c r="I390" t="str">
        <f>_xlfn.XLOOKUP($C390,战区信息!$A$1:$A$5,战区信息!$B$1:$B$5)</f>
        <v>004</v>
      </c>
      <c r="J390" t="str">
        <f>_xlfn.XLOOKUP($C390,战区信息!$A$1:$A$5,战区信息!$C$1:$C$5)</f>
        <v>沈乐欣</v>
      </c>
      <c r="K390" t="str">
        <f>_xlfn.XLOOKUP($C390,战区信息!$A$1:$A$5,战区信息!$D$1:$D$5)</f>
        <v>三级战区</v>
      </c>
      <c r="L390" t="str">
        <f>_xlfn.XLOOKUP($D390,城市信息!$B$1:$B$14,城市信息!$A$1:$A$14)</f>
        <v>011</v>
      </c>
      <c r="M390" t="str">
        <f>_xlfn.XLOOKUP($D390,城市信息!$B$1:$B$14,城市信息!$C$1:$C$14)</f>
        <v>冯谦</v>
      </c>
      <c r="N390" t="str">
        <f>_xlfn.XLOOKUP($D390,城市信息!$B$1:$B$14,城市信息!$D$1:$D$14)</f>
        <v>一线</v>
      </c>
      <c r="O390">
        <f>_xlfn.XLOOKUP($D390,城市信息!$B$1:$B$14,城市信息!$E$1:$E$14)</f>
        <v>8244</v>
      </c>
      <c r="P390" cm="1">
        <f t="array" ref="P390:U390">_xlfn.XLOOKUP(A390&amp;B390,'[1]2.4自动化报表-8月获客数据-非乱码'!$A:$A&amp;'[1]2.4自动化报表-8月获客数据-非乱码'!$B:$B,'[1]2.4自动化报表-8月获客数据-非乱码'!$C:$H)</f>
        <v>2020</v>
      </c>
      <c r="Q390">
        <v>2000</v>
      </c>
      <c r="R390">
        <v>1937</v>
      </c>
      <c r="S390">
        <v>1091</v>
      </c>
      <c r="T390">
        <v>719</v>
      </c>
      <c r="U390">
        <v>686</v>
      </c>
    </row>
    <row r="391" spans="1:21" x14ac:dyDescent="0.3">
      <c r="A391" s="1">
        <v>44057</v>
      </c>
      <c r="B391" t="s">
        <v>6</v>
      </c>
      <c r="C391" t="s">
        <v>125</v>
      </c>
      <c r="D391" t="s">
        <v>62</v>
      </c>
      <c r="E391" t="s">
        <v>128</v>
      </c>
      <c r="F391" s="2">
        <v>111168</v>
      </c>
      <c r="G391" s="2">
        <v>5164</v>
      </c>
      <c r="H391" s="2">
        <v>5438</v>
      </c>
      <c r="I391" t="str">
        <f>_xlfn.XLOOKUP($C391,战区信息!$A$1:$A$5,战区信息!$B$1:$B$5)</f>
        <v>004</v>
      </c>
      <c r="J391" t="str">
        <f>_xlfn.XLOOKUP($C391,战区信息!$A$1:$A$5,战区信息!$C$1:$C$5)</f>
        <v>沈乐欣</v>
      </c>
      <c r="K391" t="str">
        <f>_xlfn.XLOOKUP($C391,战区信息!$A$1:$A$5,战区信息!$D$1:$D$5)</f>
        <v>三级战区</v>
      </c>
      <c r="L391" t="str">
        <f>_xlfn.XLOOKUP($D391,城市信息!$B$1:$B$14,城市信息!$A$1:$A$14)</f>
        <v>007</v>
      </c>
      <c r="M391" t="str">
        <f>_xlfn.XLOOKUP($D391,城市信息!$B$1:$B$14,城市信息!$C$1:$C$14)</f>
        <v>范俊发</v>
      </c>
      <c r="N391" t="str">
        <f>_xlfn.XLOOKUP($D391,城市信息!$B$1:$B$14,城市信息!$D$1:$D$14)</f>
        <v>一线</v>
      </c>
      <c r="O391">
        <f>_xlfn.XLOOKUP($D391,城市信息!$B$1:$B$14,城市信息!$E$1:$E$14)</f>
        <v>12358</v>
      </c>
      <c r="P391" cm="1">
        <f t="array" ref="P391:U391">_xlfn.XLOOKUP(A391&amp;B391,'[1]2.4自动化报表-8月获客数据-非乱码'!$A:$A&amp;'[1]2.4自动化报表-8月获客数据-非乱码'!$B:$B,'[1]2.4自动化报表-8月获客数据-非乱码'!$C:$H)</f>
        <v>1721</v>
      </c>
      <c r="Q391">
        <v>1698</v>
      </c>
      <c r="R391">
        <v>1663</v>
      </c>
      <c r="S391">
        <v>1003</v>
      </c>
      <c r="T391">
        <v>582</v>
      </c>
      <c r="U391">
        <v>688</v>
      </c>
    </row>
    <row r="392" spans="1:21" x14ac:dyDescent="0.3">
      <c r="A392" s="1">
        <v>44057</v>
      </c>
      <c r="B392" t="s">
        <v>5</v>
      </c>
      <c r="C392" t="s">
        <v>125</v>
      </c>
      <c r="D392" t="s">
        <v>62</v>
      </c>
      <c r="E392" t="s">
        <v>129</v>
      </c>
      <c r="F392" s="2">
        <v>54186</v>
      </c>
      <c r="G392" s="2">
        <v>2858</v>
      </c>
      <c r="H392">
        <v>0</v>
      </c>
      <c r="I392" t="str">
        <f>_xlfn.XLOOKUP($C392,战区信息!$A$1:$A$5,战区信息!$B$1:$B$5)</f>
        <v>004</v>
      </c>
      <c r="J392" t="str">
        <f>_xlfn.XLOOKUP($C392,战区信息!$A$1:$A$5,战区信息!$C$1:$C$5)</f>
        <v>沈乐欣</v>
      </c>
      <c r="K392" t="str">
        <f>_xlfn.XLOOKUP($C392,战区信息!$A$1:$A$5,战区信息!$D$1:$D$5)</f>
        <v>三级战区</v>
      </c>
      <c r="L392" t="str">
        <f>_xlfn.XLOOKUP($D392,城市信息!$B$1:$B$14,城市信息!$A$1:$A$14)</f>
        <v>007</v>
      </c>
      <c r="M392" t="str">
        <f>_xlfn.XLOOKUP($D392,城市信息!$B$1:$B$14,城市信息!$C$1:$C$14)</f>
        <v>范俊发</v>
      </c>
      <c r="N392" t="str">
        <f>_xlfn.XLOOKUP($D392,城市信息!$B$1:$B$14,城市信息!$D$1:$D$14)</f>
        <v>一线</v>
      </c>
      <c r="O392">
        <f>_xlfn.XLOOKUP($D392,城市信息!$B$1:$B$14,城市信息!$E$1:$E$14)</f>
        <v>12358</v>
      </c>
      <c r="P392" cm="1">
        <f t="array" ref="P392:U392">_xlfn.XLOOKUP(A392&amp;B392,'[1]2.4自动化报表-8月获客数据-非乱码'!$A:$A&amp;'[1]2.4自动化报表-8月获客数据-非乱码'!$B:$B,'[1]2.4自动化报表-8月获客数据-非乱码'!$C:$H)</f>
        <v>891</v>
      </c>
      <c r="Q392">
        <v>873</v>
      </c>
      <c r="R392">
        <v>841</v>
      </c>
      <c r="S392">
        <v>512</v>
      </c>
      <c r="T392">
        <v>285</v>
      </c>
      <c r="U392">
        <v>689</v>
      </c>
    </row>
    <row r="393" spans="1:21" x14ac:dyDescent="0.3">
      <c r="A393" s="1">
        <v>44058</v>
      </c>
      <c r="B393" t="s">
        <v>32</v>
      </c>
      <c r="C393" t="s">
        <v>97</v>
      </c>
      <c r="D393" t="s">
        <v>67</v>
      </c>
      <c r="E393" t="s">
        <v>98</v>
      </c>
      <c r="F393" s="2">
        <v>95660</v>
      </c>
      <c r="G393" s="2">
        <v>5654</v>
      </c>
      <c r="H393" s="2">
        <v>7128</v>
      </c>
      <c r="I393" t="str">
        <f>_xlfn.XLOOKUP($C393,战区信息!$A$1:$A$5,战区信息!$B$1:$B$5)</f>
        <v>003</v>
      </c>
      <c r="J393" t="str">
        <f>_xlfn.XLOOKUP($C393,战区信息!$A$1:$A$5,战区信息!$C$1:$C$5)</f>
        <v>田楠</v>
      </c>
      <c r="K393" t="str">
        <f>_xlfn.XLOOKUP($C393,战区信息!$A$1:$A$5,战区信息!$D$1:$D$5)</f>
        <v>二级战区</v>
      </c>
      <c r="L393" t="str">
        <f>_xlfn.XLOOKUP($D393,城市信息!$B$1:$B$14,城市信息!$A$1:$A$14)</f>
        <v>012</v>
      </c>
      <c r="M393" t="str">
        <f>_xlfn.XLOOKUP($D393,城市信息!$B$1:$B$14,城市信息!$C$1:$C$14)</f>
        <v>于子默</v>
      </c>
      <c r="N393" t="str">
        <f>_xlfn.XLOOKUP($D393,城市信息!$B$1:$B$14,城市信息!$D$1:$D$14)</f>
        <v>二线</v>
      </c>
      <c r="O393">
        <f>_xlfn.XLOOKUP($D393,城市信息!$B$1:$B$14,城市信息!$E$1:$E$14)</f>
        <v>9713</v>
      </c>
      <c r="P393" cm="1">
        <f t="array" ref="P393:U393">_xlfn.XLOOKUP(A393&amp;B393,'[1]2.4自动化报表-8月获客数据-非乱码'!$A:$A&amp;'[1]2.4自动化报表-8月获客数据-非乱码'!$B:$B,'[1]2.4自动化报表-8月获客数据-非乱码'!$C:$H)</f>
        <v>2583</v>
      </c>
      <c r="Q393">
        <v>2540</v>
      </c>
      <c r="R393">
        <v>2470</v>
      </c>
      <c r="S393">
        <v>1542</v>
      </c>
      <c r="T393">
        <v>855</v>
      </c>
      <c r="U393">
        <v>690</v>
      </c>
    </row>
    <row r="394" spans="1:21" x14ac:dyDescent="0.3">
      <c r="A394" s="1">
        <v>44058</v>
      </c>
      <c r="B394" t="s">
        <v>31</v>
      </c>
      <c r="C394" t="s">
        <v>97</v>
      </c>
      <c r="D394" t="s">
        <v>65</v>
      </c>
      <c r="E394" t="s">
        <v>99</v>
      </c>
      <c r="F394" s="2">
        <v>99713</v>
      </c>
      <c r="G394" s="2">
        <v>8819</v>
      </c>
      <c r="H394">
        <v>0</v>
      </c>
      <c r="I394" t="str">
        <f>_xlfn.XLOOKUP($C394,战区信息!$A$1:$A$5,战区信息!$B$1:$B$5)</f>
        <v>003</v>
      </c>
      <c r="J394" t="str">
        <f>_xlfn.XLOOKUP($C394,战区信息!$A$1:$A$5,战区信息!$C$1:$C$5)</f>
        <v>田楠</v>
      </c>
      <c r="K394" t="str">
        <f>_xlfn.XLOOKUP($C394,战区信息!$A$1:$A$5,战区信息!$D$1:$D$5)</f>
        <v>二级战区</v>
      </c>
      <c r="L394" t="str">
        <f>_xlfn.XLOOKUP($D394,城市信息!$B$1:$B$14,城市信息!$A$1:$A$14)</f>
        <v>010</v>
      </c>
      <c r="M394" t="str">
        <f>_xlfn.XLOOKUP($D394,城市信息!$B$1:$B$14,城市信息!$C$1:$C$14)</f>
        <v>黄鹏天</v>
      </c>
      <c r="N394" t="str">
        <f>_xlfn.XLOOKUP($D394,城市信息!$B$1:$B$14,城市信息!$D$1:$D$14)</f>
        <v>二线</v>
      </c>
      <c r="O394">
        <f>_xlfn.XLOOKUP($D394,城市信息!$B$1:$B$14,城市信息!$E$1:$E$14)</f>
        <v>8295</v>
      </c>
      <c r="P394" cm="1">
        <f t="array" ref="P394:U394">_xlfn.XLOOKUP(A394&amp;B394,'[1]2.4自动化报表-8月获客数据-非乱码'!$A:$A&amp;'[1]2.4自动化报表-8月获客数据-非乱码'!$B:$B,'[1]2.4自动化报表-8月获客数据-非乱码'!$C:$H)</f>
        <v>2358</v>
      </c>
      <c r="Q394">
        <v>2312</v>
      </c>
      <c r="R394">
        <v>2243</v>
      </c>
      <c r="S394">
        <v>1319</v>
      </c>
      <c r="T394">
        <v>783</v>
      </c>
      <c r="U394">
        <v>692</v>
      </c>
    </row>
    <row r="395" spans="1:21" x14ac:dyDescent="0.3">
      <c r="A395" s="1">
        <v>44058</v>
      </c>
      <c r="B395" t="s">
        <v>30</v>
      </c>
      <c r="C395" t="s">
        <v>97</v>
      </c>
      <c r="D395" t="s">
        <v>61</v>
      </c>
      <c r="E395" t="s">
        <v>100</v>
      </c>
      <c r="F395" s="2">
        <v>250505</v>
      </c>
      <c r="G395" s="2">
        <v>21996</v>
      </c>
      <c r="H395">
        <v>0</v>
      </c>
      <c r="I395" t="str">
        <f>_xlfn.XLOOKUP($C395,战区信息!$A$1:$A$5,战区信息!$B$1:$B$5)</f>
        <v>003</v>
      </c>
      <c r="J395" t="str">
        <f>_xlfn.XLOOKUP($C395,战区信息!$A$1:$A$5,战区信息!$C$1:$C$5)</f>
        <v>田楠</v>
      </c>
      <c r="K395" t="str">
        <f>_xlfn.XLOOKUP($C395,战区信息!$A$1:$A$5,战区信息!$D$1:$D$5)</f>
        <v>二级战区</v>
      </c>
      <c r="L395" t="str">
        <f>_xlfn.XLOOKUP($D395,城市信息!$B$1:$B$14,城市信息!$A$1:$A$14)</f>
        <v>006</v>
      </c>
      <c r="M395" t="str">
        <f>_xlfn.XLOOKUP($D395,城市信息!$B$1:$B$14,城市信息!$C$1:$C$14)</f>
        <v>王刚</v>
      </c>
      <c r="N395" t="str">
        <f>_xlfn.XLOOKUP($D395,城市信息!$B$1:$B$14,城市信息!$D$1:$D$14)</f>
        <v>二线</v>
      </c>
      <c r="O395">
        <f>_xlfn.XLOOKUP($D395,城市信息!$B$1:$B$14,城市信息!$E$1:$E$14)</f>
        <v>9107</v>
      </c>
      <c r="P395" cm="1">
        <f t="array" ref="P395:U395">_xlfn.XLOOKUP(A395&amp;B395,'[1]2.4自动化报表-8月获客数据-非乱码'!$A:$A&amp;'[1]2.4自动化报表-8月获客数据-非乱码'!$B:$B,'[1]2.4自动化报表-8月获客数据-非乱码'!$C:$H)</f>
        <v>3719</v>
      </c>
      <c r="Q395">
        <v>3646</v>
      </c>
      <c r="R395">
        <v>3507</v>
      </c>
      <c r="S395">
        <v>2146</v>
      </c>
      <c r="T395">
        <v>1149</v>
      </c>
      <c r="U395">
        <v>698</v>
      </c>
    </row>
    <row r="396" spans="1:21" x14ac:dyDescent="0.3">
      <c r="A396" s="1">
        <v>44058</v>
      </c>
      <c r="B396" t="s">
        <v>29</v>
      </c>
      <c r="C396" t="s">
        <v>97</v>
      </c>
      <c r="D396" t="s">
        <v>64</v>
      </c>
      <c r="E396" t="s">
        <v>101</v>
      </c>
      <c r="F396" s="2">
        <v>61566</v>
      </c>
      <c r="G396" s="2">
        <v>5530</v>
      </c>
      <c r="H396">
        <v>0</v>
      </c>
      <c r="I396" t="str">
        <f>_xlfn.XLOOKUP($C396,战区信息!$A$1:$A$5,战区信息!$B$1:$B$5)</f>
        <v>003</v>
      </c>
      <c r="J396" t="str">
        <f>_xlfn.XLOOKUP($C396,战区信息!$A$1:$A$5,战区信息!$C$1:$C$5)</f>
        <v>田楠</v>
      </c>
      <c r="K396" t="str">
        <f>_xlfn.XLOOKUP($C396,战区信息!$A$1:$A$5,战区信息!$D$1:$D$5)</f>
        <v>二级战区</v>
      </c>
      <c r="L396" t="str">
        <f>_xlfn.XLOOKUP($D396,城市信息!$B$1:$B$14,城市信息!$A$1:$A$14)</f>
        <v>009</v>
      </c>
      <c r="M396" t="str">
        <f>_xlfn.XLOOKUP($D396,城市信息!$B$1:$B$14,城市信息!$C$1:$C$14)</f>
        <v>叶超</v>
      </c>
      <c r="N396" t="str">
        <f>_xlfn.XLOOKUP($D396,城市信息!$B$1:$B$14,城市信息!$D$1:$D$14)</f>
        <v>二线</v>
      </c>
      <c r="O396">
        <f>_xlfn.XLOOKUP($D396,城市信息!$B$1:$B$14,城市信息!$E$1:$E$14)</f>
        <v>9016</v>
      </c>
      <c r="P396" cm="1">
        <f t="array" ref="P396:U396">_xlfn.XLOOKUP(A396&amp;B396,'[1]2.4自动化报表-8月获客数据-非乱码'!$A:$A&amp;'[1]2.4自动化报表-8月获客数据-非乱码'!$B:$B,'[1]2.4自动化报表-8月获客数据-非乱码'!$C:$H)</f>
        <v>2100</v>
      </c>
      <c r="Q396">
        <v>2047</v>
      </c>
      <c r="R396">
        <v>1968</v>
      </c>
      <c r="S396">
        <v>1268</v>
      </c>
      <c r="T396">
        <v>706</v>
      </c>
      <c r="U396">
        <v>690</v>
      </c>
    </row>
    <row r="397" spans="1:21" x14ac:dyDescent="0.3">
      <c r="A397" s="1">
        <v>44058</v>
      </c>
      <c r="B397" t="s">
        <v>28</v>
      </c>
      <c r="C397" t="s">
        <v>97</v>
      </c>
      <c r="D397" t="s">
        <v>64</v>
      </c>
      <c r="E397" t="s">
        <v>102</v>
      </c>
      <c r="F397" s="2">
        <v>13501</v>
      </c>
      <c r="G397" s="2">
        <v>1670</v>
      </c>
      <c r="H397">
        <v>0</v>
      </c>
      <c r="I397" t="str">
        <f>_xlfn.XLOOKUP($C397,战区信息!$A$1:$A$5,战区信息!$B$1:$B$5)</f>
        <v>003</v>
      </c>
      <c r="J397" t="str">
        <f>_xlfn.XLOOKUP($C397,战区信息!$A$1:$A$5,战区信息!$C$1:$C$5)</f>
        <v>田楠</v>
      </c>
      <c r="K397" t="str">
        <f>_xlfn.XLOOKUP($C397,战区信息!$A$1:$A$5,战区信息!$D$1:$D$5)</f>
        <v>二级战区</v>
      </c>
      <c r="L397" t="str">
        <f>_xlfn.XLOOKUP($D397,城市信息!$B$1:$B$14,城市信息!$A$1:$A$14)</f>
        <v>009</v>
      </c>
      <c r="M397" t="str">
        <f>_xlfn.XLOOKUP($D397,城市信息!$B$1:$B$14,城市信息!$C$1:$C$14)</f>
        <v>叶超</v>
      </c>
      <c r="N397" t="str">
        <f>_xlfn.XLOOKUP($D397,城市信息!$B$1:$B$14,城市信息!$D$1:$D$14)</f>
        <v>二线</v>
      </c>
      <c r="O397">
        <f>_xlfn.XLOOKUP($D397,城市信息!$B$1:$B$14,城市信息!$E$1:$E$14)</f>
        <v>9016</v>
      </c>
      <c r="P397" cm="1">
        <f t="array" ref="P397:U397">_xlfn.XLOOKUP(A397&amp;B397,'[1]2.4自动化报表-8月获客数据-非乱码'!$A:$A&amp;'[1]2.4自动化报表-8月获客数据-非乱码'!$B:$B,'[1]2.4自动化报表-8月获客数据-非乱码'!$C:$H)</f>
        <v>672</v>
      </c>
      <c r="Q397">
        <v>662</v>
      </c>
      <c r="R397">
        <v>643</v>
      </c>
      <c r="S397">
        <v>443</v>
      </c>
      <c r="T397">
        <v>209</v>
      </c>
      <c r="U397">
        <v>692</v>
      </c>
    </row>
    <row r="398" spans="1:21" x14ac:dyDescent="0.3">
      <c r="A398" s="1">
        <v>44058</v>
      </c>
      <c r="B398" t="s">
        <v>27</v>
      </c>
      <c r="C398" t="s">
        <v>103</v>
      </c>
      <c r="D398" t="s">
        <v>63</v>
      </c>
      <c r="E398" t="s">
        <v>104</v>
      </c>
      <c r="F398" s="2">
        <v>132110</v>
      </c>
      <c r="G398" s="2">
        <v>10364</v>
      </c>
      <c r="H398">
        <v>137</v>
      </c>
      <c r="I398" t="str">
        <f>_xlfn.XLOOKUP($C398,战区信息!$A$1:$A$5,战区信息!$B$1:$B$5)</f>
        <v>002</v>
      </c>
      <c r="J398" t="str">
        <f>_xlfn.XLOOKUP($C398,战区信息!$A$1:$A$5,战区信息!$C$1:$C$5)</f>
        <v>高安平</v>
      </c>
      <c r="K398" t="str">
        <f>_xlfn.XLOOKUP($C398,战区信息!$A$1:$A$5,战区信息!$D$1:$D$5)</f>
        <v>二级战区</v>
      </c>
      <c r="L398" t="str">
        <f>_xlfn.XLOOKUP($D398,城市信息!$B$1:$B$14,城市信息!$A$1:$A$14)</f>
        <v>008</v>
      </c>
      <c r="M398" t="str">
        <f>_xlfn.XLOOKUP($D398,城市信息!$B$1:$B$14,城市信息!$C$1:$C$14)</f>
        <v>高弘壮</v>
      </c>
      <c r="N398" t="str">
        <f>_xlfn.XLOOKUP($D398,城市信息!$B$1:$B$14,城市信息!$D$1:$D$14)</f>
        <v>一线</v>
      </c>
      <c r="O398">
        <f>_xlfn.XLOOKUP($D398,城市信息!$B$1:$B$14,城市信息!$E$1:$E$14)</f>
        <v>11498</v>
      </c>
      <c r="P398" cm="1">
        <f t="array" ref="P398:U398">_xlfn.XLOOKUP(A398&amp;B398,'[1]2.4自动化报表-8月获客数据-非乱码'!$A:$A&amp;'[1]2.4自动化报表-8月获客数据-非乱码'!$B:$B,'[1]2.4自动化报表-8月获客数据-非乱码'!$C:$H)</f>
        <v>3823</v>
      </c>
      <c r="Q398">
        <v>3708</v>
      </c>
      <c r="R398">
        <v>3535</v>
      </c>
      <c r="S398">
        <v>2103</v>
      </c>
      <c r="T398">
        <v>1122</v>
      </c>
      <c r="U398">
        <v>689</v>
      </c>
    </row>
    <row r="399" spans="1:21" x14ac:dyDescent="0.3">
      <c r="A399" s="1">
        <v>44058</v>
      </c>
      <c r="B399" t="s">
        <v>26</v>
      </c>
      <c r="C399" t="s">
        <v>103</v>
      </c>
      <c r="D399" t="s">
        <v>57</v>
      </c>
      <c r="E399" t="s">
        <v>105</v>
      </c>
      <c r="F399" s="2">
        <v>315787</v>
      </c>
      <c r="G399" s="2">
        <v>33623</v>
      </c>
      <c r="H399" s="2">
        <v>2728</v>
      </c>
      <c r="I399" t="str">
        <f>_xlfn.XLOOKUP($C399,战区信息!$A$1:$A$5,战区信息!$B$1:$B$5)</f>
        <v>002</v>
      </c>
      <c r="J399" t="str">
        <f>_xlfn.XLOOKUP($C399,战区信息!$A$1:$A$5,战区信息!$C$1:$C$5)</f>
        <v>高安平</v>
      </c>
      <c r="K399" t="str">
        <f>_xlfn.XLOOKUP($C399,战区信息!$A$1:$A$5,战区信息!$D$1:$D$5)</f>
        <v>二级战区</v>
      </c>
      <c r="L399" t="str">
        <f>_xlfn.XLOOKUP($D399,城市信息!$B$1:$B$14,城市信息!$A$1:$A$14)</f>
        <v>002</v>
      </c>
      <c r="M399" t="str">
        <f>_xlfn.XLOOKUP($D399,城市信息!$B$1:$B$14,城市信息!$C$1:$C$14)</f>
        <v>孙乒</v>
      </c>
      <c r="N399" t="str">
        <f>_xlfn.XLOOKUP($D399,城市信息!$B$1:$B$14,城市信息!$D$1:$D$14)</f>
        <v>一线</v>
      </c>
      <c r="O399">
        <f>_xlfn.XLOOKUP($D399,城市信息!$B$1:$B$14,城市信息!$E$1:$E$14)</f>
        <v>9854</v>
      </c>
      <c r="P399" cm="1">
        <f t="array" ref="P399:U399">_xlfn.XLOOKUP(A399&amp;B399,'[1]2.4自动化报表-8月获客数据-非乱码'!$A:$A&amp;'[1]2.4自动化报表-8月获客数据-非乱码'!$B:$B,'[1]2.4自动化报表-8月获客数据-非乱码'!$C:$H)</f>
        <v>5868</v>
      </c>
      <c r="Q399">
        <v>5718</v>
      </c>
      <c r="R399">
        <v>5473</v>
      </c>
      <c r="S399">
        <v>3443</v>
      </c>
      <c r="T399">
        <v>1909</v>
      </c>
      <c r="U399">
        <v>688</v>
      </c>
    </row>
    <row r="400" spans="1:21" x14ac:dyDescent="0.3">
      <c r="A400" s="1">
        <v>44058</v>
      </c>
      <c r="B400" t="s">
        <v>25</v>
      </c>
      <c r="C400" t="s">
        <v>103</v>
      </c>
      <c r="D400" t="s">
        <v>57</v>
      </c>
      <c r="E400" t="s">
        <v>106</v>
      </c>
      <c r="F400" s="2">
        <v>52358</v>
      </c>
      <c r="G400" s="2">
        <v>5733</v>
      </c>
      <c r="H400" s="2">
        <v>3408</v>
      </c>
      <c r="I400" t="str">
        <f>_xlfn.XLOOKUP($C400,战区信息!$A$1:$A$5,战区信息!$B$1:$B$5)</f>
        <v>002</v>
      </c>
      <c r="J400" t="str">
        <f>_xlfn.XLOOKUP($C400,战区信息!$A$1:$A$5,战区信息!$C$1:$C$5)</f>
        <v>高安平</v>
      </c>
      <c r="K400" t="str">
        <f>_xlfn.XLOOKUP($C400,战区信息!$A$1:$A$5,战区信息!$D$1:$D$5)</f>
        <v>二级战区</v>
      </c>
      <c r="L400" t="str">
        <f>_xlfn.XLOOKUP($D400,城市信息!$B$1:$B$14,城市信息!$A$1:$A$14)</f>
        <v>002</v>
      </c>
      <c r="M400" t="str">
        <f>_xlfn.XLOOKUP($D400,城市信息!$B$1:$B$14,城市信息!$C$1:$C$14)</f>
        <v>孙乒</v>
      </c>
      <c r="N400" t="str">
        <f>_xlfn.XLOOKUP($D400,城市信息!$B$1:$B$14,城市信息!$D$1:$D$14)</f>
        <v>一线</v>
      </c>
      <c r="O400">
        <f>_xlfn.XLOOKUP($D400,城市信息!$B$1:$B$14,城市信息!$E$1:$E$14)</f>
        <v>9854</v>
      </c>
      <c r="P400" cm="1">
        <f t="array" ref="P400:U400">_xlfn.XLOOKUP(A400&amp;B400,'[1]2.4自动化报表-8月获客数据-非乱码'!$A:$A&amp;'[1]2.4自动化报表-8月获客数据-非乱码'!$B:$B,'[1]2.4自动化报表-8月获客数据-非乱码'!$C:$H)</f>
        <v>3024</v>
      </c>
      <c r="Q400">
        <v>2946</v>
      </c>
      <c r="R400">
        <v>2793</v>
      </c>
      <c r="S400">
        <v>1648</v>
      </c>
      <c r="T400">
        <v>911</v>
      </c>
      <c r="U400">
        <v>689</v>
      </c>
    </row>
    <row r="401" spans="1:21" x14ac:dyDescent="0.3">
      <c r="A401" s="1">
        <v>44058</v>
      </c>
      <c r="B401" t="s">
        <v>24</v>
      </c>
      <c r="C401" t="s">
        <v>103</v>
      </c>
      <c r="D401" t="s">
        <v>57</v>
      </c>
      <c r="E401" t="s">
        <v>107</v>
      </c>
      <c r="F401" s="2">
        <v>109283</v>
      </c>
      <c r="G401" s="2">
        <v>9673</v>
      </c>
      <c r="H401">
        <v>0</v>
      </c>
      <c r="I401" t="str">
        <f>_xlfn.XLOOKUP($C401,战区信息!$A$1:$A$5,战区信息!$B$1:$B$5)</f>
        <v>002</v>
      </c>
      <c r="J401" t="str">
        <f>_xlfn.XLOOKUP($C401,战区信息!$A$1:$A$5,战区信息!$C$1:$C$5)</f>
        <v>高安平</v>
      </c>
      <c r="K401" t="str">
        <f>_xlfn.XLOOKUP($C401,战区信息!$A$1:$A$5,战区信息!$D$1:$D$5)</f>
        <v>二级战区</v>
      </c>
      <c r="L401" t="str">
        <f>_xlfn.XLOOKUP($D401,城市信息!$B$1:$B$14,城市信息!$A$1:$A$14)</f>
        <v>002</v>
      </c>
      <c r="M401" t="str">
        <f>_xlfn.XLOOKUP($D401,城市信息!$B$1:$B$14,城市信息!$C$1:$C$14)</f>
        <v>孙乒</v>
      </c>
      <c r="N401" t="str">
        <f>_xlfn.XLOOKUP($D401,城市信息!$B$1:$B$14,城市信息!$D$1:$D$14)</f>
        <v>一线</v>
      </c>
      <c r="O401">
        <f>_xlfn.XLOOKUP($D401,城市信息!$B$1:$B$14,城市信息!$E$1:$E$14)</f>
        <v>9854</v>
      </c>
      <c r="P401" cm="1">
        <f t="array" ref="P401:U401">_xlfn.XLOOKUP(A401&amp;B401,'[1]2.4自动化报表-8月获客数据-非乱码'!$A:$A&amp;'[1]2.4自动化报表-8月获客数据-非乱码'!$B:$B,'[1]2.4自动化报表-8月获客数据-非乱码'!$C:$H)</f>
        <v>2203</v>
      </c>
      <c r="Q401">
        <v>2170</v>
      </c>
      <c r="R401">
        <v>2091</v>
      </c>
      <c r="S401">
        <v>1308</v>
      </c>
      <c r="T401">
        <v>814</v>
      </c>
      <c r="U401">
        <v>690</v>
      </c>
    </row>
    <row r="402" spans="1:21" x14ac:dyDescent="0.3">
      <c r="A402" s="1">
        <v>44058</v>
      </c>
      <c r="B402" t="s">
        <v>23</v>
      </c>
      <c r="C402" t="s">
        <v>108</v>
      </c>
      <c r="D402" t="s">
        <v>109</v>
      </c>
      <c r="E402" t="s">
        <v>110</v>
      </c>
      <c r="F402" s="2">
        <v>169781</v>
      </c>
      <c r="G402" s="2">
        <v>13316</v>
      </c>
      <c r="H402">
        <v>0</v>
      </c>
      <c r="I402" t="str">
        <f>_xlfn.XLOOKUP($C402,战区信息!$A$1:$A$5,战区信息!$B$1:$B$5)</f>
        <v>001</v>
      </c>
      <c r="J402" t="str">
        <f>_xlfn.XLOOKUP($C402,战区信息!$A$1:$A$5,战区信息!$C$1:$C$5)</f>
        <v>江永</v>
      </c>
      <c r="K402" t="str">
        <f>_xlfn.XLOOKUP($C402,战区信息!$A$1:$A$5,战区信息!$D$1:$D$5)</f>
        <v>一级战区</v>
      </c>
      <c r="L402" t="str">
        <f>_xlfn.XLOOKUP($D402,城市信息!$B$1:$B$14,城市信息!$A$1:$A$14)</f>
        <v>013</v>
      </c>
      <c r="M402" t="str">
        <f>_xlfn.XLOOKUP($D402,城市信息!$B$1:$B$14,城市信息!$C$1:$C$14)</f>
        <v>张建</v>
      </c>
      <c r="N402" t="str">
        <f>_xlfn.XLOOKUP($D402,城市信息!$B$1:$B$14,城市信息!$D$1:$D$14)</f>
        <v>二线</v>
      </c>
      <c r="O402">
        <f>_xlfn.XLOOKUP($D402,城市信息!$B$1:$B$14,城市信息!$E$1:$E$14)</f>
        <v>8800</v>
      </c>
      <c r="P402" cm="1">
        <f t="array" ref="P402:U402">_xlfn.XLOOKUP(A402&amp;B402,'[1]2.4自动化报表-8月获客数据-非乱码'!$A:$A&amp;'[1]2.4自动化报表-8月获客数据-非乱码'!$B:$B,'[1]2.4自动化报表-8月获客数据-非乱码'!$C:$H)</f>
        <v>5654</v>
      </c>
      <c r="Q402">
        <v>5465</v>
      </c>
      <c r="R402">
        <v>5231</v>
      </c>
      <c r="S402">
        <v>3165</v>
      </c>
      <c r="T402">
        <v>1603</v>
      </c>
      <c r="U402">
        <v>694</v>
      </c>
    </row>
    <row r="403" spans="1:21" x14ac:dyDescent="0.3">
      <c r="A403" s="1">
        <v>44058</v>
      </c>
      <c r="B403" t="s">
        <v>22</v>
      </c>
      <c r="C403" t="s">
        <v>108</v>
      </c>
      <c r="D403" t="s">
        <v>109</v>
      </c>
      <c r="E403" t="s">
        <v>111</v>
      </c>
      <c r="F403" s="2">
        <v>37140</v>
      </c>
      <c r="G403" s="2">
        <v>2696</v>
      </c>
      <c r="H403">
        <v>0</v>
      </c>
      <c r="I403" t="str">
        <f>_xlfn.XLOOKUP($C403,战区信息!$A$1:$A$5,战区信息!$B$1:$B$5)</f>
        <v>001</v>
      </c>
      <c r="J403" t="str">
        <f>_xlfn.XLOOKUP($C403,战区信息!$A$1:$A$5,战区信息!$C$1:$C$5)</f>
        <v>江永</v>
      </c>
      <c r="K403" t="str">
        <f>_xlfn.XLOOKUP($C403,战区信息!$A$1:$A$5,战区信息!$D$1:$D$5)</f>
        <v>一级战区</v>
      </c>
      <c r="L403" t="str">
        <f>_xlfn.XLOOKUP($D403,城市信息!$B$1:$B$14,城市信息!$A$1:$A$14)</f>
        <v>013</v>
      </c>
      <c r="M403" t="str">
        <f>_xlfn.XLOOKUP($D403,城市信息!$B$1:$B$14,城市信息!$C$1:$C$14)</f>
        <v>张建</v>
      </c>
      <c r="N403" t="str">
        <f>_xlfn.XLOOKUP($D403,城市信息!$B$1:$B$14,城市信息!$D$1:$D$14)</f>
        <v>二线</v>
      </c>
      <c r="O403">
        <f>_xlfn.XLOOKUP($D403,城市信息!$B$1:$B$14,城市信息!$E$1:$E$14)</f>
        <v>8800</v>
      </c>
      <c r="P403" cm="1">
        <f t="array" ref="P403:U403">_xlfn.XLOOKUP(A403&amp;B403,'[1]2.4自动化报表-8月获客数据-非乱码'!$A:$A&amp;'[1]2.4自动化报表-8月获客数据-非乱码'!$B:$B,'[1]2.4自动化报表-8月获客数据-非乱码'!$C:$H)</f>
        <v>313</v>
      </c>
      <c r="Q403">
        <v>305</v>
      </c>
      <c r="R403">
        <v>285</v>
      </c>
      <c r="S403">
        <v>176</v>
      </c>
      <c r="T403">
        <v>103</v>
      </c>
      <c r="U403">
        <v>692</v>
      </c>
    </row>
    <row r="404" spans="1:21" x14ac:dyDescent="0.3">
      <c r="A404" s="1">
        <v>44058</v>
      </c>
      <c r="B404" t="s">
        <v>21</v>
      </c>
      <c r="C404" t="s">
        <v>108</v>
      </c>
      <c r="D404" t="s">
        <v>109</v>
      </c>
      <c r="E404" t="s">
        <v>112</v>
      </c>
      <c r="F404" s="2">
        <v>299064</v>
      </c>
      <c r="G404" s="2">
        <v>26238</v>
      </c>
      <c r="H404">
        <v>94</v>
      </c>
      <c r="I404" t="str">
        <f>_xlfn.XLOOKUP($C404,战区信息!$A$1:$A$5,战区信息!$B$1:$B$5)</f>
        <v>001</v>
      </c>
      <c r="J404" t="str">
        <f>_xlfn.XLOOKUP($C404,战区信息!$A$1:$A$5,战区信息!$C$1:$C$5)</f>
        <v>江永</v>
      </c>
      <c r="K404" t="str">
        <f>_xlfn.XLOOKUP($C404,战区信息!$A$1:$A$5,战区信息!$D$1:$D$5)</f>
        <v>一级战区</v>
      </c>
      <c r="L404" t="str">
        <f>_xlfn.XLOOKUP($D404,城市信息!$B$1:$B$14,城市信息!$A$1:$A$14)</f>
        <v>013</v>
      </c>
      <c r="M404" t="str">
        <f>_xlfn.XLOOKUP($D404,城市信息!$B$1:$B$14,城市信息!$C$1:$C$14)</f>
        <v>张建</v>
      </c>
      <c r="N404" t="str">
        <f>_xlfn.XLOOKUP($D404,城市信息!$B$1:$B$14,城市信息!$D$1:$D$14)</f>
        <v>二线</v>
      </c>
      <c r="O404">
        <f>_xlfn.XLOOKUP($D404,城市信息!$B$1:$B$14,城市信息!$E$1:$E$14)</f>
        <v>8800</v>
      </c>
      <c r="P404" cm="1">
        <f t="array" ref="P404:U404">_xlfn.XLOOKUP(A404&amp;B404,'[1]2.4自动化报表-8月获客数据-非乱码'!$A:$A&amp;'[1]2.4自动化报表-8月获客数据-非乱码'!$B:$B,'[1]2.4自动化报表-8月获客数据-非乱码'!$C:$H)</f>
        <v>7051</v>
      </c>
      <c r="Q404">
        <v>6772</v>
      </c>
      <c r="R404">
        <v>6442</v>
      </c>
      <c r="S404">
        <v>3733</v>
      </c>
      <c r="T404">
        <v>2022</v>
      </c>
      <c r="U404">
        <v>696</v>
      </c>
    </row>
    <row r="405" spans="1:21" x14ac:dyDescent="0.3">
      <c r="A405" s="1">
        <v>44058</v>
      </c>
      <c r="B405" t="s">
        <v>20</v>
      </c>
      <c r="C405" t="s">
        <v>108</v>
      </c>
      <c r="D405" t="s">
        <v>56</v>
      </c>
      <c r="E405" t="s">
        <v>113</v>
      </c>
      <c r="F405" s="2">
        <v>280248</v>
      </c>
      <c r="G405" s="2">
        <v>26187</v>
      </c>
      <c r="H405" s="2">
        <v>3190</v>
      </c>
      <c r="I405" t="str">
        <f>_xlfn.XLOOKUP($C405,战区信息!$A$1:$A$5,战区信息!$B$1:$B$5)</f>
        <v>001</v>
      </c>
      <c r="J405" t="str">
        <f>_xlfn.XLOOKUP($C405,战区信息!$A$1:$A$5,战区信息!$C$1:$C$5)</f>
        <v>江永</v>
      </c>
      <c r="K405" t="str">
        <f>_xlfn.XLOOKUP($C405,战区信息!$A$1:$A$5,战区信息!$D$1:$D$5)</f>
        <v>一级战区</v>
      </c>
      <c r="L405" t="str">
        <f>_xlfn.XLOOKUP($D405,城市信息!$B$1:$B$14,城市信息!$A$1:$A$14)</f>
        <v>001</v>
      </c>
      <c r="M405" t="str">
        <f>_xlfn.XLOOKUP($D405,城市信息!$B$1:$B$14,城市信息!$C$1:$C$14)</f>
        <v>吴刚</v>
      </c>
      <c r="N405" t="str">
        <f>_xlfn.XLOOKUP($D405,城市信息!$B$1:$B$14,城市信息!$D$1:$D$14)</f>
        <v>一线</v>
      </c>
      <c r="O405">
        <f>_xlfn.XLOOKUP($D405,城市信息!$B$1:$B$14,城市信息!$E$1:$E$14)</f>
        <v>12114</v>
      </c>
      <c r="P405" cm="1">
        <f t="array" ref="P405:U405">_xlfn.XLOOKUP(A405&amp;B405,'[1]2.4自动化报表-8月获客数据-非乱码'!$A:$A&amp;'[1]2.4自动化报表-8月获客数据-非乱码'!$B:$B,'[1]2.4自动化报表-8月获客数据-非乱码'!$C:$H)</f>
        <v>4889</v>
      </c>
      <c r="Q405">
        <v>4728</v>
      </c>
      <c r="R405">
        <v>4533</v>
      </c>
      <c r="S405">
        <v>2749</v>
      </c>
      <c r="T405">
        <v>1590</v>
      </c>
      <c r="U405">
        <v>695</v>
      </c>
    </row>
    <row r="406" spans="1:21" x14ac:dyDescent="0.3">
      <c r="A406" s="1">
        <v>44058</v>
      </c>
      <c r="B406" t="s">
        <v>19</v>
      </c>
      <c r="C406" t="s">
        <v>108</v>
      </c>
      <c r="D406" t="s">
        <v>56</v>
      </c>
      <c r="E406" t="s">
        <v>114</v>
      </c>
      <c r="F406" s="2">
        <v>140192</v>
      </c>
      <c r="G406" s="2">
        <v>12749</v>
      </c>
      <c r="H406">
        <v>0</v>
      </c>
      <c r="I406" t="str">
        <f>_xlfn.XLOOKUP($C406,战区信息!$A$1:$A$5,战区信息!$B$1:$B$5)</f>
        <v>001</v>
      </c>
      <c r="J406" t="str">
        <f>_xlfn.XLOOKUP($C406,战区信息!$A$1:$A$5,战区信息!$C$1:$C$5)</f>
        <v>江永</v>
      </c>
      <c r="K406" t="str">
        <f>_xlfn.XLOOKUP($C406,战区信息!$A$1:$A$5,战区信息!$D$1:$D$5)</f>
        <v>一级战区</v>
      </c>
      <c r="L406" t="str">
        <f>_xlfn.XLOOKUP($D406,城市信息!$B$1:$B$14,城市信息!$A$1:$A$14)</f>
        <v>001</v>
      </c>
      <c r="M406" t="str">
        <f>_xlfn.XLOOKUP($D406,城市信息!$B$1:$B$14,城市信息!$C$1:$C$14)</f>
        <v>吴刚</v>
      </c>
      <c r="N406" t="str">
        <f>_xlfn.XLOOKUP($D406,城市信息!$B$1:$B$14,城市信息!$D$1:$D$14)</f>
        <v>一线</v>
      </c>
      <c r="O406">
        <f>_xlfn.XLOOKUP($D406,城市信息!$B$1:$B$14,城市信息!$E$1:$E$14)</f>
        <v>12114</v>
      </c>
      <c r="P406" cm="1">
        <f t="array" ref="P406:U406">_xlfn.XLOOKUP(A406&amp;B406,'[1]2.4自动化报表-8月获客数据-非乱码'!$A:$A&amp;'[1]2.4自动化报表-8月获客数据-非乱码'!$B:$B,'[1]2.4自动化报表-8月获客数据-非乱码'!$C:$H)</f>
        <v>2925</v>
      </c>
      <c r="Q406">
        <v>2858</v>
      </c>
      <c r="R406">
        <v>2747</v>
      </c>
      <c r="S406">
        <v>1612</v>
      </c>
      <c r="T406">
        <v>968</v>
      </c>
      <c r="U406">
        <v>696</v>
      </c>
    </row>
    <row r="407" spans="1:21" x14ac:dyDescent="0.3">
      <c r="A407" s="1">
        <v>44058</v>
      </c>
      <c r="B407" t="s">
        <v>18</v>
      </c>
      <c r="C407" t="s">
        <v>108</v>
      </c>
      <c r="D407" t="s">
        <v>56</v>
      </c>
      <c r="E407" t="s">
        <v>115</v>
      </c>
      <c r="F407" s="2">
        <v>102227</v>
      </c>
      <c r="G407" s="2">
        <v>8374</v>
      </c>
      <c r="H407">
        <v>0</v>
      </c>
      <c r="I407" t="str">
        <f>_xlfn.XLOOKUP($C407,战区信息!$A$1:$A$5,战区信息!$B$1:$B$5)</f>
        <v>001</v>
      </c>
      <c r="J407" t="str">
        <f>_xlfn.XLOOKUP($C407,战区信息!$A$1:$A$5,战区信息!$C$1:$C$5)</f>
        <v>江永</v>
      </c>
      <c r="K407" t="str">
        <f>_xlfn.XLOOKUP($C407,战区信息!$A$1:$A$5,战区信息!$D$1:$D$5)</f>
        <v>一级战区</v>
      </c>
      <c r="L407" t="str">
        <f>_xlfn.XLOOKUP($D407,城市信息!$B$1:$B$14,城市信息!$A$1:$A$14)</f>
        <v>001</v>
      </c>
      <c r="M407" t="str">
        <f>_xlfn.XLOOKUP($D407,城市信息!$B$1:$B$14,城市信息!$C$1:$C$14)</f>
        <v>吴刚</v>
      </c>
      <c r="N407" t="str">
        <f>_xlfn.XLOOKUP($D407,城市信息!$B$1:$B$14,城市信息!$D$1:$D$14)</f>
        <v>一线</v>
      </c>
      <c r="O407">
        <f>_xlfn.XLOOKUP($D407,城市信息!$B$1:$B$14,城市信息!$E$1:$E$14)</f>
        <v>12114</v>
      </c>
      <c r="P407" cm="1">
        <f t="array" ref="P407:U407">_xlfn.XLOOKUP(A407&amp;B407,'[1]2.4自动化报表-8月获客数据-非乱码'!$A:$A&amp;'[1]2.4自动化报表-8月获客数据-非乱码'!$B:$B,'[1]2.4自动化报表-8月获客数据-非乱码'!$C:$H)</f>
        <v>2970</v>
      </c>
      <c r="Q407">
        <v>2916</v>
      </c>
      <c r="R407">
        <v>2790</v>
      </c>
      <c r="S407">
        <v>1674</v>
      </c>
      <c r="T407">
        <v>905</v>
      </c>
      <c r="U407">
        <v>691</v>
      </c>
    </row>
    <row r="408" spans="1:21" x14ac:dyDescent="0.3">
      <c r="A408" s="1">
        <v>44058</v>
      </c>
      <c r="B408" t="s">
        <v>17</v>
      </c>
      <c r="C408" t="s">
        <v>108</v>
      </c>
      <c r="D408" t="s">
        <v>59</v>
      </c>
      <c r="E408" t="s">
        <v>116</v>
      </c>
      <c r="F408" s="2">
        <v>155603</v>
      </c>
      <c r="G408" s="2">
        <v>12034</v>
      </c>
      <c r="H408">
        <v>0</v>
      </c>
      <c r="I408" t="str">
        <f>_xlfn.XLOOKUP($C408,战区信息!$A$1:$A$5,战区信息!$B$1:$B$5)</f>
        <v>001</v>
      </c>
      <c r="J408" t="str">
        <f>_xlfn.XLOOKUP($C408,战区信息!$A$1:$A$5,战区信息!$C$1:$C$5)</f>
        <v>江永</v>
      </c>
      <c r="K408" t="str">
        <f>_xlfn.XLOOKUP($C408,战区信息!$A$1:$A$5,战区信息!$D$1:$D$5)</f>
        <v>一级战区</v>
      </c>
      <c r="L408" t="str">
        <f>_xlfn.XLOOKUP($D408,城市信息!$B$1:$B$14,城市信息!$A$1:$A$14)</f>
        <v>004</v>
      </c>
      <c r="M408" t="str">
        <f>_xlfn.XLOOKUP($D408,城市信息!$B$1:$B$14,城市信息!$C$1:$C$14)</f>
        <v>苏川</v>
      </c>
      <c r="N408" t="str">
        <f>_xlfn.XLOOKUP($D408,城市信息!$B$1:$B$14,城市信息!$D$1:$D$14)</f>
        <v>二线</v>
      </c>
      <c r="O408">
        <f>_xlfn.XLOOKUP($D408,城市信息!$B$1:$B$14,城市信息!$E$1:$E$14)</f>
        <v>9912</v>
      </c>
      <c r="P408" cm="1">
        <f t="array" ref="P408:U408">_xlfn.XLOOKUP(A408&amp;B408,'[1]2.4自动化报表-8月获客数据-非乱码'!$A:$A&amp;'[1]2.4自动化报表-8月获客数据-非乱码'!$B:$B,'[1]2.4自动化报表-8月获客数据-非乱码'!$C:$H)</f>
        <v>3941</v>
      </c>
      <c r="Q408">
        <v>3858</v>
      </c>
      <c r="R408">
        <v>3719</v>
      </c>
      <c r="S408">
        <v>2134</v>
      </c>
      <c r="T408">
        <v>1195</v>
      </c>
      <c r="U408">
        <v>697</v>
      </c>
    </row>
    <row r="409" spans="1:21" x14ac:dyDescent="0.3">
      <c r="A409" s="1">
        <v>44058</v>
      </c>
      <c r="B409" t="s">
        <v>16</v>
      </c>
      <c r="C409" t="s">
        <v>108</v>
      </c>
      <c r="D409" t="s">
        <v>59</v>
      </c>
      <c r="E409" t="s">
        <v>117</v>
      </c>
      <c r="F409" s="2">
        <v>53001</v>
      </c>
      <c r="G409" s="2">
        <v>4393</v>
      </c>
      <c r="H409">
        <v>0</v>
      </c>
      <c r="I409" t="str">
        <f>_xlfn.XLOOKUP($C409,战区信息!$A$1:$A$5,战区信息!$B$1:$B$5)</f>
        <v>001</v>
      </c>
      <c r="J409" t="str">
        <f>_xlfn.XLOOKUP($C409,战区信息!$A$1:$A$5,战区信息!$C$1:$C$5)</f>
        <v>江永</v>
      </c>
      <c r="K409" t="str">
        <f>_xlfn.XLOOKUP($C409,战区信息!$A$1:$A$5,战区信息!$D$1:$D$5)</f>
        <v>一级战区</v>
      </c>
      <c r="L409" t="str">
        <f>_xlfn.XLOOKUP($D409,城市信息!$B$1:$B$14,城市信息!$A$1:$A$14)</f>
        <v>004</v>
      </c>
      <c r="M409" t="str">
        <f>_xlfn.XLOOKUP($D409,城市信息!$B$1:$B$14,城市信息!$C$1:$C$14)</f>
        <v>苏川</v>
      </c>
      <c r="N409" t="str">
        <f>_xlfn.XLOOKUP($D409,城市信息!$B$1:$B$14,城市信息!$D$1:$D$14)</f>
        <v>二线</v>
      </c>
      <c r="O409">
        <f>_xlfn.XLOOKUP($D409,城市信息!$B$1:$B$14,城市信息!$E$1:$E$14)</f>
        <v>9912</v>
      </c>
      <c r="P409" cm="1">
        <f t="array" ref="P409:U409">_xlfn.XLOOKUP(A409&amp;B409,'[1]2.4自动化报表-8月获客数据-非乱码'!$A:$A&amp;'[1]2.4自动化报表-8月获客数据-非乱码'!$B:$B,'[1]2.4自动化报表-8月获客数据-非乱码'!$C:$H)</f>
        <v>1907</v>
      </c>
      <c r="Q409">
        <v>1854</v>
      </c>
      <c r="R409">
        <v>1776</v>
      </c>
      <c r="S409">
        <v>1048</v>
      </c>
      <c r="T409">
        <v>592</v>
      </c>
      <c r="U409">
        <v>696</v>
      </c>
    </row>
    <row r="410" spans="1:21" x14ac:dyDescent="0.3">
      <c r="A410" s="1">
        <v>44058</v>
      </c>
      <c r="B410" t="s">
        <v>15</v>
      </c>
      <c r="C410" t="s">
        <v>108</v>
      </c>
      <c r="D410" t="s">
        <v>59</v>
      </c>
      <c r="E410" t="s">
        <v>118</v>
      </c>
      <c r="F410" s="2">
        <v>141003</v>
      </c>
      <c r="G410" s="2">
        <v>14284</v>
      </c>
      <c r="H410">
        <v>0</v>
      </c>
      <c r="I410" t="str">
        <f>_xlfn.XLOOKUP($C410,战区信息!$A$1:$A$5,战区信息!$B$1:$B$5)</f>
        <v>001</v>
      </c>
      <c r="J410" t="str">
        <f>_xlfn.XLOOKUP($C410,战区信息!$A$1:$A$5,战区信息!$C$1:$C$5)</f>
        <v>江永</v>
      </c>
      <c r="K410" t="str">
        <f>_xlfn.XLOOKUP($C410,战区信息!$A$1:$A$5,战区信息!$D$1:$D$5)</f>
        <v>一级战区</v>
      </c>
      <c r="L410" t="str">
        <f>_xlfn.XLOOKUP($D410,城市信息!$B$1:$B$14,城市信息!$A$1:$A$14)</f>
        <v>004</v>
      </c>
      <c r="M410" t="str">
        <f>_xlfn.XLOOKUP($D410,城市信息!$B$1:$B$14,城市信息!$C$1:$C$14)</f>
        <v>苏川</v>
      </c>
      <c r="N410" t="str">
        <f>_xlfn.XLOOKUP($D410,城市信息!$B$1:$B$14,城市信息!$D$1:$D$14)</f>
        <v>二线</v>
      </c>
      <c r="O410">
        <f>_xlfn.XLOOKUP($D410,城市信息!$B$1:$B$14,城市信息!$E$1:$E$14)</f>
        <v>9912</v>
      </c>
      <c r="P410" cm="1">
        <f t="array" ref="P410:U410">_xlfn.XLOOKUP(A410&amp;B410,'[1]2.4自动化报表-8月获客数据-非乱码'!$A:$A&amp;'[1]2.4自动化报表-8月获客数据-非乱码'!$B:$B,'[1]2.4自动化报表-8月获客数据-非乱码'!$C:$H)</f>
        <v>2869</v>
      </c>
      <c r="Q410">
        <v>2815</v>
      </c>
      <c r="R410">
        <v>2713</v>
      </c>
      <c r="S410">
        <v>1648</v>
      </c>
      <c r="T410">
        <v>829</v>
      </c>
      <c r="U410">
        <v>698</v>
      </c>
    </row>
    <row r="411" spans="1:21" x14ac:dyDescent="0.3">
      <c r="A411" s="1">
        <v>44058</v>
      </c>
      <c r="B411" t="s">
        <v>14</v>
      </c>
      <c r="C411" t="s">
        <v>108</v>
      </c>
      <c r="D411" t="s">
        <v>59</v>
      </c>
      <c r="E411" t="s">
        <v>119</v>
      </c>
      <c r="F411" s="2">
        <v>53520</v>
      </c>
      <c r="G411" s="2">
        <v>4251</v>
      </c>
      <c r="H411">
        <v>0</v>
      </c>
      <c r="I411" t="str">
        <f>_xlfn.XLOOKUP($C411,战区信息!$A$1:$A$5,战区信息!$B$1:$B$5)</f>
        <v>001</v>
      </c>
      <c r="J411" t="str">
        <f>_xlfn.XLOOKUP($C411,战区信息!$A$1:$A$5,战区信息!$C$1:$C$5)</f>
        <v>江永</v>
      </c>
      <c r="K411" t="str">
        <f>_xlfn.XLOOKUP($C411,战区信息!$A$1:$A$5,战区信息!$D$1:$D$5)</f>
        <v>一级战区</v>
      </c>
      <c r="L411" t="str">
        <f>_xlfn.XLOOKUP($D411,城市信息!$B$1:$B$14,城市信息!$A$1:$A$14)</f>
        <v>004</v>
      </c>
      <c r="M411" t="str">
        <f>_xlfn.XLOOKUP($D411,城市信息!$B$1:$B$14,城市信息!$C$1:$C$14)</f>
        <v>苏川</v>
      </c>
      <c r="N411" t="str">
        <f>_xlfn.XLOOKUP($D411,城市信息!$B$1:$B$14,城市信息!$D$1:$D$14)</f>
        <v>二线</v>
      </c>
      <c r="O411">
        <f>_xlfn.XLOOKUP($D411,城市信息!$B$1:$B$14,城市信息!$E$1:$E$14)</f>
        <v>9912</v>
      </c>
      <c r="P411" cm="1">
        <f t="array" ref="P411:U411">_xlfn.XLOOKUP(A411&amp;B411,'[1]2.4自动化报表-8月获客数据-非乱码'!$A:$A&amp;'[1]2.4自动化报表-8月获客数据-非乱码'!$B:$B,'[1]2.4自动化报表-8月获客数据-非乱码'!$C:$H)</f>
        <v>1516</v>
      </c>
      <c r="Q411">
        <v>1472</v>
      </c>
      <c r="R411">
        <v>1416</v>
      </c>
      <c r="S411">
        <v>867</v>
      </c>
      <c r="T411">
        <v>485</v>
      </c>
      <c r="U411">
        <v>695</v>
      </c>
    </row>
    <row r="412" spans="1:21" x14ac:dyDescent="0.3">
      <c r="A412" s="1">
        <v>44058</v>
      </c>
      <c r="B412" t="s">
        <v>13</v>
      </c>
      <c r="C412" t="s">
        <v>108</v>
      </c>
      <c r="D412" t="s">
        <v>60</v>
      </c>
      <c r="E412" t="s">
        <v>120</v>
      </c>
      <c r="F412" s="2">
        <v>145208</v>
      </c>
      <c r="G412" s="2">
        <v>16076</v>
      </c>
      <c r="H412">
        <v>0</v>
      </c>
      <c r="I412" t="str">
        <f>_xlfn.XLOOKUP($C412,战区信息!$A$1:$A$5,战区信息!$B$1:$B$5)</f>
        <v>001</v>
      </c>
      <c r="J412" t="str">
        <f>_xlfn.XLOOKUP($C412,战区信息!$A$1:$A$5,战区信息!$C$1:$C$5)</f>
        <v>江永</v>
      </c>
      <c r="K412" t="str">
        <f>_xlfn.XLOOKUP($C412,战区信息!$A$1:$A$5,战区信息!$D$1:$D$5)</f>
        <v>一级战区</v>
      </c>
      <c r="L412" t="str">
        <f>_xlfn.XLOOKUP($D412,城市信息!$B$1:$B$14,城市信息!$A$1:$A$14)</f>
        <v>005</v>
      </c>
      <c r="M412" t="str">
        <f>_xlfn.XLOOKUP($D412,城市信息!$B$1:$B$14,城市信息!$C$1:$C$14)</f>
        <v>侯阳冰</v>
      </c>
      <c r="N412" t="str">
        <f>_xlfn.XLOOKUP($D412,城市信息!$B$1:$B$14,城市信息!$D$1:$D$14)</f>
        <v>二线</v>
      </c>
      <c r="O412">
        <f>_xlfn.XLOOKUP($D412,城市信息!$B$1:$B$14,城市信息!$E$1:$E$14)</f>
        <v>8694</v>
      </c>
      <c r="P412" cm="1">
        <f t="array" ref="P412:U412">_xlfn.XLOOKUP(A412&amp;B412,'[1]2.4自动化报表-8月获客数据-非乱码'!$A:$A&amp;'[1]2.4自动化报表-8月获客数据-非乱码'!$B:$B,'[1]2.4自动化报表-8月获客数据-非乱码'!$C:$H)</f>
        <v>5784</v>
      </c>
      <c r="Q412">
        <v>5648</v>
      </c>
      <c r="R412">
        <v>5383</v>
      </c>
      <c r="S412">
        <v>3355</v>
      </c>
      <c r="T412">
        <v>1652</v>
      </c>
      <c r="U412">
        <v>696</v>
      </c>
    </row>
    <row r="413" spans="1:21" x14ac:dyDescent="0.3">
      <c r="A413" s="1">
        <v>44058</v>
      </c>
      <c r="B413" t="s">
        <v>12</v>
      </c>
      <c r="C413" t="s">
        <v>108</v>
      </c>
      <c r="D413" t="s">
        <v>60</v>
      </c>
      <c r="E413" t="s">
        <v>121</v>
      </c>
      <c r="F413" s="2">
        <v>74479</v>
      </c>
      <c r="G413" s="2">
        <v>5731</v>
      </c>
      <c r="H413">
        <v>0</v>
      </c>
      <c r="I413" t="str">
        <f>_xlfn.XLOOKUP($C413,战区信息!$A$1:$A$5,战区信息!$B$1:$B$5)</f>
        <v>001</v>
      </c>
      <c r="J413" t="str">
        <f>_xlfn.XLOOKUP($C413,战区信息!$A$1:$A$5,战区信息!$C$1:$C$5)</f>
        <v>江永</v>
      </c>
      <c r="K413" t="str">
        <f>_xlfn.XLOOKUP($C413,战区信息!$A$1:$A$5,战区信息!$D$1:$D$5)</f>
        <v>一级战区</v>
      </c>
      <c r="L413" t="str">
        <f>_xlfn.XLOOKUP($D413,城市信息!$B$1:$B$14,城市信息!$A$1:$A$14)</f>
        <v>005</v>
      </c>
      <c r="M413" t="str">
        <f>_xlfn.XLOOKUP($D413,城市信息!$B$1:$B$14,城市信息!$C$1:$C$14)</f>
        <v>侯阳冰</v>
      </c>
      <c r="N413" t="str">
        <f>_xlfn.XLOOKUP($D413,城市信息!$B$1:$B$14,城市信息!$D$1:$D$14)</f>
        <v>二线</v>
      </c>
      <c r="O413">
        <f>_xlfn.XLOOKUP($D413,城市信息!$B$1:$B$14,城市信息!$E$1:$E$14)</f>
        <v>8694</v>
      </c>
      <c r="P413" cm="1">
        <f t="array" ref="P413:U413">_xlfn.XLOOKUP(A413&amp;B413,'[1]2.4自动化报表-8月获客数据-非乱码'!$A:$A&amp;'[1]2.4自动化报表-8月获客数据-非乱码'!$B:$B,'[1]2.4自动化报表-8月获客数据-非乱码'!$C:$H)</f>
        <v>1290</v>
      </c>
      <c r="Q413">
        <v>1273</v>
      </c>
      <c r="R413">
        <v>1209</v>
      </c>
      <c r="S413">
        <v>771</v>
      </c>
      <c r="T413">
        <v>398</v>
      </c>
      <c r="U413">
        <v>697</v>
      </c>
    </row>
    <row r="414" spans="1:21" x14ac:dyDescent="0.3">
      <c r="A414" s="1">
        <v>44058</v>
      </c>
      <c r="B414" t="s">
        <v>11</v>
      </c>
      <c r="C414" t="s">
        <v>108</v>
      </c>
      <c r="D414" t="s">
        <v>58</v>
      </c>
      <c r="E414" t="s">
        <v>122</v>
      </c>
      <c r="F414" s="2">
        <v>154572</v>
      </c>
      <c r="G414" s="2">
        <v>13915</v>
      </c>
      <c r="H414">
        <v>407</v>
      </c>
      <c r="I414" t="str">
        <f>_xlfn.XLOOKUP($C414,战区信息!$A$1:$A$5,战区信息!$B$1:$B$5)</f>
        <v>001</v>
      </c>
      <c r="J414" t="str">
        <f>_xlfn.XLOOKUP($C414,战区信息!$A$1:$A$5,战区信息!$C$1:$C$5)</f>
        <v>江永</v>
      </c>
      <c r="K414" t="str">
        <f>_xlfn.XLOOKUP($C414,战区信息!$A$1:$A$5,战区信息!$D$1:$D$5)</f>
        <v>一级战区</v>
      </c>
      <c r="L414" t="str">
        <f>_xlfn.XLOOKUP($D414,城市信息!$B$1:$B$14,城市信息!$A$1:$A$14)</f>
        <v>003</v>
      </c>
      <c r="M414" t="str">
        <f>_xlfn.XLOOKUP($D414,城市信息!$B$1:$B$14,城市信息!$C$1:$C$14)</f>
        <v>杜光亮</v>
      </c>
      <c r="N414" t="str">
        <f>_xlfn.XLOOKUP($D414,城市信息!$B$1:$B$14,城市信息!$D$1:$D$14)</f>
        <v>二线</v>
      </c>
      <c r="O414">
        <f>_xlfn.XLOOKUP($D414,城市信息!$B$1:$B$14,城市信息!$E$1:$E$14)</f>
        <v>10499</v>
      </c>
      <c r="P414" cm="1">
        <f t="array" ref="P414:U414">_xlfn.XLOOKUP(A414&amp;B414,'[1]2.4自动化报表-8月获客数据-非乱码'!$A:$A&amp;'[1]2.4自动化报表-8月获客数据-非乱码'!$B:$B,'[1]2.4自动化报表-8月获客数据-非乱码'!$C:$H)</f>
        <v>6445</v>
      </c>
      <c r="Q414">
        <v>6178</v>
      </c>
      <c r="R414">
        <v>5849</v>
      </c>
      <c r="S414">
        <v>3656</v>
      </c>
      <c r="T414">
        <v>1725</v>
      </c>
      <c r="U414">
        <v>702</v>
      </c>
    </row>
    <row r="415" spans="1:21" x14ac:dyDescent="0.3">
      <c r="A415" s="1">
        <v>44058</v>
      </c>
      <c r="B415" t="s">
        <v>10</v>
      </c>
      <c r="C415" t="s">
        <v>108</v>
      </c>
      <c r="D415" t="s">
        <v>58</v>
      </c>
      <c r="E415" t="s">
        <v>123</v>
      </c>
      <c r="F415" s="2">
        <v>59114</v>
      </c>
      <c r="G415" s="2">
        <v>5478</v>
      </c>
      <c r="H415">
        <v>0</v>
      </c>
      <c r="I415" t="str">
        <f>_xlfn.XLOOKUP($C415,战区信息!$A$1:$A$5,战区信息!$B$1:$B$5)</f>
        <v>001</v>
      </c>
      <c r="J415" t="str">
        <f>_xlfn.XLOOKUP($C415,战区信息!$A$1:$A$5,战区信息!$C$1:$C$5)</f>
        <v>江永</v>
      </c>
      <c r="K415" t="str">
        <f>_xlfn.XLOOKUP($C415,战区信息!$A$1:$A$5,战区信息!$D$1:$D$5)</f>
        <v>一级战区</v>
      </c>
      <c r="L415" t="str">
        <f>_xlfn.XLOOKUP($D415,城市信息!$B$1:$B$14,城市信息!$A$1:$A$14)</f>
        <v>003</v>
      </c>
      <c r="M415" t="str">
        <f>_xlfn.XLOOKUP($D415,城市信息!$B$1:$B$14,城市信息!$C$1:$C$14)</f>
        <v>杜光亮</v>
      </c>
      <c r="N415" t="str">
        <f>_xlfn.XLOOKUP($D415,城市信息!$B$1:$B$14,城市信息!$D$1:$D$14)</f>
        <v>二线</v>
      </c>
      <c r="O415">
        <f>_xlfn.XLOOKUP($D415,城市信息!$B$1:$B$14,城市信息!$E$1:$E$14)</f>
        <v>10499</v>
      </c>
      <c r="P415" cm="1">
        <f t="array" ref="P415:U415">_xlfn.XLOOKUP(A415&amp;B415,'[1]2.4自动化报表-8月获客数据-非乱码'!$A:$A&amp;'[1]2.4自动化报表-8月获客数据-非乱码'!$B:$B,'[1]2.4自动化报表-8月获客数据-非乱码'!$C:$H)</f>
        <v>1773</v>
      </c>
      <c r="Q415">
        <v>1738</v>
      </c>
      <c r="R415">
        <v>1690</v>
      </c>
      <c r="S415">
        <v>1017</v>
      </c>
      <c r="T415">
        <v>614</v>
      </c>
      <c r="U415">
        <v>701</v>
      </c>
    </row>
    <row r="416" spans="1:21" x14ac:dyDescent="0.3">
      <c r="A416" s="1">
        <v>44058</v>
      </c>
      <c r="B416" t="s">
        <v>9</v>
      </c>
      <c r="C416" t="s">
        <v>108</v>
      </c>
      <c r="D416" t="s">
        <v>58</v>
      </c>
      <c r="E416" t="s">
        <v>124</v>
      </c>
      <c r="F416" s="2">
        <v>193030</v>
      </c>
      <c r="G416" s="2">
        <v>16286</v>
      </c>
      <c r="H416" s="2">
        <v>15452</v>
      </c>
      <c r="I416" t="str">
        <f>_xlfn.XLOOKUP($C416,战区信息!$A$1:$A$5,战区信息!$B$1:$B$5)</f>
        <v>001</v>
      </c>
      <c r="J416" t="str">
        <f>_xlfn.XLOOKUP($C416,战区信息!$A$1:$A$5,战区信息!$C$1:$C$5)</f>
        <v>江永</v>
      </c>
      <c r="K416" t="str">
        <f>_xlfn.XLOOKUP($C416,战区信息!$A$1:$A$5,战区信息!$D$1:$D$5)</f>
        <v>一级战区</v>
      </c>
      <c r="L416" t="str">
        <f>_xlfn.XLOOKUP($D416,城市信息!$B$1:$B$14,城市信息!$A$1:$A$14)</f>
        <v>003</v>
      </c>
      <c r="M416" t="str">
        <f>_xlfn.XLOOKUP($D416,城市信息!$B$1:$B$14,城市信息!$C$1:$C$14)</f>
        <v>杜光亮</v>
      </c>
      <c r="N416" t="str">
        <f>_xlfn.XLOOKUP($D416,城市信息!$B$1:$B$14,城市信息!$D$1:$D$14)</f>
        <v>二线</v>
      </c>
      <c r="O416">
        <f>_xlfn.XLOOKUP($D416,城市信息!$B$1:$B$14,城市信息!$E$1:$E$14)</f>
        <v>10499</v>
      </c>
      <c r="P416" cm="1">
        <f t="array" ref="P416:U416">_xlfn.XLOOKUP(A416&amp;B416,'[1]2.4自动化报表-8月获客数据-非乱码'!$A:$A&amp;'[1]2.4自动化报表-8月获客数据-非乱码'!$B:$B,'[1]2.4自动化报表-8月获客数据-非乱码'!$C:$H)</f>
        <v>4956</v>
      </c>
      <c r="Q416">
        <v>4840</v>
      </c>
      <c r="R416">
        <v>4687</v>
      </c>
      <c r="S416">
        <v>2628</v>
      </c>
      <c r="T416">
        <v>1525</v>
      </c>
      <c r="U416">
        <v>694</v>
      </c>
    </row>
    <row r="417" spans="1:21" x14ac:dyDescent="0.3">
      <c r="A417" s="1">
        <v>44058</v>
      </c>
      <c r="B417" t="s">
        <v>8</v>
      </c>
      <c r="C417" t="s">
        <v>125</v>
      </c>
      <c r="D417" t="s">
        <v>66</v>
      </c>
      <c r="E417" t="s">
        <v>126</v>
      </c>
      <c r="F417" s="2">
        <v>158287</v>
      </c>
      <c r="G417" s="2">
        <v>16821</v>
      </c>
      <c r="H417">
        <v>0</v>
      </c>
      <c r="I417" t="str">
        <f>_xlfn.XLOOKUP($C417,战区信息!$A$1:$A$5,战区信息!$B$1:$B$5)</f>
        <v>004</v>
      </c>
      <c r="J417" t="str">
        <f>_xlfn.XLOOKUP($C417,战区信息!$A$1:$A$5,战区信息!$C$1:$C$5)</f>
        <v>沈乐欣</v>
      </c>
      <c r="K417" t="str">
        <f>_xlfn.XLOOKUP($C417,战区信息!$A$1:$A$5,战区信息!$D$1:$D$5)</f>
        <v>三级战区</v>
      </c>
      <c r="L417" t="str">
        <f>_xlfn.XLOOKUP($D417,城市信息!$B$1:$B$14,城市信息!$A$1:$A$14)</f>
        <v>011</v>
      </c>
      <c r="M417" t="str">
        <f>_xlfn.XLOOKUP($D417,城市信息!$B$1:$B$14,城市信息!$C$1:$C$14)</f>
        <v>冯谦</v>
      </c>
      <c r="N417" t="str">
        <f>_xlfn.XLOOKUP($D417,城市信息!$B$1:$B$14,城市信息!$D$1:$D$14)</f>
        <v>一线</v>
      </c>
      <c r="O417">
        <f>_xlfn.XLOOKUP($D417,城市信息!$B$1:$B$14,城市信息!$E$1:$E$14)</f>
        <v>8244</v>
      </c>
      <c r="P417" cm="1">
        <f t="array" ref="P417:U417">_xlfn.XLOOKUP(A417&amp;B417,'[1]2.4自动化报表-8月获客数据-非乱码'!$A:$A&amp;'[1]2.4自动化报表-8月获客数据-非乱码'!$B:$B,'[1]2.4自动化报表-8月获客数据-非乱码'!$C:$H)</f>
        <v>2151</v>
      </c>
      <c r="Q417">
        <v>2128</v>
      </c>
      <c r="R417">
        <v>2060</v>
      </c>
      <c r="S417">
        <v>1168</v>
      </c>
      <c r="T417">
        <v>762</v>
      </c>
      <c r="U417">
        <v>686</v>
      </c>
    </row>
    <row r="418" spans="1:21" x14ac:dyDescent="0.3">
      <c r="A418" s="1">
        <v>44058</v>
      </c>
      <c r="B418" t="s">
        <v>7</v>
      </c>
      <c r="C418" t="s">
        <v>125</v>
      </c>
      <c r="D418" t="s">
        <v>62</v>
      </c>
      <c r="E418" t="s">
        <v>127</v>
      </c>
      <c r="F418" s="2">
        <v>16000</v>
      </c>
      <c r="G418" s="2">
        <v>1006</v>
      </c>
      <c r="H418">
        <v>0</v>
      </c>
      <c r="I418" t="str">
        <f>_xlfn.XLOOKUP($C418,战区信息!$A$1:$A$5,战区信息!$B$1:$B$5)</f>
        <v>004</v>
      </c>
      <c r="J418" t="str">
        <f>_xlfn.XLOOKUP($C418,战区信息!$A$1:$A$5,战区信息!$C$1:$C$5)</f>
        <v>沈乐欣</v>
      </c>
      <c r="K418" t="str">
        <f>_xlfn.XLOOKUP($C418,战区信息!$A$1:$A$5,战区信息!$D$1:$D$5)</f>
        <v>三级战区</v>
      </c>
      <c r="L418" t="str">
        <f>_xlfn.XLOOKUP($D418,城市信息!$B$1:$B$14,城市信息!$A$1:$A$14)</f>
        <v>007</v>
      </c>
      <c r="M418" t="str">
        <f>_xlfn.XLOOKUP($D418,城市信息!$B$1:$B$14,城市信息!$C$1:$C$14)</f>
        <v>范俊发</v>
      </c>
      <c r="N418" t="str">
        <f>_xlfn.XLOOKUP($D418,城市信息!$B$1:$B$14,城市信息!$D$1:$D$14)</f>
        <v>一线</v>
      </c>
      <c r="O418">
        <f>_xlfn.XLOOKUP($D418,城市信息!$B$1:$B$14,城市信息!$E$1:$E$14)</f>
        <v>12358</v>
      </c>
      <c r="P418" cm="1">
        <f t="array" ref="P418:U418">_xlfn.XLOOKUP(A418&amp;B418,'[1]2.4自动化报表-8月获客数据-非乱码'!$A:$A&amp;'[1]2.4自动化报表-8月获客数据-非乱码'!$B:$B,'[1]2.4自动化报表-8月获客数据-非乱码'!$C:$H)</f>
        <v>95</v>
      </c>
      <c r="Q418">
        <v>91</v>
      </c>
      <c r="R418">
        <v>85</v>
      </c>
      <c r="S418">
        <v>45</v>
      </c>
      <c r="T418">
        <v>25</v>
      </c>
      <c r="U418">
        <v>686</v>
      </c>
    </row>
    <row r="419" spans="1:21" x14ac:dyDescent="0.3">
      <c r="A419" s="1">
        <v>44058</v>
      </c>
      <c r="B419" t="s">
        <v>6</v>
      </c>
      <c r="C419" t="s">
        <v>125</v>
      </c>
      <c r="D419" t="s">
        <v>62</v>
      </c>
      <c r="E419" t="s">
        <v>128</v>
      </c>
      <c r="F419" s="2">
        <v>46666</v>
      </c>
      <c r="G419" s="2">
        <v>4613</v>
      </c>
      <c r="H419">
        <v>0</v>
      </c>
      <c r="I419" t="str">
        <f>_xlfn.XLOOKUP($C419,战区信息!$A$1:$A$5,战区信息!$B$1:$B$5)</f>
        <v>004</v>
      </c>
      <c r="J419" t="str">
        <f>_xlfn.XLOOKUP($C419,战区信息!$A$1:$A$5,战区信息!$C$1:$C$5)</f>
        <v>沈乐欣</v>
      </c>
      <c r="K419" t="str">
        <f>_xlfn.XLOOKUP($C419,战区信息!$A$1:$A$5,战区信息!$D$1:$D$5)</f>
        <v>三级战区</v>
      </c>
      <c r="L419" t="str">
        <f>_xlfn.XLOOKUP($D419,城市信息!$B$1:$B$14,城市信息!$A$1:$A$14)</f>
        <v>007</v>
      </c>
      <c r="M419" t="str">
        <f>_xlfn.XLOOKUP($D419,城市信息!$B$1:$B$14,城市信息!$C$1:$C$14)</f>
        <v>范俊发</v>
      </c>
      <c r="N419" t="str">
        <f>_xlfn.XLOOKUP($D419,城市信息!$B$1:$B$14,城市信息!$D$1:$D$14)</f>
        <v>一线</v>
      </c>
      <c r="O419">
        <f>_xlfn.XLOOKUP($D419,城市信息!$B$1:$B$14,城市信息!$E$1:$E$14)</f>
        <v>12358</v>
      </c>
      <c r="P419" cm="1">
        <f t="array" ref="P419:U419">_xlfn.XLOOKUP(A419&amp;B419,'[1]2.4自动化报表-8月获客数据-非乱码'!$A:$A&amp;'[1]2.4自动化报表-8月获客数据-非乱码'!$B:$B,'[1]2.4自动化报表-8月获客数据-非乱码'!$C:$H)</f>
        <v>1721</v>
      </c>
      <c r="Q419">
        <v>1698</v>
      </c>
      <c r="R419">
        <v>1663</v>
      </c>
      <c r="S419">
        <v>1003</v>
      </c>
      <c r="T419">
        <v>582</v>
      </c>
      <c r="U419">
        <v>688</v>
      </c>
    </row>
    <row r="420" spans="1:21" x14ac:dyDescent="0.3">
      <c r="A420" s="1">
        <v>44058</v>
      </c>
      <c r="B420" t="s">
        <v>5</v>
      </c>
      <c r="C420" t="s">
        <v>125</v>
      </c>
      <c r="D420" t="s">
        <v>62</v>
      </c>
      <c r="E420" t="s">
        <v>129</v>
      </c>
      <c r="F420" s="2">
        <v>62601</v>
      </c>
      <c r="G420" s="2">
        <v>4198</v>
      </c>
      <c r="H420">
        <v>0</v>
      </c>
      <c r="I420" t="str">
        <f>_xlfn.XLOOKUP($C420,战区信息!$A$1:$A$5,战区信息!$B$1:$B$5)</f>
        <v>004</v>
      </c>
      <c r="J420" t="str">
        <f>_xlfn.XLOOKUP($C420,战区信息!$A$1:$A$5,战区信息!$C$1:$C$5)</f>
        <v>沈乐欣</v>
      </c>
      <c r="K420" t="str">
        <f>_xlfn.XLOOKUP($C420,战区信息!$A$1:$A$5,战区信息!$D$1:$D$5)</f>
        <v>三级战区</v>
      </c>
      <c r="L420" t="str">
        <f>_xlfn.XLOOKUP($D420,城市信息!$B$1:$B$14,城市信息!$A$1:$A$14)</f>
        <v>007</v>
      </c>
      <c r="M420" t="str">
        <f>_xlfn.XLOOKUP($D420,城市信息!$B$1:$B$14,城市信息!$C$1:$C$14)</f>
        <v>范俊发</v>
      </c>
      <c r="N420" t="str">
        <f>_xlfn.XLOOKUP($D420,城市信息!$B$1:$B$14,城市信息!$D$1:$D$14)</f>
        <v>一线</v>
      </c>
      <c r="O420">
        <f>_xlfn.XLOOKUP($D420,城市信息!$B$1:$B$14,城市信息!$E$1:$E$14)</f>
        <v>12358</v>
      </c>
      <c r="P420" cm="1">
        <f t="array" ref="P420:U420">_xlfn.XLOOKUP(A420&amp;B420,'[1]2.4自动化报表-8月获客数据-非乱码'!$A:$A&amp;'[1]2.4自动化报表-8月获客数据-非乱码'!$B:$B,'[1]2.4自动化报表-8月获客数据-非乱码'!$C:$H)</f>
        <v>1921</v>
      </c>
      <c r="Q420">
        <v>1874</v>
      </c>
      <c r="R420">
        <v>1792</v>
      </c>
      <c r="S420">
        <v>1143</v>
      </c>
      <c r="T420">
        <v>579</v>
      </c>
      <c r="U420">
        <v>690</v>
      </c>
    </row>
    <row r="421" spans="1:21" x14ac:dyDescent="0.3">
      <c r="A421" s="1">
        <v>44059</v>
      </c>
      <c r="B421" t="s">
        <v>32</v>
      </c>
      <c r="C421" t="s">
        <v>97</v>
      </c>
      <c r="D421" t="s">
        <v>67</v>
      </c>
      <c r="E421" t="s">
        <v>98</v>
      </c>
      <c r="F421" s="2">
        <v>103331</v>
      </c>
      <c r="G421" s="2">
        <v>6823</v>
      </c>
      <c r="H421">
        <v>0</v>
      </c>
      <c r="I421" t="str">
        <f>_xlfn.XLOOKUP($C421,战区信息!$A$1:$A$5,战区信息!$B$1:$B$5)</f>
        <v>003</v>
      </c>
      <c r="J421" t="str">
        <f>_xlfn.XLOOKUP($C421,战区信息!$A$1:$A$5,战区信息!$C$1:$C$5)</f>
        <v>田楠</v>
      </c>
      <c r="K421" t="str">
        <f>_xlfn.XLOOKUP($C421,战区信息!$A$1:$A$5,战区信息!$D$1:$D$5)</f>
        <v>二级战区</v>
      </c>
      <c r="L421" t="str">
        <f>_xlfn.XLOOKUP($D421,城市信息!$B$1:$B$14,城市信息!$A$1:$A$14)</f>
        <v>012</v>
      </c>
      <c r="M421" t="str">
        <f>_xlfn.XLOOKUP($D421,城市信息!$B$1:$B$14,城市信息!$C$1:$C$14)</f>
        <v>于子默</v>
      </c>
      <c r="N421" t="str">
        <f>_xlfn.XLOOKUP($D421,城市信息!$B$1:$B$14,城市信息!$D$1:$D$14)</f>
        <v>二线</v>
      </c>
      <c r="O421">
        <f>_xlfn.XLOOKUP($D421,城市信息!$B$1:$B$14,城市信息!$E$1:$E$14)</f>
        <v>9713</v>
      </c>
      <c r="P421" cm="1">
        <f t="array" ref="P421:U421">_xlfn.XLOOKUP(A421&amp;B421,'[1]2.4自动化报表-8月获客数据-非乱码'!$A:$A&amp;'[1]2.4自动化报表-8月获客数据-非乱码'!$B:$B,'[1]2.4自动化报表-8月获客数据-非乱码'!$C:$H)</f>
        <v>2583</v>
      </c>
      <c r="Q421">
        <v>2540</v>
      </c>
      <c r="R421">
        <v>2470</v>
      </c>
      <c r="S421">
        <v>1542</v>
      </c>
      <c r="T421">
        <v>855</v>
      </c>
      <c r="U421">
        <v>690</v>
      </c>
    </row>
    <row r="422" spans="1:21" x14ac:dyDescent="0.3">
      <c r="A422" s="1">
        <v>44059</v>
      </c>
      <c r="B422" t="s">
        <v>31</v>
      </c>
      <c r="C422" t="s">
        <v>97</v>
      </c>
      <c r="D422" t="s">
        <v>65</v>
      </c>
      <c r="E422" t="s">
        <v>99</v>
      </c>
      <c r="F422" s="2">
        <v>74175</v>
      </c>
      <c r="G422" s="2">
        <v>5063</v>
      </c>
      <c r="H422">
        <v>0</v>
      </c>
      <c r="I422" t="str">
        <f>_xlfn.XLOOKUP($C422,战区信息!$A$1:$A$5,战区信息!$B$1:$B$5)</f>
        <v>003</v>
      </c>
      <c r="J422" t="str">
        <f>_xlfn.XLOOKUP($C422,战区信息!$A$1:$A$5,战区信息!$C$1:$C$5)</f>
        <v>田楠</v>
      </c>
      <c r="K422" t="str">
        <f>_xlfn.XLOOKUP($C422,战区信息!$A$1:$A$5,战区信息!$D$1:$D$5)</f>
        <v>二级战区</v>
      </c>
      <c r="L422" t="str">
        <f>_xlfn.XLOOKUP($D422,城市信息!$B$1:$B$14,城市信息!$A$1:$A$14)</f>
        <v>010</v>
      </c>
      <c r="M422" t="str">
        <f>_xlfn.XLOOKUP($D422,城市信息!$B$1:$B$14,城市信息!$C$1:$C$14)</f>
        <v>黄鹏天</v>
      </c>
      <c r="N422" t="str">
        <f>_xlfn.XLOOKUP($D422,城市信息!$B$1:$B$14,城市信息!$D$1:$D$14)</f>
        <v>二线</v>
      </c>
      <c r="O422">
        <f>_xlfn.XLOOKUP($D422,城市信息!$B$1:$B$14,城市信息!$E$1:$E$14)</f>
        <v>8295</v>
      </c>
      <c r="P422" cm="1">
        <f t="array" ref="P422:U422">_xlfn.XLOOKUP(A422&amp;B422,'[1]2.4自动化报表-8月获客数据-非乱码'!$A:$A&amp;'[1]2.4自动化报表-8月获客数据-非乱码'!$B:$B,'[1]2.4自动化报表-8月获客数据-非乱码'!$C:$H)</f>
        <v>3717</v>
      </c>
      <c r="Q422">
        <v>3652</v>
      </c>
      <c r="R422">
        <v>3534</v>
      </c>
      <c r="S422">
        <v>2135</v>
      </c>
      <c r="T422">
        <v>1196</v>
      </c>
      <c r="U422">
        <v>691</v>
      </c>
    </row>
    <row r="423" spans="1:21" x14ac:dyDescent="0.3">
      <c r="A423" s="1">
        <v>44059</v>
      </c>
      <c r="B423" t="s">
        <v>30</v>
      </c>
      <c r="C423" t="s">
        <v>97</v>
      </c>
      <c r="D423" t="s">
        <v>61</v>
      </c>
      <c r="E423" t="s">
        <v>100</v>
      </c>
      <c r="F423" s="2">
        <v>20001</v>
      </c>
      <c r="G423" s="2">
        <v>1818</v>
      </c>
      <c r="H423">
        <v>0</v>
      </c>
      <c r="I423" t="str">
        <f>_xlfn.XLOOKUP($C423,战区信息!$A$1:$A$5,战区信息!$B$1:$B$5)</f>
        <v>003</v>
      </c>
      <c r="J423" t="str">
        <f>_xlfn.XLOOKUP($C423,战区信息!$A$1:$A$5,战区信息!$C$1:$C$5)</f>
        <v>田楠</v>
      </c>
      <c r="K423" t="str">
        <f>_xlfn.XLOOKUP($C423,战区信息!$A$1:$A$5,战区信息!$D$1:$D$5)</f>
        <v>二级战区</v>
      </c>
      <c r="L423" t="str">
        <f>_xlfn.XLOOKUP($D423,城市信息!$B$1:$B$14,城市信息!$A$1:$A$14)</f>
        <v>006</v>
      </c>
      <c r="M423" t="str">
        <f>_xlfn.XLOOKUP($D423,城市信息!$B$1:$B$14,城市信息!$C$1:$C$14)</f>
        <v>王刚</v>
      </c>
      <c r="N423" t="str">
        <f>_xlfn.XLOOKUP($D423,城市信息!$B$1:$B$14,城市信息!$D$1:$D$14)</f>
        <v>二线</v>
      </c>
      <c r="O423">
        <f>_xlfn.XLOOKUP($D423,城市信息!$B$1:$B$14,城市信息!$E$1:$E$14)</f>
        <v>9107</v>
      </c>
      <c r="P423" cm="1">
        <f t="array" ref="P423:U423">_xlfn.XLOOKUP(A423&amp;B423,'[1]2.4自动化报表-8月获客数据-非乱码'!$A:$A&amp;'[1]2.4自动化报表-8月获客数据-非乱码'!$B:$B,'[1]2.4自动化报表-8月获客数据-非乱码'!$C:$H)</f>
        <v>601</v>
      </c>
      <c r="Q423">
        <v>592</v>
      </c>
      <c r="R423">
        <v>567</v>
      </c>
      <c r="S423">
        <v>315</v>
      </c>
      <c r="T423">
        <v>176</v>
      </c>
      <c r="U423">
        <v>695</v>
      </c>
    </row>
    <row r="424" spans="1:21" x14ac:dyDescent="0.3">
      <c r="A424" s="1">
        <v>44059</v>
      </c>
      <c r="B424" t="s">
        <v>29</v>
      </c>
      <c r="C424" t="s">
        <v>97</v>
      </c>
      <c r="D424" t="s">
        <v>64</v>
      </c>
      <c r="E424" t="s">
        <v>101</v>
      </c>
      <c r="F424" s="2">
        <v>76474</v>
      </c>
      <c r="G424" s="2">
        <v>4114</v>
      </c>
      <c r="H424">
        <v>0</v>
      </c>
      <c r="I424" t="str">
        <f>_xlfn.XLOOKUP($C424,战区信息!$A$1:$A$5,战区信息!$B$1:$B$5)</f>
        <v>003</v>
      </c>
      <c r="J424" t="str">
        <f>_xlfn.XLOOKUP($C424,战区信息!$A$1:$A$5,战区信息!$C$1:$C$5)</f>
        <v>田楠</v>
      </c>
      <c r="K424" t="str">
        <f>_xlfn.XLOOKUP($C424,战区信息!$A$1:$A$5,战区信息!$D$1:$D$5)</f>
        <v>二级战区</v>
      </c>
      <c r="L424" t="str">
        <f>_xlfn.XLOOKUP($D424,城市信息!$B$1:$B$14,城市信息!$A$1:$A$14)</f>
        <v>009</v>
      </c>
      <c r="M424" t="str">
        <f>_xlfn.XLOOKUP($D424,城市信息!$B$1:$B$14,城市信息!$C$1:$C$14)</f>
        <v>叶超</v>
      </c>
      <c r="N424" t="str">
        <f>_xlfn.XLOOKUP($D424,城市信息!$B$1:$B$14,城市信息!$D$1:$D$14)</f>
        <v>二线</v>
      </c>
      <c r="O424">
        <f>_xlfn.XLOOKUP($D424,城市信息!$B$1:$B$14,城市信息!$E$1:$E$14)</f>
        <v>9016</v>
      </c>
      <c r="P424" cm="1">
        <f t="array" ref="P424:U424">_xlfn.XLOOKUP(A424&amp;B424,'[1]2.4自动化报表-8月获客数据-非乱码'!$A:$A&amp;'[1]2.4自动化报表-8月获客数据-非乱码'!$B:$B,'[1]2.4自动化报表-8月获客数据-非乱码'!$C:$H)</f>
        <v>2179</v>
      </c>
      <c r="Q424">
        <v>2129</v>
      </c>
      <c r="R424">
        <v>2053</v>
      </c>
      <c r="S424">
        <v>1330</v>
      </c>
      <c r="T424">
        <v>782</v>
      </c>
      <c r="U424">
        <v>692</v>
      </c>
    </row>
    <row r="425" spans="1:21" x14ac:dyDescent="0.3">
      <c r="A425" s="1">
        <v>44059</v>
      </c>
      <c r="B425" t="s">
        <v>28</v>
      </c>
      <c r="C425" t="s">
        <v>97</v>
      </c>
      <c r="D425" t="s">
        <v>64</v>
      </c>
      <c r="E425" t="s">
        <v>102</v>
      </c>
      <c r="F425" s="2">
        <v>27001</v>
      </c>
      <c r="G425" s="2">
        <v>1485</v>
      </c>
      <c r="H425">
        <v>0</v>
      </c>
      <c r="I425" t="str">
        <f>_xlfn.XLOOKUP($C425,战区信息!$A$1:$A$5,战区信息!$B$1:$B$5)</f>
        <v>003</v>
      </c>
      <c r="J425" t="str">
        <f>_xlfn.XLOOKUP($C425,战区信息!$A$1:$A$5,战区信息!$C$1:$C$5)</f>
        <v>田楠</v>
      </c>
      <c r="K425" t="str">
        <f>_xlfn.XLOOKUP($C425,战区信息!$A$1:$A$5,战区信息!$D$1:$D$5)</f>
        <v>二级战区</v>
      </c>
      <c r="L425" t="str">
        <f>_xlfn.XLOOKUP($D425,城市信息!$B$1:$B$14,城市信息!$A$1:$A$14)</f>
        <v>009</v>
      </c>
      <c r="M425" t="str">
        <f>_xlfn.XLOOKUP($D425,城市信息!$B$1:$B$14,城市信息!$C$1:$C$14)</f>
        <v>叶超</v>
      </c>
      <c r="N425" t="str">
        <f>_xlfn.XLOOKUP($D425,城市信息!$B$1:$B$14,城市信息!$D$1:$D$14)</f>
        <v>二线</v>
      </c>
      <c r="O425">
        <f>_xlfn.XLOOKUP($D425,城市信息!$B$1:$B$14,城市信息!$E$1:$E$14)</f>
        <v>9016</v>
      </c>
      <c r="P425" cm="1">
        <f t="array" ref="P425:U425">_xlfn.XLOOKUP(A425&amp;B425,'[1]2.4自动化报表-8月获客数据-非乱码'!$A:$A&amp;'[1]2.4自动化报表-8月获客数据-非乱码'!$B:$B,'[1]2.4自动化报表-8月获客数据-非乱码'!$C:$H)</f>
        <v>672</v>
      </c>
      <c r="Q425">
        <v>662</v>
      </c>
      <c r="R425">
        <v>643</v>
      </c>
      <c r="S425">
        <v>443</v>
      </c>
      <c r="T425">
        <v>209</v>
      </c>
      <c r="U425">
        <v>692</v>
      </c>
    </row>
    <row r="426" spans="1:21" x14ac:dyDescent="0.3">
      <c r="A426" s="1">
        <v>44059</v>
      </c>
      <c r="B426" t="s">
        <v>27</v>
      </c>
      <c r="C426" t="s">
        <v>103</v>
      </c>
      <c r="D426" t="s">
        <v>63</v>
      </c>
      <c r="E426" t="s">
        <v>104</v>
      </c>
      <c r="F426" s="2">
        <v>70322</v>
      </c>
      <c r="G426" s="2">
        <v>4544</v>
      </c>
      <c r="H426">
        <v>890</v>
      </c>
      <c r="I426" t="str">
        <f>_xlfn.XLOOKUP($C426,战区信息!$A$1:$A$5,战区信息!$B$1:$B$5)</f>
        <v>002</v>
      </c>
      <c r="J426" t="str">
        <f>_xlfn.XLOOKUP($C426,战区信息!$A$1:$A$5,战区信息!$C$1:$C$5)</f>
        <v>高安平</v>
      </c>
      <c r="K426" t="str">
        <f>_xlfn.XLOOKUP($C426,战区信息!$A$1:$A$5,战区信息!$D$1:$D$5)</f>
        <v>二级战区</v>
      </c>
      <c r="L426" t="str">
        <f>_xlfn.XLOOKUP($D426,城市信息!$B$1:$B$14,城市信息!$A$1:$A$14)</f>
        <v>008</v>
      </c>
      <c r="M426" t="str">
        <f>_xlfn.XLOOKUP($D426,城市信息!$B$1:$B$14,城市信息!$C$1:$C$14)</f>
        <v>高弘壮</v>
      </c>
      <c r="N426" t="str">
        <f>_xlfn.XLOOKUP($D426,城市信息!$B$1:$B$14,城市信息!$D$1:$D$14)</f>
        <v>一线</v>
      </c>
      <c r="O426">
        <f>_xlfn.XLOOKUP($D426,城市信息!$B$1:$B$14,城市信息!$E$1:$E$14)</f>
        <v>11498</v>
      </c>
      <c r="P426" cm="1">
        <f t="array" ref="P426:U426">_xlfn.XLOOKUP(A426&amp;B426,'[1]2.4自动化报表-8月获客数据-非乱码'!$A:$A&amp;'[1]2.4自动化报表-8月获客数据-非乱码'!$B:$B,'[1]2.4自动化报表-8月获客数据-非乱码'!$C:$H)</f>
        <v>3823</v>
      </c>
      <c r="Q426">
        <v>3708</v>
      </c>
      <c r="R426">
        <v>3535</v>
      </c>
      <c r="S426">
        <v>2103</v>
      </c>
      <c r="T426">
        <v>1122</v>
      </c>
      <c r="U426">
        <v>689</v>
      </c>
    </row>
    <row r="427" spans="1:21" x14ac:dyDescent="0.3">
      <c r="A427" s="1">
        <v>44059</v>
      </c>
      <c r="B427" t="s">
        <v>26</v>
      </c>
      <c r="C427" t="s">
        <v>103</v>
      </c>
      <c r="D427" t="s">
        <v>57</v>
      </c>
      <c r="E427" t="s">
        <v>105</v>
      </c>
      <c r="F427" s="2">
        <v>456518</v>
      </c>
      <c r="G427" s="2">
        <v>25388</v>
      </c>
      <c r="H427" s="2">
        <v>1678</v>
      </c>
      <c r="I427" t="str">
        <f>_xlfn.XLOOKUP($C427,战区信息!$A$1:$A$5,战区信息!$B$1:$B$5)</f>
        <v>002</v>
      </c>
      <c r="J427" t="str">
        <f>_xlfn.XLOOKUP($C427,战区信息!$A$1:$A$5,战区信息!$C$1:$C$5)</f>
        <v>高安平</v>
      </c>
      <c r="K427" t="str">
        <f>_xlfn.XLOOKUP($C427,战区信息!$A$1:$A$5,战区信息!$D$1:$D$5)</f>
        <v>二级战区</v>
      </c>
      <c r="L427" t="str">
        <f>_xlfn.XLOOKUP($D427,城市信息!$B$1:$B$14,城市信息!$A$1:$A$14)</f>
        <v>002</v>
      </c>
      <c r="M427" t="str">
        <f>_xlfn.XLOOKUP($D427,城市信息!$B$1:$B$14,城市信息!$C$1:$C$14)</f>
        <v>孙乒</v>
      </c>
      <c r="N427" t="str">
        <f>_xlfn.XLOOKUP($D427,城市信息!$B$1:$B$14,城市信息!$D$1:$D$14)</f>
        <v>一线</v>
      </c>
      <c r="O427">
        <f>_xlfn.XLOOKUP($D427,城市信息!$B$1:$B$14,城市信息!$E$1:$E$14)</f>
        <v>9854</v>
      </c>
      <c r="P427" cm="1">
        <f t="array" ref="P427:U427">_xlfn.XLOOKUP(A427&amp;B427,'[1]2.4自动化报表-8月获客数据-非乱码'!$A:$A&amp;'[1]2.4自动化报表-8月获客数据-非乱码'!$B:$B,'[1]2.4自动化报表-8月获客数据-非乱码'!$C:$H)</f>
        <v>5803</v>
      </c>
      <c r="Q427">
        <v>5667</v>
      </c>
      <c r="R427">
        <v>5427</v>
      </c>
      <c r="S427">
        <v>3391</v>
      </c>
      <c r="T427">
        <v>1922</v>
      </c>
      <c r="U427">
        <v>688</v>
      </c>
    </row>
    <row r="428" spans="1:21" x14ac:dyDescent="0.3">
      <c r="A428" s="1">
        <v>44059</v>
      </c>
      <c r="B428" t="s">
        <v>25</v>
      </c>
      <c r="C428" t="s">
        <v>103</v>
      </c>
      <c r="D428" t="s">
        <v>57</v>
      </c>
      <c r="E428" t="s">
        <v>106</v>
      </c>
      <c r="F428" s="2">
        <v>128845</v>
      </c>
      <c r="G428" s="2">
        <v>9158</v>
      </c>
      <c r="H428">
        <v>0</v>
      </c>
      <c r="I428" t="str">
        <f>_xlfn.XLOOKUP($C428,战区信息!$A$1:$A$5,战区信息!$B$1:$B$5)</f>
        <v>002</v>
      </c>
      <c r="J428" t="str">
        <f>_xlfn.XLOOKUP($C428,战区信息!$A$1:$A$5,战区信息!$C$1:$C$5)</f>
        <v>高安平</v>
      </c>
      <c r="K428" t="str">
        <f>_xlfn.XLOOKUP($C428,战区信息!$A$1:$A$5,战区信息!$D$1:$D$5)</f>
        <v>二级战区</v>
      </c>
      <c r="L428" t="str">
        <f>_xlfn.XLOOKUP($D428,城市信息!$B$1:$B$14,城市信息!$A$1:$A$14)</f>
        <v>002</v>
      </c>
      <c r="M428" t="str">
        <f>_xlfn.XLOOKUP($D428,城市信息!$B$1:$B$14,城市信息!$C$1:$C$14)</f>
        <v>孙乒</v>
      </c>
      <c r="N428" t="str">
        <f>_xlfn.XLOOKUP($D428,城市信息!$B$1:$B$14,城市信息!$D$1:$D$14)</f>
        <v>一线</v>
      </c>
      <c r="O428">
        <f>_xlfn.XLOOKUP($D428,城市信息!$B$1:$B$14,城市信息!$E$1:$E$14)</f>
        <v>9854</v>
      </c>
      <c r="P428" cm="1">
        <f t="array" ref="P428:U428">_xlfn.XLOOKUP(A428&amp;B428,'[1]2.4自动化报表-8月获客数据-非乱码'!$A:$A&amp;'[1]2.4自动化报表-8月获客数据-非乱码'!$B:$B,'[1]2.4自动化报表-8月获客数据-非乱码'!$C:$H)</f>
        <v>4421</v>
      </c>
      <c r="Q428">
        <v>4296</v>
      </c>
      <c r="R428">
        <v>4081</v>
      </c>
      <c r="S428">
        <v>2441</v>
      </c>
      <c r="T428">
        <v>1401</v>
      </c>
      <c r="U428">
        <v>689</v>
      </c>
    </row>
    <row r="429" spans="1:21" x14ac:dyDescent="0.3">
      <c r="A429" s="1">
        <v>44059</v>
      </c>
      <c r="B429" t="s">
        <v>24</v>
      </c>
      <c r="C429" t="s">
        <v>103</v>
      </c>
      <c r="D429" t="s">
        <v>57</v>
      </c>
      <c r="E429" t="s">
        <v>107</v>
      </c>
      <c r="F429" s="2">
        <v>164231</v>
      </c>
      <c r="G429" s="2">
        <v>11021</v>
      </c>
      <c r="H429">
        <v>0</v>
      </c>
      <c r="I429" t="str">
        <f>_xlfn.XLOOKUP($C429,战区信息!$A$1:$A$5,战区信息!$B$1:$B$5)</f>
        <v>002</v>
      </c>
      <c r="J429" t="str">
        <f>_xlfn.XLOOKUP($C429,战区信息!$A$1:$A$5,战区信息!$C$1:$C$5)</f>
        <v>高安平</v>
      </c>
      <c r="K429" t="str">
        <f>_xlfn.XLOOKUP($C429,战区信息!$A$1:$A$5,战区信息!$D$1:$D$5)</f>
        <v>二级战区</v>
      </c>
      <c r="L429" t="str">
        <f>_xlfn.XLOOKUP($D429,城市信息!$B$1:$B$14,城市信息!$A$1:$A$14)</f>
        <v>002</v>
      </c>
      <c r="M429" t="str">
        <f>_xlfn.XLOOKUP($D429,城市信息!$B$1:$B$14,城市信息!$C$1:$C$14)</f>
        <v>孙乒</v>
      </c>
      <c r="N429" t="str">
        <f>_xlfn.XLOOKUP($D429,城市信息!$B$1:$B$14,城市信息!$D$1:$D$14)</f>
        <v>一线</v>
      </c>
      <c r="O429">
        <f>_xlfn.XLOOKUP($D429,城市信息!$B$1:$B$14,城市信息!$E$1:$E$14)</f>
        <v>9854</v>
      </c>
      <c r="P429" cm="1">
        <f t="array" ref="P429:U429">_xlfn.XLOOKUP(A429&amp;B429,'[1]2.4自动化报表-8月获客数据-非乱码'!$A:$A&amp;'[1]2.4自动化报表-8月获客数据-非乱码'!$B:$B,'[1]2.4自动化报表-8月获客数据-非乱码'!$C:$H)</f>
        <v>4484</v>
      </c>
      <c r="Q429">
        <v>4394</v>
      </c>
      <c r="R429">
        <v>4200</v>
      </c>
      <c r="S429">
        <v>2583</v>
      </c>
      <c r="T429">
        <v>1493</v>
      </c>
      <c r="U429">
        <v>691</v>
      </c>
    </row>
    <row r="430" spans="1:21" x14ac:dyDescent="0.3">
      <c r="A430" s="1">
        <v>44059</v>
      </c>
      <c r="B430" t="s">
        <v>23</v>
      </c>
      <c r="C430" t="s">
        <v>108</v>
      </c>
      <c r="D430" t="s">
        <v>109</v>
      </c>
      <c r="E430" t="s">
        <v>110</v>
      </c>
      <c r="F430" s="2">
        <v>187322</v>
      </c>
      <c r="G430" s="2">
        <v>12126</v>
      </c>
      <c r="H430" s="2">
        <v>11369</v>
      </c>
      <c r="I430" t="str">
        <f>_xlfn.XLOOKUP($C430,战区信息!$A$1:$A$5,战区信息!$B$1:$B$5)</f>
        <v>001</v>
      </c>
      <c r="J430" t="str">
        <f>_xlfn.XLOOKUP($C430,战区信息!$A$1:$A$5,战区信息!$C$1:$C$5)</f>
        <v>江永</v>
      </c>
      <c r="K430" t="str">
        <f>_xlfn.XLOOKUP($C430,战区信息!$A$1:$A$5,战区信息!$D$1:$D$5)</f>
        <v>一级战区</v>
      </c>
      <c r="L430" t="str">
        <f>_xlfn.XLOOKUP($D430,城市信息!$B$1:$B$14,城市信息!$A$1:$A$14)</f>
        <v>013</v>
      </c>
      <c r="M430" t="str">
        <f>_xlfn.XLOOKUP($D430,城市信息!$B$1:$B$14,城市信息!$C$1:$C$14)</f>
        <v>张建</v>
      </c>
      <c r="N430" t="str">
        <f>_xlfn.XLOOKUP($D430,城市信息!$B$1:$B$14,城市信息!$D$1:$D$14)</f>
        <v>二线</v>
      </c>
      <c r="O430">
        <f>_xlfn.XLOOKUP($D430,城市信息!$B$1:$B$14,城市信息!$E$1:$E$14)</f>
        <v>8800</v>
      </c>
      <c r="P430" cm="1">
        <f t="array" ref="P430:U430">_xlfn.XLOOKUP(A430&amp;B430,'[1]2.4自动化报表-8月获客数据-非乱码'!$A:$A&amp;'[1]2.4自动化报表-8月获客数据-非乱码'!$B:$B,'[1]2.4自动化报表-8月获客数据-非乱码'!$C:$H)</f>
        <v>5517</v>
      </c>
      <c r="Q430">
        <v>5298</v>
      </c>
      <c r="R430">
        <v>5031</v>
      </c>
      <c r="S430">
        <v>3081</v>
      </c>
      <c r="T430">
        <v>1596</v>
      </c>
      <c r="U430">
        <v>694</v>
      </c>
    </row>
    <row r="431" spans="1:21" x14ac:dyDescent="0.3">
      <c r="A431" s="1">
        <v>44059</v>
      </c>
      <c r="B431" t="s">
        <v>22</v>
      </c>
      <c r="C431" t="s">
        <v>108</v>
      </c>
      <c r="D431" t="s">
        <v>109</v>
      </c>
      <c r="E431" t="s">
        <v>111</v>
      </c>
      <c r="F431" s="2">
        <v>14610</v>
      </c>
      <c r="G431">
        <v>897</v>
      </c>
      <c r="H431">
        <v>0</v>
      </c>
      <c r="I431" t="str">
        <f>_xlfn.XLOOKUP($C431,战区信息!$A$1:$A$5,战区信息!$B$1:$B$5)</f>
        <v>001</v>
      </c>
      <c r="J431" t="str">
        <f>_xlfn.XLOOKUP($C431,战区信息!$A$1:$A$5,战区信息!$C$1:$C$5)</f>
        <v>江永</v>
      </c>
      <c r="K431" t="str">
        <f>_xlfn.XLOOKUP($C431,战区信息!$A$1:$A$5,战区信息!$D$1:$D$5)</f>
        <v>一级战区</v>
      </c>
      <c r="L431" t="str">
        <f>_xlfn.XLOOKUP($D431,城市信息!$B$1:$B$14,城市信息!$A$1:$A$14)</f>
        <v>013</v>
      </c>
      <c r="M431" t="str">
        <f>_xlfn.XLOOKUP($D431,城市信息!$B$1:$B$14,城市信息!$C$1:$C$14)</f>
        <v>张建</v>
      </c>
      <c r="N431" t="str">
        <f>_xlfn.XLOOKUP($D431,城市信息!$B$1:$B$14,城市信息!$D$1:$D$14)</f>
        <v>二线</v>
      </c>
      <c r="O431">
        <f>_xlfn.XLOOKUP($D431,城市信息!$B$1:$B$14,城市信息!$E$1:$E$14)</f>
        <v>8800</v>
      </c>
      <c r="P431" cm="1">
        <f t="array" ref="P431:U431">_xlfn.XLOOKUP(A431&amp;B431,'[1]2.4自动化报表-8月获客数据-非乱码'!$A:$A&amp;'[1]2.4自动化报表-8月获客数据-非乱码'!$B:$B,'[1]2.4自动化报表-8月获客数据-非乱码'!$C:$H)</f>
        <v>412</v>
      </c>
      <c r="Q431">
        <v>404</v>
      </c>
      <c r="R431">
        <v>368</v>
      </c>
      <c r="S431">
        <v>224</v>
      </c>
      <c r="T431">
        <v>125</v>
      </c>
      <c r="U431">
        <v>691</v>
      </c>
    </row>
    <row r="432" spans="1:21" x14ac:dyDescent="0.3">
      <c r="A432" s="1">
        <v>44059</v>
      </c>
      <c r="B432" t="s">
        <v>21</v>
      </c>
      <c r="C432" t="s">
        <v>108</v>
      </c>
      <c r="D432" t="s">
        <v>109</v>
      </c>
      <c r="E432" t="s">
        <v>112</v>
      </c>
      <c r="F432" s="2">
        <v>281201</v>
      </c>
      <c r="G432" s="2">
        <v>22170</v>
      </c>
      <c r="H432">
        <v>0</v>
      </c>
      <c r="I432" t="str">
        <f>_xlfn.XLOOKUP($C432,战区信息!$A$1:$A$5,战区信息!$B$1:$B$5)</f>
        <v>001</v>
      </c>
      <c r="J432" t="str">
        <f>_xlfn.XLOOKUP($C432,战区信息!$A$1:$A$5,战区信息!$C$1:$C$5)</f>
        <v>江永</v>
      </c>
      <c r="K432" t="str">
        <f>_xlfn.XLOOKUP($C432,战区信息!$A$1:$A$5,战区信息!$D$1:$D$5)</f>
        <v>一级战区</v>
      </c>
      <c r="L432" t="str">
        <f>_xlfn.XLOOKUP($D432,城市信息!$B$1:$B$14,城市信息!$A$1:$A$14)</f>
        <v>013</v>
      </c>
      <c r="M432" t="str">
        <f>_xlfn.XLOOKUP($D432,城市信息!$B$1:$B$14,城市信息!$C$1:$C$14)</f>
        <v>张建</v>
      </c>
      <c r="N432" t="str">
        <f>_xlfn.XLOOKUP($D432,城市信息!$B$1:$B$14,城市信息!$D$1:$D$14)</f>
        <v>二线</v>
      </c>
      <c r="O432">
        <f>_xlfn.XLOOKUP($D432,城市信息!$B$1:$B$14,城市信息!$E$1:$E$14)</f>
        <v>8800</v>
      </c>
      <c r="P432" cm="1">
        <f t="array" ref="P432:U432">_xlfn.XLOOKUP(A432&amp;B432,'[1]2.4自动化报表-8月获客数据-非乱码'!$A:$A&amp;'[1]2.4自动化报表-8月获客数据-非乱码'!$B:$B,'[1]2.4自动化报表-8月获客数据-非乱码'!$C:$H)</f>
        <v>6571</v>
      </c>
      <c r="Q432">
        <v>6309</v>
      </c>
      <c r="R432">
        <v>6011</v>
      </c>
      <c r="S432">
        <v>3472</v>
      </c>
      <c r="T432">
        <v>1907</v>
      </c>
      <c r="U432">
        <v>696</v>
      </c>
    </row>
    <row r="433" spans="1:21" x14ac:dyDescent="0.3">
      <c r="A433" s="1">
        <v>44059</v>
      </c>
      <c r="B433" t="s">
        <v>20</v>
      </c>
      <c r="C433" t="s">
        <v>108</v>
      </c>
      <c r="D433" t="s">
        <v>56</v>
      </c>
      <c r="E433" t="s">
        <v>113</v>
      </c>
      <c r="F433" s="2">
        <v>307036</v>
      </c>
      <c r="G433" s="2">
        <v>22257</v>
      </c>
      <c r="H433" s="2">
        <v>2097</v>
      </c>
      <c r="I433" t="str">
        <f>_xlfn.XLOOKUP($C433,战区信息!$A$1:$A$5,战区信息!$B$1:$B$5)</f>
        <v>001</v>
      </c>
      <c r="J433" t="str">
        <f>_xlfn.XLOOKUP($C433,战区信息!$A$1:$A$5,战区信息!$C$1:$C$5)</f>
        <v>江永</v>
      </c>
      <c r="K433" t="str">
        <f>_xlfn.XLOOKUP($C433,战区信息!$A$1:$A$5,战区信息!$D$1:$D$5)</f>
        <v>一级战区</v>
      </c>
      <c r="L433" t="str">
        <f>_xlfn.XLOOKUP($D433,城市信息!$B$1:$B$14,城市信息!$A$1:$A$14)</f>
        <v>001</v>
      </c>
      <c r="M433" t="str">
        <f>_xlfn.XLOOKUP($D433,城市信息!$B$1:$B$14,城市信息!$C$1:$C$14)</f>
        <v>吴刚</v>
      </c>
      <c r="N433" t="str">
        <f>_xlfn.XLOOKUP($D433,城市信息!$B$1:$B$14,城市信息!$D$1:$D$14)</f>
        <v>一线</v>
      </c>
      <c r="O433">
        <f>_xlfn.XLOOKUP($D433,城市信息!$B$1:$B$14,城市信息!$E$1:$E$14)</f>
        <v>12114</v>
      </c>
      <c r="P433" cm="1">
        <f t="array" ref="P433:U433">_xlfn.XLOOKUP(A433&amp;B433,'[1]2.4自动化报表-8月获客数据-非乱码'!$A:$A&amp;'[1]2.4自动化报表-8月获客数据-非乱码'!$B:$B,'[1]2.4自动化报表-8月获客数据-非乱码'!$C:$H)</f>
        <v>4626</v>
      </c>
      <c r="Q433">
        <v>4473</v>
      </c>
      <c r="R433">
        <v>4294</v>
      </c>
      <c r="S433">
        <v>2606</v>
      </c>
      <c r="T433">
        <v>1506</v>
      </c>
      <c r="U433">
        <v>696</v>
      </c>
    </row>
    <row r="434" spans="1:21" x14ac:dyDescent="0.3">
      <c r="A434" s="1">
        <v>44059</v>
      </c>
      <c r="B434" t="s">
        <v>19</v>
      </c>
      <c r="C434" t="s">
        <v>108</v>
      </c>
      <c r="D434" t="s">
        <v>56</v>
      </c>
      <c r="E434" t="s">
        <v>114</v>
      </c>
      <c r="F434" s="2">
        <v>111088</v>
      </c>
      <c r="G434" s="2">
        <v>7008</v>
      </c>
      <c r="H434" s="2">
        <v>4631</v>
      </c>
      <c r="I434" t="str">
        <f>_xlfn.XLOOKUP($C434,战区信息!$A$1:$A$5,战区信息!$B$1:$B$5)</f>
        <v>001</v>
      </c>
      <c r="J434" t="str">
        <f>_xlfn.XLOOKUP($C434,战区信息!$A$1:$A$5,战区信息!$C$1:$C$5)</f>
        <v>江永</v>
      </c>
      <c r="K434" t="str">
        <f>_xlfn.XLOOKUP($C434,战区信息!$A$1:$A$5,战区信息!$D$1:$D$5)</f>
        <v>一级战区</v>
      </c>
      <c r="L434" t="str">
        <f>_xlfn.XLOOKUP($D434,城市信息!$B$1:$B$14,城市信息!$A$1:$A$14)</f>
        <v>001</v>
      </c>
      <c r="M434" t="str">
        <f>_xlfn.XLOOKUP($D434,城市信息!$B$1:$B$14,城市信息!$C$1:$C$14)</f>
        <v>吴刚</v>
      </c>
      <c r="N434" t="str">
        <f>_xlfn.XLOOKUP($D434,城市信息!$B$1:$B$14,城市信息!$D$1:$D$14)</f>
        <v>一线</v>
      </c>
      <c r="O434">
        <f>_xlfn.XLOOKUP($D434,城市信息!$B$1:$B$14,城市信息!$E$1:$E$14)</f>
        <v>12114</v>
      </c>
      <c r="P434" cm="1">
        <f t="array" ref="P434:U434">_xlfn.XLOOKUP(A434&amp;B434,'[1]2.4自动化报表-8月获客数据-非乱码'!$A:$A&amp;'[1]2.4自动化报表-8月获客数据-非乱码'!$B:$B,'[1]2.4自动化报表-8月获客数据-非乱码'!$C:$H)</f>
        <v>2925</v>
      </c>
      <c r="Q434">
        <v>2858</v>
      </c>
      <c r="R434">
        <v>2747</v>
      </c>
      <c r="S434">
        <v>1612</v>
      </c>
      <c r="T434">
        <v>968</v>
      </c>
      <c r="U434">
        <v>696</v>
      </c>
    </row>
    <row r="435" spans="1:21" x14ac:dyDescent="0.3">
      <c r="A435" s="1">
        <v>44059</v>
      </c>
      <c r="B435" t="s">
        <v>18</v>
      </c>
      <c r="C435" t="s">
        <v>108</v>
      </c>
      <c r="D435" t="s">
        <v>56</v>
      </c>
      <c r="E435" t="s">
        <v>115</v>
      </c>
      <c r="F435" s="2">
        <v>111450</v>
      </c>
      <c r="G435" s="2">
        <v>7920</v>
      </c>
      <c r="H435" s="2">
        <v>8824</v>
      </c>
      <c r="I435" t="str">
        <f>_xlfn.XLOOKUP($C435,战区信息!$A$1:$A$5,战区信息!$B$1:$B$5)</f>
        <v>001</v>
      </c>
      <c r="J435" t="str">
        <f>_xlfn.XLOOKUP($C435,战区信息!$A$1:$A$5,战区信息!$C$1:$C$5)</f>
        <v>江永</v>
      </c>
      <c r="K435" t="str">
        <f>_xlfn.XLOOKUP($C435,战区信息!$A$1:$A$5,战区信息!$D$1:$D$5)</f>
        <v>一级战区</v>
      </c>
      <c r="L435" t="str">
        <f>_xlfn.XLOOKUP($D435,城市信息!$B$1:$B$14,城市信息!$A$1:$A$14)</f>
        <v>001</v>
      </c>
      <c r="M435" t="str">
        <f>_xlfn.XLOOKUP($D435,城市信息!$B$1:$B$14,城市信息!$C$1:$C$14)</f>
        <v>吴刚</v>
      </c>
      <c r="N435" t="str">
        <f>_xlfn.XLOOKUP($D435,城市信息!$B$1:$B$14,城市信息!$D$1:$D$14)</f>
        <v>一线</v>
      </c>
      <c r="O435">
        <f>_xlfn.XLOOKUP($D435,城市信息!$B$1:$B$14,城市信息!$E$1:$E$14)</f>
        <v>12114</v>
      </c>
      <c r="P435" cm="1">
        <f t="array" ref="P435:U435">_xlfn.XLOOKUP(A435&amp;B435,'[1]2.4自动化报表-8月获客数据-非乱码'!$A:$A&amp;'[1]2.4自动化报表-8月获客数据-非乱码'!$B:$B,'[1]2.4自动化报表-8月获客数据-非乱码'!$C:$H)</f>
        <v>2578</v>
      </c>
      <c r="Q435">
        <v>2537</v>
      </c>
      <c r="R435">
        <v>2430</v>
      </c>
      <c r="S435">
        <v>1471</v>
      </c>
      <c r="T435">
        <v>795</v>
      </c>
      <c r="U435">
        <v>691</v>
      </c>
    </row>
    <row r="436" spans="1:21" x14ac:dyDescent="0.3">
      <c r="A436" s="1">
        <v>44059</v>
      </c>
      <c r="B436" t="s">
        <v>17</v>
      </c>
      <c r="C436" t="s">
        <v>108</v>
      </c>
      <c r="D436" t="s">
        <v>59</v>
      </c>
      <c r="E436" t="s">
        <v>116</v>
      </c>
      <c r="F436" s="2">
        <v>38561</v>
      </c>
      <c r="G436" s="2">
        <v>2018</v>
      </c>
      <c r="H436">
        <v>0</v>
      </c>
      <c r="I436" t="str">
        <f>_xlfn.XLOOKUP($C436,战区信息!$A$1:$A$5,战区信息!$B$1:$B$5)</f>
        <v>001</v>
      </c>
      <c r="J436" t="str">
        <f>_xlfn.XLOOKUP($C436,战区信息!$A$1:$A$5,战区信息!$C$1:$C$5)</f>
        <v>江永</v>
      </c>
      <c r="K436" t="str">
        <f>_xlfn.XLOOKUP($C436,战区信息!$A$1:$A$5,战区信息!$D$1:$D$5)</f>
        <v>一级战区</v>
      </c>
      <c r="L436" t="str">
        <f>_xlfn.XLOOKUP($D436,城市信息!$B$1:$B$14,城市信息!$A$1:$A$14)</f>
        <v>004</v>
      </c>
      <c r="M436" t="str">
        <f>_xlfn.XLOOKUP($D436,城市信息!$B$1:$B$14,城市信息!$C$1:$C$14)</f>
        <v>苏川</v>
      </c>
      <c r="N436" t="str">
        <f>_xlfn.XLOOKUP($D436,城市信息!$B$1:$B$14,城市信息!$D$1:$D$14)</f>
        <v>二线</v>
      </c>
      <c r="O436">
        <f>_xlfn.XLOOKUP($D436,城市信息!$B$1:$B$14,城市信息!$E$1:$E$14)</f>
        <v>9912</v>
      </c>
      <c r="P436" cm="1">
        <f t="array" ref="P436:U436">_xlfn.XLOOKUP(A436&amp;B436,'[1]2.4自动化报表-8月获客数据-非乱码'!$A:$A&amp;'[1]2.4自动化报表-8月获客数据-非乱码'!$B:$B,'[1]2.4自动化报表-8月获客数据-非乱码'!$C:$H)</f>
        <v>1788</v>
      </c>
      <c r="Q436">
        <v>1759</v>
      </c>
      <c r="R436">
        <v>1705</v>
      </c>
      <c r="S436">
        <v>988</v>
      </c>
      <c r="T436">
        <v>588</v>
      </c>
      <c r="U436">
        <v>696</v>
      </c>
    </row>
    <row r="437" spans="1:21" x14ac:dyDescent="0.3">
      <c r="A437" s="1">
        <v>44059</v>
      </c>
      <c r="B437" t="s">
        <v>16</v>
      </c>
      <c r="C437" t="s">
        <v>108</v>
      </c>
      <c r="D437" t="s">
        <v>59</v>
      </c>
      <c r="E437" t="s">
        <v>117</v>
      </c>
      <c r="F437" s="2">
        <v>57577</v>
      </c>
      <c r="G437" s="2">
        <v>3306</v>
      </c>
      <c r="H437">
        <v>0</v>
      </c>
      <c r="I437" t="str">
        <f>_xlfn.XLOOKUP($C437,战区信息!$A$1:$A$5,战区信息!$B$1:$B$5)</f>
        <v>001</v>
      </c>
      <c r="J437" t="str">
        <f>_xlfn.XLOOKUP($C437,战区信息!$A$1:$A$5,战区信息!$C$1:$C$5)</f>
        <v>江永</v>
      </c>
      <c r="K437" t="str">
        <f>_xlfn.XLOOKUP($C437,战区信息!$A$1:$A$5,战区信息!$D$1:$D$5)</f>
        <v>一级战区</v>
      </c>
      <c r="L437" t="str">
        <f>_xlfn.XLOOKUP($D437,城市信息!$B$1:$B$14,城市信息!$A$1:$A$14)</f>
        <v>004</v>
      </c>
      <c r="M437" t="str">
        <f>_xlfn.XLOOKUP($D437,城市信息!$B$1:$B$14,城市信息!$C$1:$C$14)</f>
        <v>苏川</v>
      </c>
      <c r="N437" t="str">
        <f>_xlfn.XLOOKUP($D437,城市信息!$B$1:$B$14,城市信息!$D$1:$D$14)</f>
        <v>二线</v>
      </c>
      <c r="O437">
        <f>_xlfn.XLOOKUP($D437,城市信息!$B$1:$B$14,城市信息!$E$1:$E$14)</f>
        <v>9912</v>
      </c>
      <c r="P437" cm="1">
        <f t="array" ref="P437:U437">_xlfn.XLOOKUP(A437&amp;B437,'[1]2.4自动化报表-8月获客数据-非乱码'!$A:$A&amp;'[1]2.4自动化报表-8月获客数据-非乱码'!$B:$B,'[1]2.4自动化报表-8月获客数据-非乱码'!$C:$H)</f>
        <v>2105</v>
      </c>
      <c r="Q437">
        <v>2042</v>
      </c>
      <c r="R437">
        <v>1946</v>
      </c>
      <c r="S437">
        <v>1120</v>
      </c>
      <c r="T437">
        <v>651</v>
      </c>
      <c r="U437">
        <v>696</v>
      </c>
    </row>
    <row r="438" spans="1:21" x14ac:dyDescent="0.3">
      <c r="A438" s="1">
        <v>44059</v>
      </c>
      <c r="B438" t="s">
        <v>15</v>
      </c>
      <c r="C438" t="s">
        <v>108</v>
      </c>
      <c r="D438" t="s">
        <v>59</v>
      </c>
      <c r="E438" t="s">
        <v>118</v>
      </c>
      <c r="F438" s="2">
        <v>44500</v>
      </c>
      <c r="G438" s="2">
        <v>3389</v>
      </c>
      <c r="H438">
        <v>0</v>
      </c>
      <c r="I438" t="str">
        <f>_xlfn.XLOOKUP($C438,战区信息!$A$1:$A$5,战区信息!$B$1:$B$5)</f>
        <v>001</v>
      </c>
      <c r="J438" t="str">
        <f>_xlfn.XLOOKUP($C438,战区信息!$A$1:$A$5,战区信息!$C$1:$C$5)</f>
        <v>江永</v>
      </c>
      <c r="K438" t="str">
        <f>_xlfn.XLOOKUP($C438,战区信息!$A$1:$A$5,战区信息!$D$1:$D$5)</f>
        <v>一级战区</v>
      </c>
      <c r="L438" t="str">
        <f>_xlfn.XLOOKUP($D438,城市信息!$B$1:$B$14,城市信息!$A$1:$A$14)</f>
        <v>004</v>
      </c>
      <c r="M438" t="str">
        <f>_xlfn.XLOOKUP($D438,城市信息!$B$1:$B$14,城市信息!$C$1:$C$14)</f>
        <v>苏川</v>
      </c>
      <c r="N438" t="str">
        <f>_xlfn.XLOOKUP($D438,城市信息!$B$1:$B$14,城市信息!$D$1:$D$14)</f>
        <v>二线</v>
      </c>
      <c r="O438">
        <f>_xlfn.XLOOKUP($D438,城市信息!$B$1:$B$14,城市信息!$E$1:$E$14)</f>
        <v>9912</v>
      </c>
      <c r="P438" cm="1">
        <f t="array" ref="P438:U438">_xlfn.XLOOKUP(A438&amp;B438,'[1]2.4自动化报表-8月获客数据-非乱码'!$A:$A&amp;'[1]2.4自动化报表-8月获客数据-非乱码'!$B:$B,'[1]2.4自动化报表-8月获客数据-非乱码'!$C:$H)</f>
        <v>1560</v>
      </c>
      <c r="Q438">
        <v>1532</v>
      </c>
      <c r="R438">
        <v>1473</v>
      </c>
      <c r="S438">
        <v>921</v>
      </c>
      <c r="T438">
        <v>466</v>
      </c>
      <c r="U438">
        <v>698</v>
      </c>
    </row>
    <row r="439" spans="1:21" x14ac:dyDescent="0.3">
      <c r="A439" s="1">
        <v>44059</v>
      </c>
      <c r="B439" t="s">
        <v>14</v>
      </c>
      <c r="C439" t="s">
        <v>108</v>
      </c>
      <c r="D439" t="s">
        <v>59</v>
      </c>
      <c r="E439" t="s">
        <v>119</v>
      </c>
      <c r="F439" s="2">
        <v>126004</v>
      </c>
      <c r="G439" s="2">
        <v>8842</v>
      </c>
      <c r="H439">
        <v>0</v>
      </c>
      <c r="I439" t="str">
        <f>_xlfn.XLOOKUP($C439,战区信息!$A$1:$A$5,战区信息!$B$1:$B$5)</f>
        <v>001</v>
      </c>
      <c r="J439" t="str">
        <f>_xlfn.XLOOKUP($C439,战区信息!$A$1:$A$5,战区信息!$C$1:$C$5)</f>
        <v>江永</v>
      </c>
      <c r="K439" t="str">
        <f>_xlfn.XLOOKUP($C439,战区信息!$A$1:$A$5,战区信息!$D$1:$D$5)</f>
        <v>一级战区</v>
      </c>
      <c r="L439" t="str">
        <f>_xlfn.XLOOKUP($D439,城市信息!$B$1:$B$14,城市信息!$A$1:$A$14)</f>
        <v>004</v>
      </c>
      <c r="M439" t="str">
        <f>_xlfn.XLOOKUP($D439,城市信息!$B$1:$B$14,城市信息!$C$1:$C$14)</f>
        <v>苏川</v>
      </c>
      <c r="N439" t="str">
        <f>_xlfn.XLOOKUP($D439,城市信息!$B$1:$B$14,城市信息!$D$1:$D$14)</f>
        <v>二线</v>
      </c>
      <c r="O439">
        <f>_xlfn.XLOOKUP($D439,城市信息!$B$1:$B$14,城市信息!$E$1:$E$14)</f>
        <v>9912</v>
      </c>
      <c r="P439" cm="1">
        <f t="array" ref="P439:U439">_xlfn.XLOOKUP(A439&amp;B439,'[1]2.4自动化报表-8月获客数据-非乱码'!$A:$A&amp;'[1]2.4自动化报表-8月获客数据-非乱码'!$B:$B,'[1]2.4自动化报表-8月获客数据-非乱码'!$C:$H)</f>
        <v>1853</v>
      </c>
      <c r="Q439">
        <v>1786</v>
      </c>
      <c r="R439">
        <v>1718</v>
      </c>
      <c r="S439">
        <v>1055</v>
      </c>
      <c r="T439">
        <v>581</v>
      </c>
      <c r="U439">
        <v>699</v>
      </c>
    </row>
    <row r="440" spans="1:21" x14ac:dyDescent="0.3">
      <c r="A440" s="1">
        <v>44059</v>
      </c>
      <c r="B440" t="s">
        <v>13</v>
      </c>
      <c r="C440" t="s">
        <v>108</v>
      </c>
      <c r="D440" t="s">
        <v>60</v>
      </c>
      <c r="E440" t="s">
        <v>120</v>
      </c>
      <c r="F440" s="2">
        <v>155764</v>
      </c>
      <c r="G440" s="2">
        <v>10498</v>
      </c>
      <c r="H440" s="2">
        <v>7307</v>
      </c>
      <c r="I440" t="str">
        <f>_xlfn.XLOOKUP($C440,战区信息!$A$1:$A$5,战区信息!$B$1:$B$5)</f>
        <v>001</v>
      </c>
      <c r="J440" t="str">
        <f>_xlfn.XLOOKUP($C440,战区信息!$A$1:$A$5,战区信息!$C$1:$C$5)</f>
        <v>江永</v>
      </c>
      <c r="K440" t="str">
        <f>_xlfn.XLOOKUP($C440,战区信息!$A$1:$A$5,战区信息!$D$1:$D$5)</f>
        <v>一级战区</v>
      </c>
      <c r="L440" t="str">
        <f>_xlfn.XLOOKUP($D440,城市信息!$B$1:$B$14,城市信息!$A$1:$A$14)</f>
        <v>005</v>
      </c>
      <c r="M440" t="str">
        <f>_xlfn.XLOOKUP($D440,城市信息!$B$1:$B$14,城市信息!$C$1:$C$14)</f>
        <v>侯阳冰</v>
      </c>
      <c r="N440" t="str">
        <f>_xlfn.XLOOKUP($D440,城市信息!$B$1:$B$14,城市信息!$D$1:$D$14)</f>
        <v>二线</v>
      </c>
      <c r="O440">
        <f>_xlfn.XLOOKUP($D440,城市信息!$B$1:$B$14,城市信息!$E$1:$E$14)</f>
        <v>8694</v>
      </c>
      <c r="P440" cm="1">
        <f t="array" ref="P440:U440">_xlfn.XLOOKUP(A440&amp;B440,'[1]2.4自动化报表-8月获客数据-非乱码'!$A:$A&amp;'[1]2.4自动化报表-8月获客数据-非乱码'!$B:$B,'[1]2.4自动化报表-8月获客数据-非乱码'!$C:$H)</f>
        <v>4815</v>
      </c>
      <c r="Q440">
        <v>4691</v>
      </c>
      <c r="R440">
        <v>4470</v>
      </c>
      <c r="S440">
        <v>2769</v>
      </c>
      <c r="T440">
        <v>1393</v>
      </c>
      <c r="U440">
        <v>695</v>
      </c>
    </row>
    <row r="441" spans="1:21" x14ac:dyDescent="0.3">
      <c r="A441" s="1">
        <v>44059</v>
      </c>
      <c r="B441" t="s">
        <v>12</v>
      </c>
      <c r="C441" t="s">
        <v>108</v>
      </c>
      <c r="D441" t="s">
        <v>60</v>
      </c>
      <c r="E441" t="s">
        <v>121</v>
      </c>
      <c r="F441" s="2">
        <v>56556</v>
      </c>
      <c r="G441" s="2">
        <v>4490</v>
      </c>
      <c r="H441" s="2">
        <v>1035</v>
      </c>
      <c r="I441" t="str">
        <f>_xlfn.XLOOKUP($C441,战区信息!$A$1:$A$5,战区信息!$B$1:$B$5)</f>
        <v>001</v>
      </c>
      <c r="J441" t="str">
        <f>_xlfn.XLOOKUP($C441,战区信息!$A$1:$A$5,战区信息!$C$1:$C$5)</f>
        <v>江永</v>
      </c>
      <c r="K441" t="str">
        <f>_xlfn.XLOOKUP($C441,战区信息!$A$1:$A$5,战区信息!$D$1:$D$5)</f>
        <v>一级战区</v>
      </c>
      <c r="L441" t="str">
        <f>_xlfn.XLOOKUP($D441,城市信息!$B$1:$B$14,城市信息!$A$1:$A$14)</f>
        <v>005</v>
      </c>
      <c r="M441" t="str">
        <f>_xlfn.XLOOKUP($D441,城市信息!$B$1:$B$14,城市信息!$C$1:$C$14)</f>
        <v>侯阳冰</v>
      </c>
      <c r="N441" t="str">
        <f>_xlfn.XLOOKUP($D441,城市信息!$B$1:$B$14,城市信息!$D$1:$D$14)</f>
        <v>二线</v>
      </c>
      <c r="O441">
        <f>_xlfn.XLOOKUP($D441,城市信息!$B$1:$B$14,城市信息!$E$1:$E$14)</f>
        <v>8694</v>
      </c>
      <c r="P441" cm="1">
        <f t="array" ref="P441:U441">_xlfn.XLOOKUP(A441&amp;B441,'[1]2.4自动化报表-8月获客数据-非乱码'!$A:$A&amp;'[1]2.4自动化报表-8月获客数据-非乱码'!$B:$B,'[1]2.4自动化报表-8月获客数据-非乱码'!$C:$H)</f>
        <v>1255</v>
      </c>
      <c r="Q441">
        <v>1237</v>
      </c>
      <c r="R441">
        <v>1176</v>
      </c>
      <c r="S441">
        <v>739</v>
      </c>
      <c r="T441">
        <v>383</v>
      </c>
      <c r="U441">
        <v>696</v>
      </c>
    </row>
    <row r="442" spans="1:21" x14ac:dyDescent="0.3">
      <c r="A442" s="1">
        <v>44059</v>
      </c>
      <c r="B442" t="s">
        <v>11</v>
      </c>
      <c r="C442" t="s">
        <v>108</v>
      </c>
      <c r="D442" t="s">
        <v>58</v>
      </c>
      <c r="E442" t="s">
        <v>122</v>
      </c>
      <c r="F442" s="2">
        <v>263411</v>
      </c>
      <c r="G442" s="2">
        <v>18728</v>
      </c>
      <c r="H442">
        <v>0</v>
      </c>
      <c r="I442" t="str">
        <f>_xlfn.XLOOKUP($C442,战区信息!$A$1:$A$5,战区信息!$B$1:$B$5)</f>
        <v>001</v>
      </c>
      <c r="J442" t="str">
        <f>_xlfn.XLOOKUP($C442,战区信息!$A$1:$A$5,战区信息!$C$1:$C$5)</f>
        <v>江永</v>
      </c>
      <c r="K442" t="str">
        <f>_xlfn.XLOOKUP($C442,战区信息!$A$1:$A$5,战区信息!$D$1:$D$5)</f>
        <v>一级战区</v>
      </c>
      <c r="L442" t="str">
        <f>_xlfn.XLOOKUP($D442,城市信息!$B$1:$B$14,城市信息!$A$1:$A$14)</f>
        <v>003</v>
      </c>
      <c r="M442" t="str">
        <f>_xlfn.XLOOKUP($D442,城市信息!$B$1:$B$14,城市信息!$C$1:$C$14)</f>
        <v>杜光亮</v>
      </c>
      <c r="N442" t="str">
        <f>_xlfn.XLOOKUP($D442,城市信息!$B$1:$B$14,城市信息!$D$1:$D$14)</f>
        <v>二线</v>
      </c>
      <c r="O442">
        <f>_xlfn.XLOOKUP($D442,城市信息!$B$1:$B$14,城市信息!$E$1:$E$14)</f>
        <v>10499</v>
      </c>
      <c r="P442" cm="1">
        <f t="array" ref="P442:U442">_xlfn.XLOOKUP(A442&amp;B442,'[1]2.4自动化报表-8月获客数据-非乱码'!$A:$A&amp;'[1]2.4自动化报表-8月获客数据-非乱码'!$B:$B,'[1]2.4自动化报表-8月获客数据-非乱码'!$C:$H)</f>
        <v>5771</v>
      </c>
      <c r="Q442">
        <v>5534</v>
      </c>
      <c r="R442">
        <v>5243</v>
      </c>
      <c r="S442">
        <v>3227</v>
      </c>
      <c r="T442">
        <v>1595</v>
      </c>
      <c r="U442">
        <v>701</v>
      </c>
    </row>
    <row r="443" spans="1:21" x14ac:dyDescent="0.3">
      <c r="A443" s="1">
        <v>44059</v>
      </c>
      <c r="B443" t="s">
        <v>10</v>
      </c>
      <c r="C443" t="s">
        <v>108</v>
      </c>
      <c r="D443" t="s">
        <v>58</v>
      </c>
      <c r="E443" t="s">
        <v>123</v>
      </c>
      <c r="F443" s="2">
        <v>78743</v>
      </c>
      <c r="G443" s="2">
        <v>6512</v>
      </c>
      <c r="H443">
        <v>0</v>
      </c>
      <c r="I443" t="str">
        <f>_xlfn.XLOOKUP($C443,战区信息!$A$1:$A$5,战区信息!$B$1:$B$5)</f>
        <v>001</v>
      </c>
      <c r="J443" t="str">
        <f>_xlfn.XLOOKUP($C443,战区信息!$A$1:$A$5,战区信息!$C$1:$C$5)</f>
        <v>江永</v>
      </c>
      <c r="K443" t="str">
        <f>_xlfn.XLOOKUP($C443,战区信息!$A$1:$A$5,战区信息!$D$1:$D$5)</f>
        <v>一级战区</v>
      </c>
      <c r="L443" t="str">
        <f>_xlfn.XLOOKUP($D443,城市信息!$B$1:$B$14,城市信息!$A$1:$A$14)</f>
        <v>003</v>
      </c>
      <c r="M443" t="str">
        <f>_xlfn.XLOOKUP($D443,城市信息!$B$1:$B$14,城市信息!$C$1:$C$14)</f>
        <v>杜光亮</v>
      </c>
      <c r="N443" t="str">
        <f>_xlfn.XLOOKUP($D443,城市信息!$B$1:$B$14,城市信息!$D$1:$D$14)</f>
        <v>二线</v>
      </c>
      <c r="O443">
        <f>_xlfn.XLOOKUP($D443,城市信息!$B$1:$B$14,城市信息!$E$1:$E$14)</f>
        <v>10499</v>
      </c>
      <c r="P443" cm="1">
        <f t="array" ref="P443:U443">_xlfn.XLOOKUP(A443&amp;B443,'[1]2.4自动化报表-8月获客数据-非乱码'!$A:$A&amp;'[1]2.4自动化报表-8月获客数据-非乱码'!$B:$B,'[1]2.4自动化报表-8月获客数据-非乱码'!$C:$H)</f>
        <v>1773</v>
      </c>
      <c r="Q443">
        <v>1738</v>
      </c>
      <c r="R443">
        <v>1690</v>
      </c>
      <c r="S443">
        <v>1017</v>
      </c>
      <c r="T443">
        <v>614</v>
      </c>
      <c r="U443">
        <v>701</v>
      </c>
    </row>
    <row r="444" spans="1:21" x14ac:dyDescent="0.3">
      <c r="A444" s="1">
        <v>44059</v>
      </c>
      <c r="B444" t="s">
        <v>9</v>
      </c>
      <c r="C444" t="s">
        <v>108</v>
      </c>
      <c r="D444" t="s">
        <v>58</v>
      </c>
      <c r="E444" t="s">
        <v>124</v>
      </c>
      <c r="F444" s="2">
        <v>224533</v>
      </c>
      <c r="G444" s="2">
        <v>10710</v>
      </c>
      <c r="H444" s="2">
        <v>14545</v>
      </c>
      <c r="I444" t="str">
        <f>_xlfn.XLOOKUP($C444,战区信息!$A$1:$A$5,战区信息!$B$1:$B$5)</f>
        <v>001</v>
      </c>
      <c r="J444" t="str">
        <f>_xlfn.XLOOKUP($C444,战区信息!$A$1:$A$5,战区信息!$C$1:$C$5)</f>
        <v>江永</v>
      </c>
      <c r="K444" t="str">
        <f>_xlfn.XLOOKUP($C444,战区信息!$A$1:$A$5,战区信息!$D$1:$D$5)</f>
        <v>一级战区</v>
      </c>
      <c r="L444" t="str">
        <f>_xlfn.XLOOKUP($D444,城市信息!$B$1:$B$14,城市信息!$A$1:$A$14)</f>
        <v>003</v>
      </c>
      <c r="M444" t="str">
        <f>_xlfn.XLOOKUP($D444,城市信息!$B$1:$B$14,城市信息!$C$1:$C$14)</f>
        <v>杜光亮</v>
      </c>
      <c r="N444" t="str">
        <f>_xlfn.XLOOKUP($D444,城市信息!$B$1:$B$14,城市信息!$D$1:$D$14)</f>
        <v>二线</v>
      </c>
      <c r="O444">
        <f>_xlfn.XLOOKUP($D444,城市信息!$B$1:$B$14,城市信息!$E$1:$E$14)</f>
        <v>10499</v>
      </c>
      <c r="P444" cm="1">
        <f t="array" ref="P444:U444">_xlfn.XLOOKUP(A444&amp;B444,'[1]2.4自动化报表-8月获客数据-非乱码'!$A:$A&amp;'[1]2.4自动化报表-8月获客数据-非乱码'!$B:$B,'[1]2.4自动化报表-8月获客数据-非乱码'!$C:$H)</f>
        <v>4655</v>
      </c>
      <c r="Q444">
        <v>4534</v>
      </c>
      <c r="R444">
        <v>4374</v>
      </c>
      <c r="S444">
        <v>2461</v>
      </c>
      <c r="T444">
        <v>1381</v>
      </c>
      <c r="U444">
        <v>694</v>
      </c>
    </row>
    <row r="445" spans="1:21" x14ac:dyDescent="0.3">
      <c r="A445" s="1">
        <v>44059</v>
      </c>
      <c r="B445" t="s">
        <v>8</v>
      </c>
      <c r="C445" t="s">
        <v>125</v>
      </c>
      <c r="D445" t="s">
        <v>66</v>
      </c>
      <c r="E445" t="s">
        <v>126</v>
      </c>
      <c r="F445" s="2">
        <v>110010</v>
      </c>
      <c r="G445" s="2">
        <v>8220</v>
      </c>
      <c r="H445">
        <v>0</v>
      </c>
      <c r="I445" t="str">
        <f>_xlfn.XLOOKUP($C445,战区信息!$A$1:$A$5,战区信息!$B$1:$B$5)</f>
        <v>004</v>
      </c>
      <c r="J445" t="str">
        <f>_xlfn.XLOOKUP($C445,战区信息!$A$1:$A$5,战区信息!$C$1:$C$5)</f>
        <v>沈乐欣</v>
      </c>
      <c r="K445" t="str">
        <f>_xlfn.XLOOKUP($C445,战区信息!$A$1:$A$5,战区信息!$D$1:$D$5)</f>
        <v>三级战区</v>
      </c>
      <c r="L445" t="str">
        <f>_xlfn.XLOOKUP($D445,城市信息!$B$1:$B$14,城市信息!$A$1:$A$14)</f>
        <v>011</v>
      </c>
      <c r="M445" t="str">
        <f>_xlfn.XLOOKUP($D445,城市信息!$B$1:$B$14,城市信息!$C$1:$C$14)</f>
        <v>冯谦</v>
      </c>
      <c r="N445" t="str">
        <f>_xlfn.XLOOKUP($D445,城市信息!$B$1:$B$14,城市信息!$D$1:$D$14)</f>
        <v>一线</v>
      </c>
      <c r="O445">
        <f>_xlfn.XLOOKUP($D445,城市信息!$B$1:$B$14,城市信息!$E$1:$E$14)</f>
        <v>8244</v>
      </c>
      <c r="P445" cm="1">
        <f t="array" ref="P445:U445">_xlfn.XLOOKUP(A445&amp;B445,'[1]2.4自动化报表-8月获客数据-非乱码'!$A:$A&amp;'[1]2.4自动化报表-8月获客数据-非乱码'!$B:$B,'[1]2.4自动化报表-8月获客数据-非乱码'!$C:$H)</f>
        <v>2015</v>
      </c>
      <c r="Q445">
        <v>1995</v>
      </c>
      <c r="R445">
        <v>1935</v>
      </c>
      <c r="S445">
        <v>1068</v>
      </c>
      <c r="T445">
        <v>701</v>
      </c>
      <c r="U445">
        <v>685</v>
      </c>
    </row>
    <row r="446" spans="1:21" x14ac:dyDescent="0.3">
      <c r="A446" s="1">
        <v>44059</v>
      </c>
      <c r="B446" t="s">
        <v>6</v>
      </c>
      <c r="C446" t="s">
        <v>125</v>
      </c>
      <c r="D446" t="s">
        <v>62</v>
      </c>
      <c r="E446" t="s">
        <v>128</v>
      </c>
      <c r="F446" s="2">
        <v>37553</v>
      </c>
      <c r="G446" s="2">
        <v>1927</v>
      </c>
      <c r="H446">
        <v>0</v>
      </c>
      <c r="I446" t="str">
        <f>_xlfn.XLOOKUP($C446,战区信息!$A$1:$A$5,战区信息!$B$1:$B$5)</f>
        <v>004</v>
      </c>
      <c r="J446" t="str">
        <f>_xlfn.XLOOKUP($C446,战区信息!$A$1:$A$5,战区信息!$C$1:$C$5)</f>
        <v>沈乐欣</v>
      </c>
      <c r="K446" t="str">
        <f>_xlfn.XLOOKUP($C446,战区信息!$A$1:$A$5,战区信息!$D$1:$D$5)</f>
        <v>三级战区</v>
      </c>
      <c r="L446" t="str">
        <f>_xlfn.XLOOKUP($D446,城市信息!$B$1:$B$14,城市信息!$A$1:$A$14)</f>
        <v>007</v>
      </c>
      <c r="M446" t="str">
        <f>_xlfn.XLOOKUP($D446,城市信息!$B$1:$B$14,城市信息!$C$1:$C$14)</f>
        <v>范俊发</v>
      </c>
      <c r="N446" t="str">
        <f>_xlfn.XLOOKUP($D446,城市信息!$B$1:$B$14,城市信息!$D$1:$D$14)</f>
        <v>一线</v>
      </c>
      <c r="O446">
        <f>_xlfn.XLOOKUP($D446,城市信息!$B$1:$B$14,城市信息!$E$1:$E$14)</f>
        <v>12358</v>
      </c>
      <c r="P446" cm="1">
        <f t="array" ref="P446:U446">_xlfn.XLOOKUP(A446&amp;B446,'[1]2.4自动化报表-8月获客数据-非乱码'!$A:$A&amp;'[1]2.4自动化报表-8月获客数据-非乱码'!$B:$B,'[1]2.4自动化报表-8月获客数据-非乱码'!$C:$H)</f>
        <v>1721</v>
      </c>
      <c r="Q446">
        <v>1698</v>
      </c>
      <c r="R446">
        <v>1663</v>
      </c>
      <c r="S446">
        <v>1003</v>
      </c>
      <c r="T446">
        <v>582</v>
      </c>
      <c r="U446">
        <v>688</v>
      </c>
    </row>
    <row r="447" spans="1:21" x14ac:dyDescent="0.3">
      <c r="A447" s="1">
        <v>44059</v>
      </c>
      <c r="B447" t="s">
        <v>5</v>
      </c>
      <c r="C447" t="s">
        <v>125</v>
      </c>
      <c r="D447" t="s">
        <v>62</v>
      </c>
      <c r="E447" t="s">
        <v>129</v>
      </c>
      <c r="F447" s="2">
        <v>43892</v>
      </c>
      <c r="G447" s="2">
        <v>2464</v>
      </c>
      <c r="H447">
        <v>0</v>
      </c>
      <c r="I447" t="str">
        <f>_xlfn.XLOOKUP($C447,战区信息!$A$1:$A$5,战区信息!$B$1:$B$5)</f>
        <v>004</v>
      </c>
      <c r="J447" t="str">
        <f>_xlfn.XLOOKUP($C447,战区信息!$A$1:$A$5,战区信息!$C$1:$C$5)</f>
        <v>沈乐欣</v>
      </c>
      <c r="K447" t="str">
        <f>_xlfn.XLOOKUP($C447,战区信息!$A$1:$A$5,战区信息!$D$1:$D$5)</f>
        <v>三级战区</v>
      </c>
      <c r="L447" t="str">
        <f>_xlfn.XLOOKUP($D447,城市信息!$B$1:$B$14,城市信息!$A$1:$A$14)</f>
        <v>007</v>
      </c>
      <c r="M447" t="str">
        <f>_xlfn.XLOOKUP($D447,城市信息!$B$1:$B$14,城市信息!$C$1:$C$14)</f>
        <v>范俊发</v>
      </c>
      <c r="N447" t="str">
        <f>_xlfn.XLOOKUP($D447,城市信息!$B$1:$B$14,城市信息!$D$1:$D$14)</f>
        <v>一线</v>
      </c>
      <c r="O447">
        <f>_xlfn.XLOOKUP($D447,城市信息!$B$1:$B$14,城市信息!$E$1:$E$14)</f>
        <v>12358</v>
      </c>
      <c r="P447" cm="1">
        <f t="array" ref="P447:U447">_xlfn.XLOOKUP(A447&amp;B447,'[1]2.4自动化报表-8月获客数据-非乱码'!$A:$A&amp;'[1]2.4自动化报表-8月获客数据-非乱码'!$B:$B,'[1]2.4自动化报表-8月获客数据-非乱码'!$C:$H)</f>
        <v>1541</v>
      </c>
      <c r="Q447">
        <v>1505</v>
      </c>
      <c r="R447">
        <v>1441</v>
      </c>
      <c r="S447">
        <v>925</v>
      </c>
      <c r="T447">
        <v>478</v>
      </c>
      <c r="U447">
        <v>691</v>
      </c>
    </row>
    <row r="448" spans="1:21" x14ac:dyDescent="0.3">
      <c r="A448" s="1">
        <v>44060</v>
      </c>
      <c r="B448" t="s">
        <v>32</v>
      </c>
      <c r="C448" t="s">
        <v>97</v>
      </c>
      <c r="D448" t="s">
        <v>67</v>
      </c>
      <c r="E448" t="s">
        <v>98</v>
      </c>
      <c r="F448" s="2">
        <v>22553</v>
      </c>
      <c r="G448" s="2">
        <v>1605</v>
      </c>
      <c r="H448">
        <v>0</v>
      </c>
      <c r="I448" t="str">
        <f>_xlfn.XLOOKUP($C448,战区信息!$A$1:$A$5,战区信息!$B$1:$B$5)</f>
        <v>003</v>
      </c>
      <c r="J448" t="str">
        <f>_xlfn.XLOOKUP($C448,战区信息!$A$1:$A$5,战区信息!$C$1:$C$5)</f>
        <v>田楠</v>
      </c>
      <c r="K448" t="str">
        <f>_xlfn.XLOOKUP($C448,战区信息!$A$1:$A$5,战区信息!$D$1:$D$5)</f>
        <v>二级战区</v>
      </c>
      <c r="L448" t="str">
        <f>_xlfn.XLOOKUP($D448,城市信息!$B$1:$B$14,城市信息!$A$1:$A$14)</f>
        <v>012</v>
      </c>
      <c r="M448" t="str">
        <f>_xlfn.XLOOKUP($D448,城市信息!$B$1:$B$14,城市信息!$C$1:$C$14)</f>
        <v>于子默</v>
      </c>
      <c r="N448" t="str">
        <f>_xlfn.XLOOKUP($D448,城市信息!$B$1:$B$14,城市信息!$D$1:$D$14)</f>
        <v>二线</v>
      </c>
      <c r="O448">
        <f>_xlfn.XLOOKUP($D448,城市信息!$B$1:$B$14,城市信息!$E$1:$E$14)</f>
        <v>9713</v>
      </c>
      <c r="P448" cm="1">
        <f t="array" ref="P448:U448">_xlfn.XLOOKUP(A448&amp;B448,'[1]2.4自动化报表-8月获客数据-非乱码'!$A:$A&amp;'[1]2.4自动化报表-8月获客数据-非乱码'!$B:$B,'[1]2.4自动化报表-8月获客数据-非乱码'!$C:$H)</f>
        <v>1313</v>
      </c>
      <c r="Q448">
        <v>1289</v>
      </c>
      <c r="R448">
        <v>1268</v>
      </c>
      <c r="S448">
        <v>819</v>
      </c>
      <c r="T448">
        <v>466</v>
      </c>
      <c r="U448">
        <v>693</v>
      </c>
    </row>
    <row r="449" spans="1:21" x14ac:dyDescent="0.3">
      <c r="A449" s="1">
        <v>44060</v>
      </c>
      <c r="B449" t="s">
        <v>31</v>
      </c>
      <c r="C449" t="s">
        <v>97</v>
      </c>
      <c r="D449" t="s">
        <v>65</v>
      </c>
      <c r="E449" t="s">
        <v>99</v>
      </c>
      <c r="F449" s="2">
        <v>66902</v>
      </c>
      <c r="G449" s="2">
        <v>2819</v>
      </c>
      <c r="H449">
        <v>0</v>
      </c>
      <c r="I449" t="str">
        <f>_xlfn.XLOOKUP($C449,战区信息!$A$1:$A$5,战区信息!$B$1:$B$5)</f>
        <v>003</v>
      </c>
      <c r="J449" t="str">
        <f>_xlfn.XLOOKUP($C449,战区信息!$A$1:$A$5,战区信息!$C$1:$C$5)</f>
        <v>田楠</v>
      </c>
      <c r="K449" t="str">
        <f>_xlfn.XLOOKUP($C449,战区信息!$A$1:$A$5,战区信息!$D$1:$D$5)</f>
        <v>二级战区</v>
      </c>
      <c r="L449" t="str">
        <f>_xlfn.XLOOKUP($D449,城市信息!$B$1:$B$14,城市信息!$A$1:$A$14)</f>
        <v>010</v>
      </c>
      <c r="M449" t="str">
        <f>_xlfn.XLOOKUP($D449,城市信息!$B$1:$B$14,城市信息!$C$1:$C$14)</f>
        <v>黄鹏天</v>
      </c>
      <c r="N449" t="str">
        <f>_xlfn.XLOOKUP($D449,城市信息!$B$1:$B$14,城市信息!$D$1:$D$14)</f>
        <v>二线</v>
      </c>
      <c r="O449">
        <f>_xlfn.XLOOKUP($D449,城市信息!$B$1:$B$14,城市信息!$E$1:$E$14)</f>
        <v>8295</v>
      </c>
      <c r="P449" cm="1">
        <f t="array" ref="P449:U449">_xlfn.XLOOKUP(A449&amp;B449,'[1]2.4自动化报表-8月获客数据-非乱码'!$A:$A&amp;'[1]2.4自动化报表-8月获客数据-非乱码'!$B:$B,'[1]2.4自动化报表-8月获客数据-非乱码'!$C:$H)</f>
        <v>2385</v>
      </c>
      <c r="Q449">
        <v>2344</v>
      </c>
      <c r="R449">
        <v>2264</v>
      </c>
      <c r="S449">
        <v>1384</v>
      </c>
      <c r="T449">
        <v>738</v>
      </c>
      <c r="U449">
        <v>692</v>
      </c>
    </row>
    <row r="450" spans="1:21" x14ac:dyDescent="0.3">
      <c r="A450" s="1">
        <v>44060</v>
      </c>
      <c r="B450" t="s">
        <v>30</v>
      </c>
      <c r="C450" t="s">
        <v>97</v>
      </c>
      <c r="D450" t="s">
        <v>61</v>
      </c>
      <c r="E450" t="s">
        <v>100</v>
      </c>
      <c r="F450" s="2">
        <v>23020</v>
      </c>
      <c r="G450">
        <v>958</v>
      </c>
      <c r="H450">
        <v>0</v>
      </c>
      <c r="I450" t="str">
        <f>_xlfn.XLOOKUP($C450,战区信息!$A$1:$A$5,战区信息!$B$1:$B$5)</f>
        <v>003</v>
      </c>
      <c r="J450" t="str">
        <f>_xlfn.XLOOKUP($C450,战区信息!$A$1:$A$5,战区信息!$C$1:$C$5)</f>
        <v>田楠</v>
      </c>
      <c r="K450" t="str">
        <f>_xlfn.XLOOKUP($C450,战区信息!$A$1:$A$5,战区信息!$D$1:$D$5)</f>
        <v>二级战区</v>
      </c>
      <c r="L450" t="str">
        <f>_xlfn.XLOOKUP($D450,城市信息!$B$1:$B$14,城市信息!$A$1:$A$14)</f>
        <v>006</v>
      </c>
      <c r="M450" t="str">
        <f>_xlfn.XLOOKUP($D450,城市信息!$B$1:$B$14,城市信息!$C$1:$C$14)</f>
        <v>王刚</v>
      </c>
      <c r="N450" t="str">
        <f>_xlfn.XLOOKUP($D450,城市信息!$B$1:$B$14,城市信息!$D$1:$D$14)</f>
        <v>二线</v>
      </c>
      <c r="O450">
        <f>_xlfn.XLOOKUP($D450,城市信息!$B$1:$B$14,城市信息!$E$1:$E$14)</f>
        <v>9107</v>
      </c>
      <c r="P450" cm="1">
        <f t="array" ref="P450:U450">_xlfn.XLOOKUP(A450&amp;B450,'[1]2.4自动化报表-8月获客数据-非乱码'!$A:$A&amp;'[1]2.4自动化报表-8月获客数据-非乱码'!$B:$B,'[1]2.4自动化报表-8月获客数据-非乱码'!$C:$H)</f>
        <v>1227</v>
      </c>
      <c r="Q450">
        <v>1199</v>
      </c>
      <c r="R450">
        <v>1156</v>
      </c>
      <c r="S450">
        <v>692</v>
      </c>
      <c r="T450">
        <v>400</v>
      </c>
      <c r="U450">
        <v>695</v>
      </c>
    </row>
    <row r="451" spans="1:21" x14ac:dyDescent="0.3">
      <c r="A451" s="1">
        <v>44060</v>
      </c>
      <c r="B451" t="s">
        <v>29</v>
      </c>
      <c r="C451" t="s">
        <v>97</v>
      </c>
      <c r="D451" t="s">
        <v>64</v>
      </c>
      <c r="E451" t="s">
        <v>101</v>
      </c>
      <c r="F451" s="2">
        <v>72409</v>
      </c>
      <c r="G451" s="2">
        <v>3217</v>
      </c>
      <c r="H451">
        <v>0</v>
      </c>
      <c r="I451" t="str">
        <f>_xlfn.XLOOKUP($C451,战区信息!$A$1:$A$5,战区信息!$B$1:$B$5)</f>
        <v>003</v>
      </c>
      <c r="J451" t="str">
        <f>_xlfn.XLOOKUP($C451,战区信息!$A$1:$A$5,战区信息!$C$1:$C$5)</f>
        <v>田楠</v>
      </c>
      <c r="K451" t="str">
        <f>_xlfn.XLOOKUP($C451,战区信息!$A$1:$A$5,战区信息!$D$1:$D$5)</f>
        <v>二级战区</v>
      </c>
      <c r="L451" t="str">
        <f>_xlfn.XLOOKUP($D451,城市信息!$B$1:$B$14,城市信息!$A$1:$A$14)</f>
        <v>009</v>
      </c>
      <c r="M451" t="str">
        <f>_xlfn.XLOOKUP($D451,城市信息!$B$1:$B$14,城市信息!$C$1:$C$14)</f>
        <v>叶超</v>
      </c>
      <c r="N451" t="str">
        <f>_xlfn.XLOOKUP($D451,城市信息!$B$1:$B$14,城市信息!$D$1:$D$14)</f>
        <v>二线</v>
      </c>
      <c r="O451">
        <f>_xlfn.XLOOKUP($D451,城市信息!$B$1:$B$14,城市信息!$E$1:$E$14)</f>
        <v>9016</v>
      </c>
      <c r="P451" cm="1">
        <f t="array" ref="P451:U451">_xlfn.XLOOKUP(A451&amp;B451,'[1]2.4自动化报表-8月获客数据-非乱码'!$A:$A&amp;'[1]2.4自动化报表-8月获客数据-非乱码'!$B:$B,'[1]2.4自动化报表-8月获客数据-非乱码'!$C:$H)</f>
        <v>2426</v>
      </c>
      <c r="Q451">
        <v>2372</v>
      </c>
      <c r="R451">
        <v>2292</v>
      </c>
      <c r="S451">
        <v>1496</v>
      </c>
      <c r="T451">
        <v>869</v>
      </c>
      <c r="U451">
        <v>691</v>
      </c>
    </row>
    <row r="452" spans="1:21" x14ac:dyDescent="0.3">
      <c r="A452" s="1">
        <v>44060</v>
      </c>
      <c r="B452" t="s">
        <v>28</v>
      </c>
      <c r="C452" t="s">
        <v>97</v>
      </c>
      <c r="D452" t="s">
        <v>64</v>
      </c>
      <c r="E452" t="s">
        <v>102</v>
      </c>
      <c r="F452" s="2">
        <v>35001</v>
      </c>
      <c r="G452" s="2">
        <v>1653</v>
      </c>
      <c r="H452">
        <v>0</v>
      </c>
      <c r="I452" t="str">
        <f>_xlfn.XLOOKUP($C452,战区信息!$A$1:$A$5,战区信息!$B$1:$B$5)</f>
        <v>003</v>
      </c>
      <c r="J452" t="str">
        <f>_xlfn.XLOOKUP($C452,战区信息!$A$1:$A$5,战区信息!$C$1:$C$5)</f>
        <v>田楠</v>
      </c>
      <c r="K452" t="str">
        <f>_xlfn.XLOOKUP($C452,战区信息!$A$1:$A$5,战区信息!$D$1:$D$5)</f>
        <v>二级战区</v>
      </c>
      <c r="L452" t="str">
        <f>_xlfn.XLOOKUP($D452,城市信息!$B$1:$B$14,城市信息!$A$1:$A$14)</f>
        <v>009</v>
      </c>
      <c r="M452" t="str">
        <f>_xlfn.XLOOKUP($D452,城市信息!$B$1:$B$14,城市信息!$C$1:$C$14)</f>
        <v>叶超</v>
      </c>
      <c r="N452" t="str">
        <f>_xlfn.XLOOKUP($D452,城市信息!$B$1:$B$14,城市信息!$D$1:$D$14)</f>
        <v>二线</v>
      </c>
      <c r="O452">
        <f>_xlfn.XLOOKUP($D452,城市信息!$B$1:$B$14,城市信息!$E$1:$E$14)</f>
        <v>9016</v>
      </c>
      <c r="P452" cm="1">
        <f t="array" ref="P452:U452">_xlfn.XLOOKUP(A452&amp;B452,'[1]2.4自动化报表-8月获客数据-非乱码'!$A:$A&amp;'[1]2.4自动化报表-8月获客数据-非乱码'!$B:$B,'[1]2.4自动化报表-8月获客数据-非乱码'!$C:$H)</f>
        <v>672</v>
      </c>
      <c r="Q452">
        <v>662</v>
      </c>
      <c r="R452">
        <v>643</v>
      </c>
      <c r="S452">
        <v>443</v>
      </c>
      <c r="T452">
        <v>209</v>
      </c>
      <c r="U452">
        <v>692</v>
      </c>
    </row>
    <row r="453" spans="1:21" x14ac:dyDescent="0.3">
      <c r="A453" s="1">
        <v>44060</v>
      </c>
      <c r="B453" t="s">
        <v>27</v>
      </c>
      <c r="C453" t="s">
        <v>103</v>
      </c>
      <c r="D453" t="s">
        <v>63</v>
      </c>
      <c r="E453" t="s">
        <v>104</v>
      </c>
      <c r="F453" s="2">
        <v>99204</v>
      </c>
      <c r="G453" s="2">
        <v>5752</v>
      </c>
      <c r="H453" s="2">
        <v>5104</v>
      </c>
      <c r="I453" t="str">
        <f>_xlfn.XLOOKUP($C453,战区信息!$A$1:$A$5,战区信息!$B$1:$B$5)</f>
        <v>002</v>
      </c>
      <c r="J453" t="str">
        <f>_xlfn.XLOOKUP($C453,战区信息!$A$1:$A$5,战区信息!$C$1:$C$5)</f>
        <v>高安平</v>
      </c>
      <c r="K453" t="str">
        <f>_xlfn.XLOOKUP($C453,战区信息!$A$1:$A$5,战区信息!$D$1:$D$5)</f>
        <v>二级战区</v>
      </c>
      <c r="L453" t="str">
        <f>_xlfn.XLOOKUP($D453,城市信息!$B$1:$B$14,城市信息!$A$1:$A$14)</f>
        <v>008</v>
      </c>
      <c r="M453" t="str">
        <f>_xlfn.XLOOKUP($D453,城市信息!$B$1:$B$14,城市信息!$C$1:$C$14)</f>
        <v>高弘壮</v>
      </c>
      <c r="N453" t="str">
        <f>_xlfn.XLOOKUP($D453,城市信息!$B$1:$B$14,城市信息!$D$1:$D$14)</f>
        <v>一线</v>
      </c>
      <c r="O453">
        <f>_xlfn.XLOOKUP($D453,城市信息!$B$1:$B$14,城市信息!$E$1:$E$14)</f>
        <v>11498</v>
      </c>
      <c r="P453" cm="1">
        <f t="array" ref="P453:U453">_xlfn.XLOOKUP(A453&amp;B453,'[1]2.4自动化报表-8月获客数据-非乱码'!$A:$A&amp;'[1]2.4自动化报表-8月获客数据-非乱码'!$B:$B,'[1]2.4自动化报表-8月获客数据-非乱码'!$C:$H)</f>
        <v>2574</v>
      </c>
      <c r="Q453">
        <v>2494</v>
      </c>
      <c r="R453">
        <v>2376</v>
      </c>
      <c r="S453">
        <v>1460</v>
      </c>
      <c r="T453">
        <v>776</v>
      </c>
      <c r="U453">
        <v>690</v>
      </c>
    </row>
    <row r="454" spans="1:21" x14ac:dyDescent="0.3">
      <c r="A454" s="1">
        <v>44060</v>
      </c>
      <c r="B454" t="s">
        <v>26</v>
      </c>
      <c r="C454" t="s">
        <v>103</v>
      </c>
      <c r="D454" t="s">
        <v>57</v>
      </c>
      <c r="E454" t="s">
        <v>105</v>
      </c>
      <c r="F454" s="2">
        <v>320565</v>
      </c>
      <c r="G454" s="2">
        <v>14995</v>
      </c>
      <c r="H454" s="2">
        <v>6842</v>
      </c>
      <c r="I454" t="str">
        <f>_xlfn.XLOOKUP($C454,战区信息!$A$1:$A$5,战区信息!$B$1:$B$5)</f>
        <v>002</v>
      </c>
      <c r="J454" t="str">
        <f>_xlfn.XLOOKUP($C454,战区信息!$A$1:$A$5,战区信息!$C$1:$C$5)</f>
        <v>高安平</v>
      </c>
      <c r="K454" t="str">
        <f>_xlfn.XLOOKUP($C454,战区信息!$A$1:$A$5,战区信息!$D$1:$D$5)</f>
        <v>二级战区</v>
      </c>
      <c r="L454" t="str">
        <f>_xlfn.XLOOKUP($D454,城市信息!$B$1:$B$14,城市信息!$A$1:$A$14)</f>
        <v>002</v>
      </c>
      <c r="M454" t="str">
        <f>_xlfn.XLOOKUP($D454,城市信息!$B$1:$B$14,城市信息!$C$1:$C$14)</f>
        <v>孙乒</v>
      </c>
      <c r="N454" t="str">
        <f>_xlfn.XLOOKUP($D454,城市信息!$B$1:$B$14,城市信息!$D$1:$D$14)</f>
        <v>一线</v>
      </c>
      <c r="O454">
        <f>_xlfn.XLOOKUP($D454,城市信息!$B$1:$B$14,城市信息!$E$1:$E$14)</f>
        <v>9854</v>
      </c>
      <c r="P454" cm="1">
        <f t="array" ref="P454:U454">_xlfn.XLOOKUP(A454&amp;B454,'[1]2.4自动化报表-8月获客数据-非乱码'!$A:$A&amp;'[1]2.4自动化报表-8月获客数据-非乱码'!$B:$B,'[1]2.4自动化报表-8月获客数据-非乱码'!$C:$H)</f>
        <v>6285</v>
      </c>
      <c r="Q454">
        <v>6134</v>
      </c>
      <c r="R454">
        <v>5871</v>
      </c>
      <c r="S454">
        <v>3662</v>
      </c>
      <c r="T454">
        <v>2058</v>
      </c>
      <c r="U454">
        <v>688</v>
      </c>
    </row>
    <row r="455" spans="1:21" x14ac:dyDescent="0.3">
      <c r="A455" s="1">
        <v>44060</v>
      </c>
      <c r="B455" t="s">
        <v>25</v>
      </c>
      <c r="C455" t="s">
        <v>103</v>
      </c>
      <c r="D455" t="s">
        <v>57</v>
      </c>
      <c r="E455" t="s">
        <v>106</v>
      </c>
      <c r="F455" s="2">
        <v>144765</v>
      </c>
      <c r="G455" s="2">
        <v>7508</v>
      </c>
      <c r="H455" s="2">
        <v>9846</v>
      </c>
      <c r="I455" t="str">
        <f>_xlfn.XLOOKUP($C455,战区信息!$A$1:$A$5,战区信息!$B$1:$B$5)</f>
        <v>002</v>
      </c>
      <c r="J455" t="str">
        <f>_xlfn.XLOOKUP($C455,战区信息!$A$1:$A$5,战区信息!$C$1:$C$5)</f>
        <v>高安平</v>
      </c>
      <c r="K455" t="str">
        <f>_xlfn.XLOOKUP($C455,战区信息!$A$1:$A$5,战区信息!$D$1:$D$5)</f>
        <v>二级战区</v>
      </c>
      <c r="L455" t="str">
        <f>_xlfn.XLOOKUP($D455,城市信息!$B$1:$B$14,城市信息!$A$1:$A$14)</f>
        <v>002</v>
      </c>
      <c r="M455" t="str">
        <f>_xlfn.XLOOKUP($D455,城市信息!$B$1:$B$14,城市信息!$C$1:$C$14)</f>
        <v>孙乒</v>
      </c>
      <c r="N455" t="str">
        <f>_xlfn.XLOOKUP($D455,城市信息!$B$1:$B$14,城市信息!$D$1:$D$14)</f>
        <v>一线</v>
      </c>
      <c r="O455">
        <f>_xlfn.XLOOKUP($D455,城市信息!$B$1:$B$14,城市信息!$E$1:$E$14)</f>
        <v>9854</v>
      </c>
      <c r="P455" cm="1">
        <f t="array" ref="P455:U455">_xlfn.XLOOKUP(A455&amp;B455,'[1]2.4自动化报表-8月获客数据-非乱码'!$A:$A&amp;'[1]2.4自动化报表-8月获客数据-非乱码'!$B:$B,'[1]2.4自动化报表-8月获客数据-非乱码'!$C:$H)</f>
        <v>3919</v>
      </c>
      <c r="Q455">
        <v>3809</v>
      </c>
      <c r="R455">
        <v>3607</v>
      </c>
      <c r="S455">
        <v>2143</v>
      </c>
      <c r="T455">
        <v>1211</v>
      </c>
      <c r="U455">
        <v>689</v>
      </c>
    </row>
    <row r="456" spans="1:21" x14ac:dyDescent="0.3">
      <c r="A456" s="1">
        <v>44060</v>
      </c>
      <c r="B456" t="s">
        <v>24</v>
      </c>
      <c r="C456" t="s">
        <v>103</v>
      </c>
      <c r="D456" t="s">
        <v>57</v>
      </c>
      <c r="E456" t="s">
        <v>107</v>
      </c>
      <c r="F456" s="2">
        <v>66776</v>
      </c>
      <c r="G456" s="2">
        <v>3707</v>
      </c>
      <c r="H456">
        <v>0</v>
      </c>
      <c r="I456" t="str">
        <f>_xlfn.XLOOKUP($C456,战区信息!$A$1:$A$5,战区信息!$B$1:$B$5)</f>
        <v>002</v>
      </c>
      <c r="J456" t="str">
        <f>_xlfn.XLOOKUP($C456,战区信息!$A$1:$A$5,战区信息!$C$1:$C$5)</f>
        <v>高安平</v>
      </c>
      <c r="K456" t="str">
        <f>_xlfn.XLOOKUP($C456,战区信息!$A$1:$A$5,战区信息!$D$1:$D$5)</f>
        <v>二级战区</v>
      </c>
      <c r="L456" t="str">
        <f>_xlfn.XLOOKUP($D456,城市信息!$B$1:$B$14,城市信息!$A$1:$A$14)</f>
        <v>002</v>
      </c>
      <c r="M456" t="str">
        <f>_xlfn.XLOOKUP($D456,城市信息!$B$1:$B$14,城市信息!$C$1:$C$14)</f>
        <v>孙乒</v>
      </c>
      <c r="N456" t="str">
        <f>_xlfn.XLOOKUP($D456,城市信息!$B$1:$B$14,城市信息!$D$1:$D$14)</f>
        <v>一线</v>
      </c>
      <c r="O456">
        <f>_xlfn.XLOOKUP($D456,城市信息!$B$1:$B$14,城市信息!$E$1:$E$14)</f>
        <v>9854</v>
      </c>
      <c r="P456" cm="1">
        <f t="array" ref="P456:U456">_xlfn.XLOOKUP(A456&amp;B456,'[1]2.4自动化报表-8月获客数据-非乱码'!$A:$A&amp;'[1]2.4自动化报表-8月获客数据-非乱码'!$B:$B,'[1]2.4自动化报表-8月获客数据-非乱码'!$C:$H)</f>
        <v>3751</v>
      </c>
      <c r="Q456">
        <v>3676</v>
      </c>
      <c r="R456">
        <v>3519</v>
      </c>
      <c r="S456">
        <v>2132</v>
      </c>
      <c r="T456">
        <v>1229</v>
      </c>
      <c r="U456">
        <v>690</v>
      </c>
    </row>
    <row r="457" spans="1:21" x14ac:dyDescent="0.3">
      <c r="A457" s="1">
        <v>44060</v>
      </c>
      <c r="B457" t="s">
        <v>23</v>
      </c>
      <c r="C457" t="s">
        <v>108</v>
      </c>
      <c r="D457" t="s">
        <v>109</v>
      </c>
      <c r="E457" t="s">
        <v>110</v>
      </c>
      <c r="F457" s="2">
        <v>132018</v>
      </c>
      <c r="G457" s="2">
        <v>6499</v>
      </c>
      <c r="H457">
        <v>0</v>
      </c>
      <c r="I457" t="str">
        <f>_xlfn.XLOOKUP($C457,战区信息!$A$1:$A$5,战区信息!$B$1:$B$5)</f>
        <v>001</v>
      </c>
      <c r="J457" t="str">
        <f>_xlfn.XLOOKUP($C457,战区信息!$A$1:$A$5,战区信息!$C$1:$C$5)</f>
        <v>江永</v>
      </c>
      <c r="K457" t="str">
        <f>_xlfn.XLOOKUP($C457,战区信息!$A$1:$A$5,战区信息!$D$1:$D$5)</f>
        <v>一级战区</v>
      </c>
      <c r="L457" t="str">
        <f>_xlfn.XLOOKUP($D457,城市信息!$B$1:$B$14,城市信息!$A$1:$A$14)</f>
        <v>013</v>
      </c>
      <c r="M457" t="str">
        <f>_xlfn.XLOOKUP($D457,城市信息!$B$1:$B$14,城市信息!$C$1:$C$14)</f>
        <v>张建</v>
      </c>
      <c r="N457" t="str">
        <f>_xlfn.XLOOKUP($D457,城市信息!$B$1:$B$14,城市信息!$D$1:$D$14)</f>
        <v>二线</v>
      </c>
      <c r="O457">
        <f>_xlfn.XLOOKUP($D457,城市信息!$B$1:$B$14,城市信息!$E$1:$E$14)</f>
        <v>8800</v>
      </c>
      <c r="P457" cm="1">
        <f t="array" ref="P457:U457">_xlfn.XLOOKUP(A457&amp;B457,'[1]2.4自动化报表-8月获客数据-非乱码'!$A:$A&amp;'[1]2.4自动化报表-8月获客数据-非乱码'!$B:$B,'[1]2.4自动化报表-8月获客数据-非乱码'!$C:$H)</f>
        <v>5721</v>
      </c>
      <c r="Q457">
        <v>5509</v>
      </c>
      <c r="R457">
        <v>5244</v>
      </c>
      <c r="S457">
        <v>3190</v>
      </c>
      <c r="T457">
        <v>1645</v>
      </c>
      <c r="U457">
        <v>694</v>
      </c>
    </row>
    <row r="458" spans="1:21" x14ac:dyDescent="0.3">
      <c r="A458" s="1">
        <v>44060</v>
      </c>
      <c r="B458" t="s">
        <v>22</v>
      </c>
      <c r="C458" t="s">
        <v>108</v>
      </c>
      <c r="D458" t="s">
        <v>109</v>
      </c>
      <c r="E458" t="s">
        <v>111</v>
      </c>
      <c r="F458" s="2">
        <v>20992</v>
      </c>
      <c r="G458" s="2">
        <v>1179</v>
      </c>
      <c r="H458">
        <v>0</v>
      </c>
      <c r="I458" t="str">
        <f>_xlfn.XLOOKUP($C458,战区信息!$A$1:$A$5,战区信息!$B$1:$B$5)</f>
        <v>001</v>
      </c>
      <c r="J458" t="str">
        <f>_xlfn.XLOOKUP($C458,战区信息!$A$1:$A$5,战区信息!$C$1:$C$5)</f>
        <v>江永</v>
      </c>
      <c r="K458" t="str">
        <f>_xlfn.XLOOKUP($C458,战区信息!$A$1:$A$5,战区信息!$D$1:$D$5)</f>
        <v>一级战区</v>
      </c>
      <c r="L458" t="str">
        <f>_xlfn.XLOOKUP($D458,城市信息!$B$1:$B$14,城市信息!$A$1:$A$14)</f>
        <v>013</v>
      </c>
      <c r="M458" t="str">
        <f>_xlfn.XLOOKUP($D458,城市信息!$B$1:$B$14,城市信息!$C$1:$C$14)</f>
        <v>张建</v>
      </c>
      <c r="N458" t="str">
        <f>_xlfn.XLOOKUP($D458,城市信息!$B$1:$B$14,城市信息!$D$1:$D$14)</f>
        <v>二线</v>
      </c>
      <c r="O458">
        <f>_xlfn.XLOOKUP($D458,城市信息!$B$1:$B$14,城市信息!$E$1:$E$14)</f>
        <v>8800</v>
      </c>
      <c r="P458" cm="1">
        <f t="array" ref="P458:U458">_xlfn.XLOOKUP(A458&amp;B458,'[1]2.4自动化报表-8月获客数据-非乱码'!$A:$A&amp;'[1]2.4自动化报表-8月获客数据-非乱码'!$B:$B,'[1]2.4自动化报表-8月获客数据-非乱码'!$C:$H)</f>
        <v>150</v>
      </c>
      <c r="Q458">
        <v>148</v>
      </c>
      <c r="R458">
        <v>126</v>
      </c>
      <c r="S458">
        <v>79</v>
      </c>
      <c r="T458">
        <v>31</v>
      </c>
      <c r="U458">
        <v>692</v>
      </c>
    </row>
    <row r="459" spans="1:21" x14ac:dyDescent="0.3">
      <c r="A459" s="1">
        <v>44060</v>
      </c>
      <c r="B459" t="s">
        <v>21</v>
      </c>
      <c r="C459" t="s">
        <v>108</v>
      </c>
      <c r="D459" t="s">
        <v>109</v>
      </c>
      <c r="E459" t="s">
        <v>112</v>
      </c>
      <c r="F459" s="2">
        <v>202784</v>
      </c>
      <c r="G459" s="2">
        <v>10312</v>
      </c>
      <c r="H459">
        <v>0</v>
      </c>
      <c r="I459" t="str">
        <f>_xlfn.XLOOKUP($C459,战区信息!$A$1:$A$5,战区信息!$B$1:$B$5)</f>
        <v>001</v>
      </c>
      <c r="J459" t="str">
        <f>_xlfn.XLOOKUP($C459,战区信息!$A$1:$A$5,战区信息!$C$1:$C$5)</f>
        <v>江永</v>
      </c>
      <c r="K459" t="str">
        <f>_xlfn.XLOOKUP($C459,战区信息!$A$1:$A$5,战区信息!$D$1:$D$5)</f>
        <v>一级战区</v>
      </c>
      <c r="L459" t="str">
        <f>_xlfn.XLOOKUP($D459,城市信息!$B$1:$B$14,城市信息!$A$1:$A$14)</f>
        <v>013</v>
      </c>
      <c r="M459" t="str">
        <f>_xlfn.XLOOKUP($D459,城市信息!$B$1:$B$14,城市信息!$C$1:$C$14)</f>
        <v>张建</v>
      </c>
      <c r="N459" t="str">
        <f>_xlfn.XLOOKUP($D459,城市信息!$B$1:$B$14,城市信息!$D$1:$D$14)</f>
        <v>二线</v>
      </c>
      <c r="O459">
        <f>_xlfn.XLOOKUP($D459,城市信息!$B$1:$B$14,城市信息!$E$1:$E$14)</f>
        <v>8800</v>
      </c>
      <c r="P459" cm="1">
        <f t="array" ref="P459:U459">_xlfn.XLOOKUP(A459&amp;B459,'[1]2.4自动化报表-8月获客数据-非乱码'!$A:$A&amp;'[1]2.4自动化报表-8月获客数据-非乱码'!$B:$B,'[1]2.4自动化报表-8月获客数据-非乱码'!$C:$H)</f>
        <v>6152</v>
      </c>
      <c r="Q459">
        <v>5926</v>
      </c>
      <c r="R459">
        <v>5630</v>
      </c>
      <c r="S459">
        <v>3247</v>
      </c>
      <c r="T459">
        <v>1765</v>
      </c>
      <c r="U459">
        <v>696</v>
      </c>
    </row>
    <row r="460" spans="1:21" x14ac:dyDescent="0.3">
      <c r="A460" s="1">
        <v>44060</v>
      </c>
      <c r="B460" t="s">
        <v>20</v>
      </c>
      <c r="C460" t="s">
        <v>108</v>
      </c>
      <c r="D460" t="s">
        <v>56</v>
      </c>
      <c r="E460" t="s">
        <v>113</v>
      </c>
      <c r="F460" s="2">
        <v>197541</v>
      </c>
      <c r="G460" s="2">
        <v>8984</v>
      </c>
      <c r="H460" s="2">
        <v>1220</v>
      </c>
      <c r="I460" t="str">
        <f>_xlfn.XLOOKUP($C460,战区信息!$A$1:$A$5,战区信息!$B$1:$B$5)</f>
        <v>001</v>
      </c>
      <c r="J460" t="str">
        <f>_xlfn.XLOOKUP($C460,战区信息!$A$1:$A$5,战区信息!$C$1:$C$5)</f>
        <v>江永</v>
      </c>
      <c r="K460" t="str">
        <f>_xlfn.XLOOKUP($C460,战区信息!$A$1:$A$5,战区信息!$D$1:$D$5)</f>
        <v>一级战区</v>
      </c>
      <c r="L460" t="str">
        <f>_xlfn.XLOOKUP($D460,城市信息!$B$1:$B$14,城市信息!$A$1:$A$14)</f>
        <v>001</v>
      </c>
      <c r="M460" t="str">
        <f>_xlfn.XLOOKUP($D460,城市信息!$B$1:$B$14,城市信息!$C$1:$C$14)</f>
        <v>吴刚</v>
      </c>
      <c r="N460" t="str">
        <f>_xlfn.XLOOKUP($D460,城市信息!$B$1:$B$14,城市信息!$D$1:$D$14)</f>
        <v>一线</v>
      </c>
      <c r="O460">
        <f>_xlfn.XLOOKUP($D460,城市信息!$B$1:$B$14,城市信息!$E$1:$E$14)</f>
        <v>12114</v>
      </c>
      <c r="P460" cm="1">
        <f t="array" ref="P460:U460">_xlfn.XLOOKUP(A460&amp;B460,'[1]2.4自动化报表-8月获客数据-非乱码'!$A:$A&amp;'[1]2.4自动化报表-8月获客数据-非乱码'!$B:$B,'[1]2.4自动化报表-8月获客数据-非乱码'!$C:$H)</f>
        <v>5414</v>
      </c>
      <c r="Q460">
        <v>5247</v>
      </c>
      <c r="R460">
        <v>5042</v>
      </c>
      <c r="S460">
        <v>3050</v>
      </c>
      <c r="T460">
        <v>1729</v>
      </c>
      <c r="U460">
        <v>695</v>
      </c>
    </row>
    <row r="461" spans="1:21" x14ac:dyDescent="0.3">
      <c r="A461" s="1">
        <v>44060</v>
      </c>
      <c r="B461" t="s">
        <v>19</v>
      </c>
      <c r="C461" t="s">
        <v>108</v>
      </c>
      <c r="D461" t="s">
        <v>56</v>
      </c>
      <c r="E461" t="s">
        <v>114</v>
      </c>
      <c r="F461" s="2">
        <v>144709</v>
      </c>
      <c r="G461" s="2">
        <v>6867</v>
      </c>
      <c r="H461">
        <v>0</v>
      </c>
      <c r="I461" t="str">
        <f>_xlfn.XLOOKUP($C461,战区信息!$A$1:$A$5,战区信息!$B$1:$B$5)</f>
        <v>001</v>
      </c>
      <c r="J461" t="str">
        <f>_xlfn.XLOOKUP($C461,战区信息!$A$1:$A$5,战区信息!$C$1:$C$5)</f>
        <v>江永</v>
      </c>
      <c r="K461" t="str">
        <f>_xlfn.XLOOKUP($C461,战区信息!$A$1:$A$5,战区信息!$D$1:$D$5)</f>
        <v>一级战区</v>
      </c>
      <c r="L461" t="str">
        <f>_xlfn.XLOOKUP($D461,城市信息!$B$1:$B$14,城市信息!$A$1:$A$14)</f>
        <v>001</v>
      </c>
      <c r="M461" t="str">
        <f>_xlfn.XLOOKUP($D461,城市信息!$B$1:$B$14,城市信息!$C$1:$C$14)</f>
        <v>吴刚</v>
      </c>
      <c r="N461" t="str">
        <f>_xlfn.XLOOKUP($D461,城市信息!$B$1:$B$14,城市信息!$D$1:$D$14)</f>
        <v>一线</v>
      </c>
      <c r="O461">
        <f>_xlfn.XLOOKUP($D461,城市信息!$B$1:$B$14,城市信息!$E$1:$E$14)</f>
        <v>12114</v>
      </c>
      <c r="P461" cm="1">
        <f t="array" ref="P461:U461">_xlfn.XLOOKUP(A461&amp;B461,'[1]2.4自动化报表-8月获客数据-非乱码'!$A:$A&amp;'[1]2.4自动化报表-8月获客数据-非乱码'!$B:$B,'[1]2.4自动化报表-8月获客数据-非乱码'!$C:$H)</f>
        <v>2925</v>
      </c>
      <c r="Q461">
        <v>2858</v>
      </c>
      <c r="R461">
        <v>2747</v>
      </c>
      <c r="S461">
        <v>1612</v>
      </c>
      <c r="T461">
        <v>968</v>
      </c>
      <c r="U461">
        <v>696</v>
      </c>
    </row>
    <row r="462" spans="1:21" x14ac:dyDescent="0.3">
      <c r="A462" s="1">
        <v>44060</v>
      </c>
      <c r="B462" t="s">
        <v>18</v>
      </c>
      <c r="C462" t="s">
        <v>108</v>
      </c>
      <c r="D462" t="s">
        <v>56</v>
      </c>
      <c r="E462" t="s">
        <v>115</v>
      </c>
      <c r="F462" s="2">
        <v>106369</v>
      </c>
      <c r="G462" s="2">
        <v>5172</v>
      </c>
      <c r="H462">
        <v>0</v>
      </c>
      <c r="I462" t="str">
        <f>_xlfn.XLOOKUP($C462,战区信息!$A$1:$A$5,战区信息!$B$1:$B$5)</f>
        <v>001</v>
      </c>
      <c r="J462" t="str">
        <f>_xlfn.XLOOKUP($C462,战区信息!$A$1:$A$5,战区信息!$C$1:$C$5)</f>
        <v>江永</v>
      </c>
      <c r="K462" t="str">
        <f>_xlfn.XLOOKUP($C462,战区信息!$A$1:$A$5,战区信息!$D$1:$D$5)</f>
        <v>一级战区</v>
      </c>
      <c r="L462" t="str">
        <f>_xlfn.XLOOKUP($D462,城市信息!$B$1:$B$14,城市信息!$A$1:$A$14)</f>
        <v>001</v>
      </c>
      <c r="M462" t="str">
        <f>_xlfn.XLOOKUP($D462,城市信息!$B$1:$B$14,城市信息!$C$1:$C$14)</f>
        <v>吴刚</v>
      </c>
      <c r="N462" t="str">
        <f>_xlfn.XLOOKUP($D462,城市信息!$B$1:$B$14,城市信息!$D$1:$D$14)</f>
        <v>一线</v>
      </c>
      <c r="O462">
        <f>_xlfn.XLOOKUP($D462,城市信息!$B$1:$B$14,城市信息!$E$1:$E$14)</f>
        <v>12114</v>
      </c>
      <c r="P462" cm="1">
        <f t="array" ref="P462:U462">_xlfn.XLOOKUP(A462&amp;B462,'[1]2.4自动化报表-8月获客数据-非乱码'!$A:$A&amp;'[1]2.4自动化报表-8月获客数据-非乱码'!$B:$B,'[1]2.4自动化报表-8月获客数据-非乱码'!$C:$H)</f>
        <v>2840</v>
      </c>
      <c r="Q462">
        <v>2794</v>
      </c>
      <c r="R462">
        <v>2677</v>
      </c>
      <c r="S462">
        <v>1597</v>
      </c>
      <c r="T462">
        <v>862</v>
      </c>
      <c r="U462">
        <v>690</v>
      </c>
    </row>
    <row r="463" spans="1:21" x14ac:dyDescent="0.3">
      <c r="A463" s="1">
        <v>44060</v>
      </c>
      <c r="B463" t="s">
        <v>17</v>
      </c>
      <c r="C463" t="s">
        <v>108</v>
      </c>
      <c r="D463" t="s">
        <v>59</v>
      </c>
      <c r="E463" t="s">
        <v>116</v>
      </c>
      <c r="F463" s="2">
        <v>124596</v>
      </c>
      <c r="G463" s="2">
        <v>6387</v>
      </c>
      <c r="H463">
        <v>0</v>
      </c>
      <c r="I463" t="str">
        <f>_xlfn.XLOOKUP($C463,战区信息!$A$1:$A$5,战区信息!$B$1:$B$5)</f>
        <v>001</v>
      </c>
      <c r="J463" t="str">
        <f>_xlfn.XLOOKUP($C463,战区信息!$A$1:$A$5,战区信息!$C$1:$C$5)</f>
        <v>江永</v>
      </c>
      <c r="K463" t="str">
        <f>_xlfn.XLOOKUP($C463,战区信息!$A$1:$A$5,战区信息!$D$1:$D$5)</f>
        <v>一级战区</v>
      </c>
      <c r="L463" t="str">
        <f>_xlfn.XLOOKUP($D463,城市信息!$B$1:$B$14,城市信息!$A$1:$A$14)</f>
        <v>004</v>
      </c>
      <c r="M463" t="str">
        <f>_xlfn.XLOOKUP($D463,城市信息!$B$1:$B$14,城市信息!$C$1:$C$14)</f>
        <v>苏川</v>
      </c>
      <c r="N463" t="str">
        <f>_xlfn.XLOOKUP($D463,城市信息!$B$1:$B$14,城市信息!$D$1:$D$14)</f>
        <v>二线</v>
      </c>
      <c r="O463">
        <f>_xlfn.XLOOKUP($D463,城市信息!$B$1:$B$14,城市信息!$E$1:$E$14)</f>
        <v>9912</v>
      </c>
      <c r="P463" cm="1">
        <f t="array" ref="P463:U463">_xlfn.XLOOKUP(A463&amp;B463,'[1]2.4自动化报表-8月获客数据-非乱码'!$A:$A&amp;'[1]2.4自动化报表-8月获客数据-非乱码'!$B:$B,'[1]2.4自动化报表-8月获客数据-非乱码'!$C:$H)</f>
        <v>3860</v>
      </c>
      <c r="Q463">
        <v>3777</v>
      </c>
      <c r="R463">
        <v>3639</v>
      </c>
      <c r="S463">
        <v>2105</v>
      </c>
      <c r="T463">
        <v>1172</v>
      </c>
      <c r="U463">
        <v>697</v>
      </c>
    </row>
    <row r="464" spans="1:21" x14ac:dyDescent="0.3">
      <c r="A464" s="1">
        <v>44060</v>
      </c>
      <c r="B464" t="s">
        <v>16</v>
      </c>
      <c r="C464" t="s">
        <v>108</v>
      </c>
      <c r="D464" t="s">
        <v>59</v>
      </c>
      <c r="E464" t="s">
        <v>117</v>
      </c>
      <c r="F464" s="2">
        <v>53995</v>
      </c>
      <c r="G464" s="2">
        <v>3288</v>
      </c>
      <c r="H464">
        <v>0</v>
      </c>
      <c r="I464" t="str">
        <f>_xlfn.XLOOKUP($C464,战区信息!$A$1:$A$5,战区信息!$B$1:$B$5)</f>
        <v>001</v>
      </c>
      <c r="J464" t="str">
        <f>_xlfn.XLOOKUP($C464,战区信息!$A$1:$A$5,战区信息!$C$1:$C$5)</f>
        <v>江永</v>
      </c>
      <c r="K464" t="str">
        <f>_xlfn.XLOOKUP($C464,战区信息!$A$1:$A$5,战区信息!$D$1:$D$5)</f>
        <v>一级战区</v>
      </c>
      <c r="L464" t="str">
        <f>_xlfn.XLOOKUP($D464,城市信息!$B$1:$B$14,城市信息!$A$1:$A$14)</f>
        <v>004</v>
      </c>
      <c r="M464" t="str">
        <f>_xlfn.XLOOKUP($D464,城市信息!$B$1:$B$14,城市信息!$C$1:$C$14)</f>
        <v>苏川</v>
      </c>
      <c r="N464" t="str">
        <f>_xlfn.XLOOKUP($D464,城市信息!$B$1:$B$14,城市信息!$D$1:$D$14)</f>
        <v>二线</v>
      </c>
      <c r="O464">
        <f>_xlfn.XLOOKUP($D464,城市信息!$B$1:$B$14,城市信息!$E$1:$E$14)</f>
        <v>9912</v>
      </c>
      <c r="P464" cm="1">
        <f t="array" ref="P464:U464">_xlfn.XLOOKUP(A464&amp;B464,'[1]2.4自动化报表-8月获客数据-非乱码'!$A:$A&amp;'[1]2.4自动化报表-8月获客数据-非乱码'!$B:$B,'[1]2.4自动化报表-8月获客数据-非乱码'!$C:$H)</f>
        <v>2206</v>
      </c>
      <c r="Q464">
        <v>2134</v>
      </c>
      <c r="R464">
        <v>2035</v>
      </c>
      <c r="S464">
        <v>1149</v>
      </c>
      <c r="T464">
        <v>604</v>
      </c>
      <c r="U464">
        <v>695</v>
      </c>
    </row>
    <row r="465" spans="1:21" x14ac:dyDescent="0.3">
      <c r="A465" s="1">
        <v>44060</v>
      </c>
      <c r="B465" t="s">
        <v>15</v>
      </c>
      <c r="C465" t="s">
        <v>108</v>
      </c>
      <c r="D465" t="s">
        <v>59</v>
      </c>
      <c r="E465" t="s">
        <v>118</v>
      </c>
      <c r="F465" s="2">
        <v>302005</v>
      </c>
      <c r="G465" s="2">
        <v>14190</v>
      </c>
      <c r="H465">
        <v>0</v>
      </c>
      <c r="I465" t="str">
        <f>_xlfn.XLOOKUP($C465,战区信息!$A$1:$A$5,战区信息!$B$1:$B$5)</f>
        <v>001</v>
      </c>
      <c r="J465" t="str">
        <f>_xlfn.XLOOKUP($C465,战区信息!$A$1:$A$5,战区信息!$C$1:$C$5)</f>
        <v>江永</v>
      </c>
      <c r="K465" t="str">
        <f>_xlfn.XLOOKUP($C465,战区信息!$A$1:$A$5,战区信息!$D$1:$D$5)</f>
        <v>一级战区</v>
      </c>
      <c r="L465" t="str">
        <f>_xlfn.XLOOKUP($D465,城市信息!$B$1:$B$14,城市信息!$A$1:$A$14)</f>
        <v>004</v>
      </c>
      <c r="M465" t="str">
        <f>_xlfn.XLOOKUP($D465,城市信息!$B$1:$B$14,城市信息!$C$1:$C$14)</f>
        <v>苏川</v>
      </c>
      <c r="N465" t="str">
        <f>_xlfn.XLOOKUP($D465,城市信息!$B$1:$B$14,城市信息!$D$1:$D$14)</f>
        <v>二线</v>
      </c>
      <c r="O465">
        <f>_xlfn.XLOOKUP($D465,城市信息!$B$1:$B$14,城市信息!$E$1:$E$14)</f>
        <v>9912</v>
      </c>
      <c r="P465" cm="1">
        <f t="array" ref="P465:U465">_xlfn.XLOOKUP(A465&amp;B465,'[1]2.4自动化报表-8月获客数据-非乱码'!$A:$A&amp;'[1]2.4自动化报表-8月获客数据-非乱码'!$B:$B,'[1]2.4自动化报表-8月获客数据-非乱码'!$C:$H)</f>
        <v>2869</v>
      </c>
      <c r="Q465">
        <v>2815</v>
      </c>
      <c r="R465">
        <v>2713</v>
      </c>
      <c r="S465">
        <v>1648</v>
      </c>
      <c r="T465">
        <v>829</v>
      </c>
      <c r="U465">
        <v>698</v>
      </c>
    </row>
    <row r="466" spans="1:21" x14ac:dyDescent="0.3">
      <c r="A466" s="1">
        <v>44060</v>
      </c>
      <c r="B466" t="s">
        <v>14</v>
      </c>
      <c r="C466" t="s">
        <v>108</v>
      </c>
      <c r="D466" t="s">
        <v>59</v>
      </c>
      <c r="E466" t="s">
        <v>119</v>
      </c>
      <c r="F466" s="2">
        <v>111502</v>
      </c>
      <c r="G466" s="2">
        <v>4724</v>
      </c>
      <c r="H466">
        <v>0</v>
      </c>
      <c r="I466" t="str">
        <f>_xlfn.XLOOKUP($C466,战区信息!$A$1:$A$5,战区信息!$B$1:$B$5)</f>
        <v>001</v>
      </c>
      <c r="J466" t="str">
        <f>_xlfn.XLOOKUP($C466,战区信息!$A$1:$A$5,战区信息!$C$1:$C$5)</f>
        <v>江永</v>
      </c>
      <c r="K466" t="str">
        <f>_xlfn.XLOOKUP($C466,战区信息!$A$1:$A$5,战区信息!$D$1:$D$5)</f>
        <v>一级战区</v>
      </c>
      <c r="L466" t="str">
        <f>_xlfn.XLOOKUP($D466,城市信息!$B$1:$B$14,城市信息!$A$1:$A$14)</f>
        <v>004</v>
      </c>
      <c r="M466" t="str">
        <f>_xlfn.XLOOKUP($D466,城市信息!$B$1:$B$14,城市信息!$C$1:$C$14)</f>
        <v>苏川</v>
      </c>
      <c r="N466" t="str">
        <f>_xlfn.XLOOKUP($D466,城市信息!$B$1:$B$14,城市信息!$D$1:$D$14)</f>
        <v>二线</v>
      </c>
      <c r="O466">
        <f>_xlfn.XLOOKUP($D466,城市信息!$B$1:$B$14,城市信息!$E$1:$E$14)</f>
        <v>9912</v>
      </c>
      <c r="P466" cm="1">
        <f t="array" ref="P466:U466">_xlfn.XLOOKUP(A466&amp;B466,'[1]2.4自动化报表-8月获客数据-非乱码'!$A:$A&amp;'[1]2.4自动化报表-8月获客数据-非乱码'!$B:$B,'[1]2.4自动化报表-8月获客数据-非乱码'!$C:$H)</f>
        <v>1931</v>
      </c>
      <c r="Q466">
        <v>1871</v>
      </c>
      <c r="R466">
        <v>1781</v>
      </c>
      <c r="S466">
        <v>1135</v>
      </c>
      <c r="T466">
        <v>529</v>
      </c>
      <c r="U466">
        <v>699</v>
      </c>
    </row>
    <row r="467" spans="1:21" x14ac:dyDescent="0.3">
      <c r="A467" s="1">
        <v>44060</v>
      </c>
      <c r="B467" t="s">
        <v>13</v>
      </c>
      <c r="C467" t="s">
        <v>108</v>
      </c>
      <c r="D467" t="s">
        <v>60</v>
      </c>
      <c r="E467" t="s">
        <v>120</v>
      </c>
      <c r="F467" s="2">
        <v>96615</v>
      </c>
      <c r="G467" s="2">
        <v>4816</v>
      </c>
      <c r="H467">
        <v>0</v>
      </c>
      <c r="I467" t="str">
        <f>_xlfn.XLOOKUP($C467,战区信息!$A$1:$A$5,战区信息!$B$1:$B$5)</f>
        <v>001</v>
      </c>
      <c r="J467" t="str">
        <f>_xlfn.XLOOKUP($C467,战区信息!$A$1:$A$5,战区信息!$C$1:$C$5)</f>
        <v>江永</v>
      </c>
      <c r="K467" t="str">
        <f>_xlfn.XLOOKUP($C467,战区信息!$A$1:$A$5,战区信息!$D$1:$D$5)</f>
        <v>一级战区</v>
      </c>
      <c r="L467" t="str">
        <f>_xlfn.XLOOKUP($D467,城市信息!$B$1:$B$14,城市信息!$A$1:$A$14)</f>
        <v>005</v>
      </c>
      <c r="M467" t="str">
        <f>_xlfn.XLOOKUP($D467,城市信息!$B$1:$B$14,城市信息!$C$1:$C$14)</f>
        <v>侯阳冰</v>
      </c>
      <c r="N467" t="str">
        <f>_xlfn.XLOOKUP($D467,城市信息!$B$1:$B$14,城市信息!$D$1:$D$14)</f>
        <v>二线</v>
      </c>
      <c r="O467">
        <f>_xlfn.XLOOKUP($D467,城市信息!$B$1:$B$14,城市信息!$E$1:$E$14)</f>
        <v>8694</v>
      </c>
      <c r="P467" cm="1">
        <f t="array" ref="P467:U467">_xlfn.XLOOKUP(A467&amp;B467,'[1]2.4自动化报表-8月获客数据-非乱码'!$A:$A&amp;'[1]2.4自动化报表-8月获客数据-非乱码'!$B:$B,'[1]2.4自动化报表-8月获客数据-非乱码'!$C:$H)</f>
        <v>3902</v>
      </c>
      <c r="Q467">
        <v>3808</v>
      </c>
      <c r="R467">
        <v>3626</v>
      </c>
      <c r="S467">
        <v>2209</v>
      </c>
      <c r="T467">
        <v>1099</v>
      </c>
      <c r="U467">
        <v>693</v>
      </c>
    </row>
    <row r="468" spans="1:21" x14ac:dyDescent="0.3">
      <c r="A468" s="1">
        <v>44060</v>
      </c>
      <c r="B468" t="s">
        <v>12</v>
      </c>
      <c r="C468" t="s">
        <v>108</v>
      </c>
      <c r="D468" t="s">
        <v>60</v>
      </c>
      <c r="E468" t="s">
        <v>121</v>
      </c>
      <c r="F468" s="2">
        <v>81737</v>
      </c>
      <c r="G468" s="2">
        <v>4034</v>
      </c>
      <c r="H468">
        <v>0</v>
      </c>
      <c r="I468" t="str">
        <f>_xlfn.XLOOKUP($C468,战区信息!$A$1:$A$5,战区信息!$B$1:$B$5)</f>
        <v>001</v>
      </c>
      <c r="J468" t="str">
        <f>_xlfn.XLOOKUP($C468,战区信息!$A$1:$A$5,战区信息!$C$1:$C$5)</f>
        <v>江永</v>
      </c>
      <c r="K468" t="str">
        <f>_xlfn.XLOOKUP($C468,战区信息!$A$1:$A$5,战区信息!$D$1:$D$5)</f>
        <v>一级战区</v>
      </c>
      <c r="L468" t="str">
        <f>_xlfn.XLOOKUP($D468,城市信息!$B$1:$B$14,城市信息!$A$1:$A$14)</f>
        <v>005</v>
      </c>
      <c r="M468" t="str">
        <f>_xlfn.XLOOKUP($D468,城市信息!$B$1:$B$14,城市信息!$C$1:$C$14)</f>
        <v>侯阳冰</v>
      </c>
      <c r="N468" t="str">
        <f>_xlfn.XLOOKUP($D468,城市信息!$B$1:$B$14,城市信息!$D$1:$D$14)</f>
        <v>二线</v>
      </c>
      <c r="O468">
        <f>_xlfn.XLOOKUP($D468,城市信息!$B$1:$B$14,城市信息!$E$1:$E$14)</f>
        <v>8694</v>
      </c>
      <c r="P468" cm="1">
        <f t="array" ref="P468:U468">_xlfn.XLOOKUP(A468&amp;B468,'[1]2.4自动化报表-8月获客数据-非乱码'!$A:$A&amp;'[1]2.4自动化报表-8月获客数据-非乱码'!$B:$B,'[1]2.4自动化报表-8月获客数据-非乱码'!$C:$H)</f>
        <v>1325</v>
      </c>
      <c r="Q468">
        <v>1308</v>
      </c>
      <c r="R468">
        <v>1243</v>
      </c>
      <c r="S468">
        <v>792</v>
      </c>
      <c r="T468">
        <v>409</v>
      </c>
      <c r="U468">
        <v>697</v>
      </c>
    </row>
    <row r="469" spans="1:21" x14ac:dyDescent="0.3">
      <c r="A469" s="1">
        <v>44060</v>
      </c>
      <c r="B469" t="s">
        <v>11</v>
      </c>
      <c r="C469" t="s">
        <v>108</v>
      </c>
      <c r="D469" t="s">
        <v>58</v>
      </c>
      <c r="E469" t="s">
        <v>122</v>
      </c>
      <c r="F469" s="2">
        <v>143707</v>
      </c>
      <c r="G469" s="2">
        <v>6949</v>
      </c>
      <c r="H469">
        <v>417</v>
      </c>
      <c r="I469" t="str">
        <f>_xlfn.XLOOKUP($C469,战区信息!$A$1:$A$5,战区信息!$B$1:$B$5)</f>
        <v>001</v>
      </c>
      <c r="J469" t="str">
        <f>_xlfn.XLOOKUP($C469,战区信息!$A$1:$A$5,战区信息!$C$1:$C$5)</f>
        <v>江永</v>
      </c>
      <c r="K469" t="str">
        <f>_xlfn.XLOOKUP($C469,战区信息!$A$1:$A$5,战区信息!$D$1:$D$5)</f>
        <v>一级战区</v>
      </c>
      <c r="L469" t="str">
        <f>_xlfn.XLOOKUP($D469,城市信息!$B$1:$B$14,城市信息!$A$1:$A$14)</f>
        <v>003</v>
      </c>
      <c r="M469" t="str">
        <f>_xlfn.XLOOKUP($D469,城市信息!$B$1:$B$14,城市信息!$C$1:$C$14)</f>
        <v>杜光亮</v>
      </c>
      <c r="N469" t="str">
        <f>_xlfn.XLOOKUP($D469,城市信息!$B$1:$B$14,城市信息!$D$1:$D$14)</f>
        <v>二线</v>
      </c>
      <c r="O469">
        <f>_xlfn.XLOOKUP($D469,城市信息!$B$1:$B$14,城市信息!$E$1:$E$14)</f>
        <v>10499</v>
      </c>
      <c r="P469" cm="1">
        <f t="array" ref="P469:U469">_xlfn.XLOOKUP(A469&amp;B469,'[1]2.4自动化报表-8月获客数据-非乱码'!$A:$A&amp;'[1]2.4自动化报表-8月获客数据-非乱码'!$B:$B,'[1]2.4自动化报表-8月获客数据-非乱码'!$C:$H)</f>
        <v>5872</v>
      </c>
      <c r="Q469">
        <v>5650</v>
      </c>
      <c r="R469">
        <v>5349</v>
      </c>
      <c r="S469">
        <v>3319</v>
      </c>
      <c r="T469">
        <v>1563</v>
      </c>
      <c r="U469">
        <v>702</v>
      </c>
    </row>
    <row r="470" spans="1:21" x14ac:dyDescent="0.3">
      <c r="A470" s="1">
        <v>44060</v>
      </c>
      <c r="B470" t="s">
        <v>10</v>
      </c>
      <c r="C470" t="s">
        <v>108</v>
      </c>
      <c r="D470" t="s">
        <v>58</v>
      </c>
      <c r="E470" t="s">
        <v>123</v>
      </c>
      <c r="F470" s="2">
        <v>38316</v>
      </c>
      <c r="G470" s="2">
        <v>1642</v>
      </c>
      <c r="H470" s="2">
        <v>1113</v>
      </c>
      <c r="I470" t="str">
        <f>_xlfn.XLOOKUP($C470,战区信息!$A$1:$A$5,战区信息!$B$1:$B$5)</f>
        <v>001</v>
      </c>
      <c r="J470" t="str">
        <f>_xlfn.XLOOKUP($C470,战区信息!$A$1:$A$5,战区信息!$C$1:$C$5)</f>
        <v>江永</v>
      </c>
      <c r="K470" t="str">
        <f>_xlfn.XLOOKUP($C470,战区信息!$A$1:$A$5,战区信息!$D$1:$D$5)</f>
        <v>一级战区</v>
      </c>
      <c r="L470" t="str">
        <f>_xlfn.XLOOKUP($D470,城市信息!$B$1:$B$14,城市信息!$A$1:$A$14)</f>
        <v>003</v>
      </c>
      <c r="M470" t="str">
        <f>_xlfn.XLOOKUP($D470,城市信息!$B$1:$B$14,城市信息!$C$1:$C$14)</f>
        <v>杜光亮</v>
      </c>
      <c r="N470" t="str">
        <f>_xlfn.XLOOKUP($D470,城市信息!$B$1:$B$14,城市信息!$D$1:$D$14)</f>
        <v>二线</v>
      </c>
      <c r="O470">
        <f>_xlfn.XLOOKUP($D470,城市信息!$B$1:$B$14,城市信息!$E$1:$E$14)</f>
        <v>10499</v>
      </c>
      <c r="P470" cm="1">
        <f t="array" ref="P470:U470">_xlfn.XLOOKUP(A470&amp;B470,'[1]2.4自动化报表-8月获客数据-非乱码'!$A:$A&amp;'[1]2.4自动化报表-8月获客数据-非乱码'!$B:$B,'[1]2.4自动化报表-8月获客数据-非乱码'!$C:$H)</f>
        <v>1773</v>
      </c>
      <c r="Q470">
        <v>1738</v>
      </c>
      <c r="R470">
        <v>1690</v>
      </c>
      <c r="S470">
        <v>1017</v>
      </c>
      <c r="T470">
        <v>614</v>
      </c>
      <c r="U470">
        <v>701</v>
      </c>
    </row>
    <row r="471" spans="1:21" x14ac:dyDescent="0.3">
      <c r="A471" s="1">
        <v>44060</v>
      </c>
      <c r="B471" t="s">
        <v>9</v>
      </c>
      <c r="C471" t="s">
        <v>108</v>
      </c>
      <c r="D471" t="s">
        <v>58</v>
      </c>
      <c r="E471" t="s">
        <v>124</v>
      </c>
      <c r="F471" s="2">
        <v>187134</v>
      </c>
      <c r="G471" s="2">
        <v>9725</v>
      </c>
      <c r="H471" s="2">
        <v>1061</v>
      </c>
      <c r="I471" t="str">
        <f>_xlfn.XLOOKUP($C471,战区信息!$A$1:$A$5,战区信息!$B$1:$B$5)</f>
        <v>001</v>
      </c>
      <c r="J471" t="str">
        <f>_xlfn.XLOOKUP($C471,战区信息!$A$1:$A$5,战区信息!$C$1:$C$5)</f>
        <v>江永</v>
      </c>
      <c r="K471" t="str">
        <f>_xlfn.XLOOKUP($C471,战区信息!$A$1:$A$5,战区信息!$D$1:$D$5)</f>
        <v>一级战区</v>
      </c>
      <c r="L471" t="str">
        <f>_xlfn.XLOOKUP($D471,城市信息!$B$1:$B$14,城市信息!$A$1:$A$14)</f>
        <v>003</v>
      </c>
      <c r="M471" t="str">
        <f>_xlfn.XLOOKUP($D471,城市信息!$B$1:$B$14,城市信息!$C$1:$C$14)</f>
        <v>杜光亮</v>
      </c>
      <c r="N471" t="str">
        <f>_xlfn.XLOOKUP($D471,城市信息!$B$1:$B$14,城市信息!$D$1:$D$14)</f>
        <v>二线</v>
      </c>
      <c r="O471">
        <f>_xlfn.XLOOKUP($D471,城市信息!$B$1:$B$14,城市信息!$E$1:$E$14)</f>
        <v>10499</v>
      </c>
      <c r="P471" cm="1">
        <f t="array" ref="P471:U471">_xlfn.XLOOKUP(A471&amp;B471,'[1]2.4自动化报表-8月获客数据-非乱码'!$A:$A&amp;'[1]2.4自动化报表-8月获客数据-非乱码'!$B:$B,'[1]2.4自动化报表-8月获客数据-非乱码'!$C:$H)</f>
        <v>4173</v>
      </c>
      <c r="Q471">
        <v>4067</v>
      </c>
      <c r="R471">
        <v>3937</v>
      </c>
      <c r="S471">
        <v>2274</v>
      </c>
      <c r="T471">
        <v>1267</v>
      </c>
      <c r="U471">
        <v>695</v>
      </c>
    </row>
    <row r="472" spans="1:21" x14ac:dyDescent="0.3">
      <c r="A472" s="1">
        <v>44060</v>
      </c>
      <c r="B472" t="s">
        <v>8</v>
      </c>
      <c r="C472" t="s">
        <v>125</v>
      </c>
      <c r="D472" t="s">
        <v>66</v>
      </c>
      <c r="E472" t="s">
        <v>126</v>
      </c>
      <c r="F472" s="2">
        <v>85286</v>
      </c>
      <c r="G472" s="2">
        <v>4392</v>
      </c>
      <c r="H472">
        <v>0</v>
      </c>
      <c r="I472" t="str">
        <f>_xlfn.XLOOKUP($C472,战区信息!$A$1:$A$5,战区信息!$B$1:$B$5)</f>
        <v>004</v>
      </c>
      <c r="J472" t="str">
        <f>_xlfn.XLOOKUP($C472,战区信息!$A$1:$A$5,战区信息!$C$1:$C$5)</f>
        <v>沈乐欣</v>
      </c>
      <c r="K472" t="str">
        <f>_xlfn.XLOOKUP($C472,战区信息!$A$1:$A$5,战区信息!$D$1:$D$5)</f>
        <v>三级战区</v>
      </c>
      <c r="L472" t="str">
        <f>_xlfn.XLOOKUP($D472,城市信息!$B$1:$B$14,城市信息!$A$1:$A$14)</f>
        <v>011</v>
      </c>
      <c r="M472" t="str">
        <f>_xlfn.XLOOKUP($D472,城市信息!$B$1:$B$14,城市信息!$C$1:$C$14)</f>
        <v>冯谦</v>
      </c>
      <c r="N472" t="str">
        <f>_xlfn.XLOOKUP($D472,城市信息!$B$1:$B$14,城市信息!$D$1:$D$14)</f>
        <v>一线</v>
      </c>
      <c r="O472">
        <f>_xlfn.XLOOKUP($D472,城市信息!$B$1:$B$14,城市信息!$E$1:$E$14)</f>
        <v>8244</v>
      </c>
      <c r="P472" cm="1">
        <f t="array" ref="P472:U472">_xlfn.XLOOKUP(A472&amp;B472,'[1]2.4自动化报表-8月获客数据-非乱码'!$A:$A&amp;'[1]2.4自动化报表-8月获客数据-非乱码'!$B:$B,'[1]2.4自动化报表-8月获客数据-非乱码'!$C:$H)</f>
        <v>2068</v>
      </c>
      <c r="Q472">
        <v>2045</v>
      </c>
      <c r="R472">
        <v>1984</v>
      </c>
      <c r="S472">
        <v>1111</v>
      </c>
      <c r="T472">
        <v>736</v>
      </c>
      <c r="U472">
        <v>685</v>
      </c>
    </row>
    <row r="473" spans="1:21" x14ac:dyDescent="0.3">
      <c r="A473" s="1">
        <v>44060</v>
      </c>
      <c r="B473" t="s">
        <v>6</v>
      </c>
      <c r="C473" t="s">
        <v>125</v>
      </c>
      <c r="D473" t="s">
        <v>62</v>
      </c>
      <c r="E473" t="s">
        <v>128</v>
      </c>
      <c r="F473" s="2">
        <v>62336</v>
      </c>
      <c r="G473" s="2">
        <v>2790</v>
      </c>
      <c r="H473">
        <v>0</v>
      </c>
      <c r="I473" t="str">
        <f>_xlfn.XLOOKUP($C473,战区信息!$A$1:$A$5,战区信息!$B$1:$B$5)</f>
        <v>004</v>
      </c>
      <c r="J473" t="str">
        <f>_xlfn.XLOOKUP($C473,战区信息!$A$1:$A$5,战区信息!$C$1:$C$5)</f>
        <v>沈乐欣</v>
      </c>
      <c r="K473" t="str">
        <f>_xlfn.XLOOKUP($C473,战区信息!$A$1:$A$5,战区信息!$D$1:$D$5)</f>
        <v>三级战区</v>
      </c>
      <c r="L473" t="str">
        <f>_xlfn.XLOOKUP($D473,城市信息!$B$1:$B$14,城市信息!$A$1:$A$14)</f>
        <v>007</v>
      </c>
      <c r="M473" t="str">
        <f>_xlfn.XLOOKUP($D473,城市信息!$B$1:$B$14,城市信息!$C$1:$C$14)</f>
        <v>范俊发</v>
      </c>
      <c r="N473" t="str">
        <f>_xlfn.XLOOKUP($D473,城市信息!$B$1:$B$14,城市信息!$D$1:$D$14)</f>
        <v>一线</v>
      </c>
      <c r="O473">
        <f>_xlfn.XLOOKUP($D473,城市信息!$B$1:$B$14,城市信息!$E$1:$E$14)</f>
        <v>12358</v>
      </c>
      <c r="P473" cm="1">
        <f t="array" ref="P473:U473">_xlfn.XLOOKUP(A473&amp;B473,'[1]2.4自动化报表-8月获客数据-非乱码'!$A:$A&amp;'[1]2.4自动化报表-8月获客数据-非乱码'!$B:$B,'[1]2.4自动化报表-8月获客数据-非乱码'!$C:$H)</f>
        <v>1721</v>
      </c>
      <c r="Q473">
        <v>1698</v>
      </c>
      <c r="R473">
        <v>1663</v>
      </c>
      <c r="S473">
        <v>1003</v>
      </c>
      <c r="T473">
        <v>582</v>
      </c>
      <c r="U473">
        <v>688</v>
      </c>
    </row>
    <row r="474" spans="1:21" x14ac:dyDescent="0.3">
      <c r="A474" s="1">
        <v>44060</v>
      </c>
      <c r="B474" t="s">
        <v>5</v>
      </c>
      <c r="C474" t="s">
        <v>125</v>
      </c>
      <c r="D474" t="s">
        <v>62</v>
      </c>
      <c r="E474" t="s">
        <v>129</v>
      </c>
      <c r="F474" s="2">
        <v>36965</v>
      </c>
      <c r="G474" s="2">
        <v>1648</v>
      </c>
      <c r="H474">
        <v>0</v>
      </c>
      <c r="I474" t="str">
        <f>_xlfn.XLOOKUP($C474,战区信息!$A$1:$A$5,战区信息!$B$1:$B$5)</f>
        <v>004</v>
      </c>
      <c r="J474" t="str">
        <f>_xlfn.XLOOKUP($C474,战区信息!$A$1:$A$5,战区信息!$C$1:$C$5)</f>
        <v>沈乐欣</v>
      </c>
      <c r="K474" t="str">
        <f>_xlfn.XLOOKUP($C474,战区信息!$A$1:$A$5,战区信息!$D$1:$D$5)</f>
        <v>三级战区</v>
      </c>
      <c r="L474" t="str">
        <f>_xlfn.XLOOKUP($D474,城市信息!$B$1:$B$14,城市信息!$A$1:$A$14)</f>
        <v>007</v>
      </c>
      <c r="M474" t="str">
        <f>_xlfn.XLOOKUP($D474,城市信息!$B$1:$B$14,城市信息!$C$1:$C$14)</f>
        <v>范俊发</v>
      </c>
      <c r="N474" t="str">
        <f>_xlfn.XLOOKUP($D474,城市信息!$B$1:$B$14,城市信息!$D$1:$D$14)</f>
        <v>一线</v>
      </c>
      <c r="O474">
        <f>_xlfn.XLOOKUP($D474,城市信息!$B$1:$B$14,城市信息!$E$1:$E$14)</f>
        <v>12358</v>
      </c>
      <c r="P474" cm="1">
        <f t="array" ref="P474:U474">_xlfn.XLOOKUP(A474&amp;B474,'[1]2.4自动化报表-8月获客数据-非乱码'!$A:$A&amp;'[1]2.4自动化报表-8月获客数据-非乱码'!$B:$B,'[1]2.4自动化报表-8月获客数据-非乱码'!$C:$H)</f>
        <v>1931</v>
      </c>
      <c r="Q474">
        <v>1887</v>
      </c>
      <c r="R474">
        <v>1804</v>
      </c>
      <c r="S474">
        <v>1146</v>
      </c>
      <c r="T474">
        <v>585</v>
      </c>
      <c r="U474">
        <v>689</v>
      </c>
    </row>
    <row r="475" spans="1:21" x14ac:dyDescent="0.3">
      <c r="A475" s="1">
        <v>44061</v>
      </c>
      <c r="B475" t="s">
        <v>32</v>
      </c>
      <c r="C475" t="s">
        <v>97</v>
      </c>
      <c r="D475" t="s">
        <v>67</v>
      </c>
      <c r="E475" t="s">
        <v>98</v>
      </c>
      <c r="F475" s="2">
        <v>31109</v>
      </c>
      <c r="G475" s="2">
        <v>1605</v>
      </c>
      <c r="H475">
        <v>0</v>
      </c>
      <c r="I475" t="str">
        <f>_xlfn.XLOOKUP($C475,战区信息!$A$1:$A$5,战区信息!$B$1:$B$5)</f>
        <v>003</v>
      </c>
      <c r="J475" t="str">
        <f>_xlfn.XLOOKUP($C475,战区信息!$A$1:$A$5,战区信息!$C$1:$C$5)</f>
        <v>田楠</v>
      </c>
      <c r="K475" t="str">
        <f>_xlfn.XLOOKUP($C475,战区信息!$A$1:$A$5,战区信息!$D$1:$D$5)</f>
        <v>二级战区</v>
      </c>
      <c r="L475" t="str">
        <f>_xlfn.XLOOKUP($D475,城市信息!$B$1:$B$14,城市信息!$A$1:$A$14)</f>
        <v>012</v>
      </c>
      <c r="M475" t="str">
        <f>_xlfn.XLOOKUP($D475,城市信息!$B$1:$B$14,城市信息!$C$1:$C$14)</f>
        <v>于子默</v>
      </c>
      <c r="N475" t="str">
        <f>_xlfn.XLOOKUP($D475,城市信息!$B$1:$B$14,城市信息!$D$1:$D$14)</f>
        <v>二线</v>
      </c>
      <c r="O475">
        <f>_xlfn.XLOOKUP($D475,城市信息!$B$1:$B$14,城市信息!$E$1:$E$14)</f>
        <v>9713</v>
      </c>
      <c r="P475" cm="1">
        <f t="array" ref="P475:U475">_xlfn.XLOOKUP(A475&amp;B475,'[1]2.4自动化报表-8月获客数据-非乱码'!$A:$A&amp;'[1]2.4自动化报表-8月获客数据-非乱码'!$B:$B,'[1]2.4自动化报表-8月获客数据-非乱码'!$C:$H)</f>
        <v>1837</v>
      </c>
      <c r="Q475">
        <v>1813</v>
      </c>
      <c r="R475">
        <v>1754</v>
      </c>
      <c r="S475">
        <v>1068</v>
      </c>
      <c r="T475">
        <v>575</v>
      </c>
      <c r="U475">
        <v>688</v>
      </c>
    </row>
    <row r="476" spans="1:21" x14ac:dyDescent="0.3">
      <c r="A476" s="1">
        <v>44061</v>
      </c>
      <c r="B476" t="s">
        <v>31</v>
      </c>
      <c r="C476" t="s">
        <v>97</v>
      </c>
      <c r="D476" t="s">
        <v>65</v>
      </c>
      <c r="E476" t="s">
        <v>99</v>
      </c>
      <c r="F476" s="2">
        <v>16301</v>
      </c>
      <c r="G476">
        <v>656</v>
      </c>
      <c r="H476">
        <v>0</v>
      </c>
      <c r="I476" t="str">
        <f>_xlfn.XLOOKUP($C476,战区信息!$A$1:$A$5,战区信息!$B$1:$B$5)</f>
        <v>003</v>
      </c>
      <c r="J476" t="str">
        <f>_xlfn.XLOOKUP($C476,战区信息!$A$1:$A$5,战区信息!$C$1:$C$5)</f>
        <v>田楠</v>
      </c>
      <c r="K476" t="str">
        <f>_xlfn.XLOOKUP($C476,战区信息!$A$1:$A$5,战区信息!$D$1:$D$5)</f>
        <v>二级战区</v>
      </c>
      <c r="L476" t="str">
        <f>_xlfn.XLOOKUP($D476,城市信息!$B$1:$B$14,城市信息!$A$1:$A$14)</f>
        <v>010</v>
      </c>
      <c r="M476" t="str">
        <f>_xlfn.XLOOKUP($D476,城市信息!$B$1:$B$14,城市信息!$C$1:$C$14)</f>
        <v>黄鹏天</v>
      </c>
      <c r="N476" t="str">
        <f>_xlfn.XLOOKUP($D476,城市信息!$B$1:$B$14,城市信息!$D$1:$D$14)</f>
        <v>二线</v>
      </c>
      <c r="O476">
        <f>_xlfn.XLOOKUP($D476,城市信息!$B$1:$B$14,城市信息!$E$1:$E$14)</f>
        <v>8295</v>
      </c>
      <c r="P476" cm="1">
        <f t="array" ref="P476:U476">_xlfn.XLOOKUP(A476&amp;B476,'[1]2.4自动化报表-8月获客数据-非乱码'!$A:$A&amp;'[1]2.4自动化报表-8月获客数据-非乱码'!$B:$B,'[1]2.4自动化报表-8月获客数据-非乱码'!$C:$H)</f>
        <v>1332</v>
      </c>
      <c r="Q476">
        <v>1308</v>
      </c>
      <c r="R476">
        <v>1270</v>
      </c>
      <c r="S476">
        <v>751</v>
      </c>
      <c r="T476">
        <v>458</v>
      </c>
      <c r="U476">
        <v>690</v>
      </c>
    </row>
    <row r="477" spans="1:21" x14ac:dyDescent="0.3">
      <c r="A477" s="1">
        <v>44061</v>
      </c>
      <c r="B477" t="s">
        <v>30</v>
      </c>
      <c r="C477" t="s">
        <v>97</v>
      </c>
      <c r="D477" t="s">
        <v>61</v>
      </c>
      <c r="E477" t="s">
        <v>100</v>
      </c>
      <c r="F477" s="2">
        <v>39520</v>
      </c>
      <c r="G477" s="2">
        <v>2456</v>
      </c>
      <c r="H477">
        <v>0</v>
      </c>
      <c r="I477" t="str">
        <f>_xlfn.XLOOKUP($C477,战区信息!$A$1:$A$5,战区信息!$B$1:$B$5)</f>
        <v>003</v>
      </c>
      <c r="J477" t="str">
        <f>_xlfn.XLOOKUP($C477,战区信息!$A$1:$A$5,战区信息!$C$1:$C$5)</f>
        <v>田楠</v>
      </c>
      <c r="K477" t="str">
        <f>_xlfn.XLOOKUP($C477,战区信息!$A$1:$A$5,战区信息!$D$1:$D$5)</f>
        <v>二级战区</v>
      </c>
      <c r="L477" t="str">
        <f>_xlfn.XLOOKUP($D477,城市信息!$B$1:$B$14,城市信息!$A$1:$A$14)</f>
        <v>006</v>
      </c>
      <c r="M477" t="str">
        <f>_xlfn.XLOOKUP($D477,城市信息!$B$1:$B$14,城市信息!$C$1:$C$14)</f>
        <v>王刚</v>
      </c>
      <c r="N477" t="str">
        <f>_xlfn.XLOOKUP($D477,城市信息!$B$1:$B$14,城市信息!$D$1:$D$14)</f>
        <v>二线</v>
      </c>
      <c r="O477">
        <f>_xlfn.XLOOKUP($D477,城市信息!$B$1:$B$14,城市信息!$E$1:$E$14)</f>
        <v>9107</v>
      </c>
      <c r="P477" cm="1">
        <f t="array" ref="P477:U477">_xlfn.XLOOKUP(A477&amp;B477,'[1]2.4自动化报表-8月获客数据-非乱码'!$A:$A&amp;'[1]2.4自动化报表-8月获客数据-非乱码'!$B:$B,'[1]2.4自动化报表-8月获客数据-非乱码'!$C:$H)</f>
        <v>1380</v>
      </c>
      <c r="Q477">
        <v>1359</v>
      </c>
      <c r="R477">
        <v>1319</v>
      </c>
      <c r="S477">
        <v>868</v>
      </c>
      <c r="T477">
        <v>507</v>
      </c>
      <c r="U477">
        <v>702</v>
      </c>
    </row>
    <row r="478" spans="1:21" x14ac:dyDescent="0.3">
      <c r="A478" s="1">
        <v>44061</v>
      </c>
      <c r="B478" t="s">
        <v>29</v>
      </c>
      <c r="C478" t="s">
        <v>97</v>
      </c>
      <c r="D478" t="s">
        <v>64</v>
      </c>
      <c r="E478" t="s">
        <v>101</v>
      </c>
      <c r="F478" s="2">
        <v>10111</v>
      </c>
      <c r="G478">
        <v>581</v>
      </c>
      <c r="H478">
        <v>0</v>
      </c>
      <c r="I478" t="str">
        <f>_xlfn.XLOOKUP($C478,战区信息!$A$1:$A$5,战区信息!$B$1:$B$5)</f>
        <v>003</v>
      </c>
      <c r="J478" t="str">
        <f>_xlfn.XLOOKUP($C478,战区信息!$A$1:$A$5,战区信息!$C$1:$C$5)</f>
        <v>田楠</v>
      </c>
      <c r="K478" t="str">
        <f>_xlfn.XLOOKUP($C478,战区信息!$A$1:$A$5,战区信息!$D$1:$D$5)</f>
        <v>二级战区</v>
      </c>
      <c r="L478" t="str">
        <f>_xlfn.XLOOKUP($D478,城市信息!$B$1:$B$14,城市信息!$A$1:$A$14)</f>
        <v>009</v>
      </c>
      <c r="M478" t="str">
        <f>_xlfn.XLOOKUP($D478,城市信息!$B$1:$B$14,城市信息!$C$1:$C$14)</f>
        <v>叶超</v>
      </c>
      <c r="N478" t="str">
        <f>_xlfn.XLOOKUP($D478,城市信息!$B$1:$B$14,城市信息!$D$1:$D$14)</f>
        <v>二线</v>
      </c>
      <c r="O478">
        <f>_xlfn.XLOOKUP($D478,城市信息!$B$1:$B$14,城市信息!$E$1:$E$14)</f>
        <v>9016</v>
      </c>
      <c r="P478" cm="1">
        <f t="array" ref="P478:U478">_xlfn.XLOOKUP(A478&amp;B478,'[1]2.4自动化报表-8月获客数据-非乱码'!$A:$A&amp;'[1]2.4自动化报表-8月获客数据-非乱码'!$B:$B,'[1]2.4自动化报表-8月获客数据-非乱码'!$C:$H)</f>
        <v>1946</v>
      </c>
      <c r="Q478">
        <v>1900</v>
      </c>
      <c r="R478">
        <v>1835</v>
      </c>
      <c r="S478">
        <v>1189</v>
      </c>
      <c r="T478">
        <v>695</v>
      </c>
      <c r="U478">
        <v>693</v>
      </c>
    </row>
    <row r="479" spans="1:21" x14ac:dyDescent="0.3">
      <c r="A479" s="1">
        <v>44061</v>
      </c>
      <c r="B479" t="s">
        <v>27</v>
      </c>
      <c r="C479" t="s">
        <v>103</v>
      </c>
      <c r="D479" t="s">
        <v>63</v>
      </c>
      <c r="E479" t="s">
        <v>104</v>
      </c>
      <c r="F479" s="2">
        <v>42840</v>
      </c>
      <c r="G479" s="2">
        <v>1902</v>
      </c>
      <c r="H479">
        <v>0</v>
      </c>
      <c r="I479" t="str">
        <f>_xlfn.XLOOKUP($C479,战区信息!$A$1:$A$5,战区信息!$B$1:$B$5)</f>
        <v>002</v>
      </c>
      <c r="J479" t="str">
        <f>_xlfn.XLOOKUP($C479,战区信息!$A$1:$A$5,战区信息!$C$1:$C$5)</f>
        <v>高安平</v>
      </c>
      <c r="K479" t="str">
        <f>_xlfn.XLOOKUP($C479,战区信息!$A$1:$A$5,战区信息!$D$1:$D$5)</f>
        <v>二级战区</v>
      </c>
      <c r="L479" t="str">
        <f>_xlfn.XLOOKUP($D479,城市信息!$B$1:$B$14,城市信息!$A$1:$A$14)</f>
        <v>008</v>
      </c>
      <c r="M479" t="str">
        <f>_xlfn.XLOOKUP($D479,城市信息!$B$1:$B$14,城市信息!$C$1:$C$14)</f>
        <v>高弘壮</v>
      </c>
      <c r="N479" t="str">
        <f>_xlfn.XLOOKUP($D479,城市信息!$B$1:$B$14,城市信息!$D$1:$D$14)</f>
        <v>一线</v>
      </c>
      <c r="O479">
        <f>_xlfn.XLOOKUP($D479,城市信息!$B$1:$B$14,城市信息!$E$1:$E$14)</f>
        <v>11498</v>
      </c>
      <c r="P479" cm="1">
        <f t="array" ref="P479:U479">_xlfn.XLOOKUP(A479&amp;B479,'[1]2.4自动化报表-8月获客数据-非乱码'!$A:$A&amp;'[1]2.4自动化报表-8月获客数据-非乱码'!$B:$B,'[1]2.4自动化报表-8月获客数据-非乱码'!$C:$H)</f>
        <v>3177</v>
      </c>
      <c r="Q479">
        <v>3083</v>
      </c>
      <c r="R479">
        <v>2932</v>
      </c>
      <c r="S479">
        <v>1742</v>
      </c>
      <c r="T479">
        <v>890</v>
      </c>
      <c r="U479">
        <v>689</v>
      </c>
    </row>
    <row r="480" spans="1:21" x14ac:dyDescent="0.3">
      <c r="A480" s="1">
        <v>44061</v>
      </c>
      <c r="B480" t="s">
        <v>26</v>
      </c>
      <c r="C480" t="s">
        <v>103</v>
      </c>
      <c r="D480" t="s">
        <v>57</v>
      </c>
      <c r="E480" t="s">
        <v>105</v>
      </c>
      <c r="F480" s="2">
        <v>71556</v>
      </c>
      <c r="G480" s="2">
        <v>3996</v>
      </c>
      <c r="H480" s="2">
        <v>13548</v>
      </c>
      <c r="I480" t="str">
        <f>_xlfn.XLOOKUP($C480,战区信息!$A$1:$A$5,战区信息!$B$1:$B$5)</f>
        <v>002</v>
      </c>
      <c r="J480" t="str">
        <f>_xlfn.XLOOKUP($C480,战区信息!$A$1:$A$5,战区信息!$C$1:$C$5)</f>
        <v>高安平</v>
      </c>
      <c r="K480" t="str">
        <f>_xlfn.XLOOKUP($C480,战区信息!$A$1:$A$5,战区信息!$D$1:$D$5)</f>
        <v>二级战区</v>
      </c>
      <c r="L480" t="str">
        <f>_xlfn.XLOOKUP($D480,城市信息!$B$1:$B$14,城市信息!$A$1:$A$14)</f>
        <v>002</v>
      </c>
      <c r="M480" t="str">
        <f>_xlfn.XLOOKUP($D480,城市信息!$B$1:$B$14,城市信息!$C$1:$C$14)</f>
        <v>孙乒</v>
      </c>
      <c r="N480" t="str">
        <f>_xlfn.XLOOKUP($D480,城市信息!$B$1:$B$14,城市信息!$D$1:$D$14)</f>
        <v>一线</v>
      </c>
      <c r="O480">
        <f>_xlfn.XLOOKUP($D480,城市信息!$B$1:$B$14,城市信息!$E$1:$E$14)</f>
        <v>9854</v>
      </c>
      <c r="P480" cm="1">
        <f t="array" ref="P480:U480">_xlfn.XLOOKUP(A480&amp;B480,'[1]2.4自动化报表-8月获客数据-非乱码'!$A:$A&amp;'[1]2.4自动化报表-8月获客数据-非乱码'!$B:$B,'[1]2.4自动化报表-8月获客数据-非乱码'!$C:$H)</f>
        <v>4465</v>
      </c>
      <c r="Q480">
        <v>4350</v>
      </c>
      <c r="R480">
        <v>4165</v>
      </c>
      <c r="S480">
        <v>2570</v>
      </c>
      <c r="T480">
        <v>1475</v>
      </c>
      <c r="U480">
        <v>687</v>
      </c>
    </row>
    <row r="481" spans="1:21" x14ac:dyDescent="0.3">
      <c r="A481" s="1">
        <v>44061</v>
      </c>
      <c r="B481" t="s">
        <v>25</v>
      </c>
      <c r="C481" t="s">
        <v>103</v>
      </c>
      <c r="D481" t="s">
        <v>57</v>
      </c>
      <c r="E481" t="s">
        <v>106</v>
      </c>
      <c r="F481" s="2">
        <v>57057</v>
      </c>
      <c r="G481" s="2">
        <v>2938</v>
      </c>
      <c r="H481">
        <v>0</v>
      </c>
      <c r="I481" t="str">
        <f>_xlfn.XLOOKUP($C481,战区信息!$A$1:$A$5,战区信息!$B$1:$B$5)</f>
        <v>002</v>
      </c>
      <c r="J481" t="str">
        <f>_xlfn.XLOOKUP($C481,战区信息!$A$1:$A$5,战区信息!$C$1:$C$5)</f>
        <v>高安平</v>
      </c>
      <c r="K481" t="str">
        <f>_xlfn.XLOOKUP($C481,战区信息!$A$1:$A$5,战区信息!$D$1:$D$5)</f>
        <v>二级战区</v>
      </c>
      <c r="L481" t="str">
        <f>_xlfn.XLOOKUP($D481,城市信息!$B$1:$B$14,城市信息!$A$1:$A$14)</f>
        <v>002</v>
      </c>
      <c r="M481" t="str">
        <f>_xlfn.XLOOKUP($D481,城市信息!$B$1:$B$14,城市信息!$C$1:$C$14)</f>
        <v>孙乒</v>
      </c>
      <c r="N481" t="str">
        <f>_xlfn.XLOOKUP($D481,城市信息!$B$1:$B$14,城市信息!$D$1:$D$14)</f>
        <v>一线</v>
      </c>
      <c r="O481">
        <f>_xlfn.XLOOKUP($D481,城市信息!$B$1:$B$14,城市信息!$E$1:$E$14)</f>
        <v>9854</v>
      </c>
      <c r="P481" cm="1">
        <f t="array" ref="P481:U481">_xlfn.XLOOKUP(A481&amp;B481,'[1]2.4自动化报表-8月获客数据-非乱码'!$A:$A&amp;'[1]2.4自动化报表-8月获客数据-非乱码'!$B:$B,'[1]2.4自动化报表-8月获客数据-非乱码'!$C:$H)</f>
        <v>3919</v>
      </c>
      <c r="Q481">
        <v>3809</v>
      </c>
      <c r="R481">
        <v>3607</v>
      </c>
      <c r="S481">
        <v>2143</v>
      </c>
      <c r="T481">
        <v>1211</v>
      </c>
      <c r="U481">
        <v>689</v>
      </c>
    </row>
    <row r="482" spans="1:21" x14ac:dyDescent="0.3">
      <c r="A482" s="1">
        <v>44061</v>
      </c>
      <c r="B482" t="s">
        <v>24</v>
      </c>
      <c r="C482" t="s">
        <v>103</v>
      </c>
      <c r="D482" t="s">
        <v>57</v>
      </c>
      <c r="E482" t="s">
        <v>107</v>
      </c>
      <c r="F482" s="2">
        <v>91603</v>
      </c>
      <c r="G482" s="2">
        <v>4732</v>
      </c>
      <c r="H482">
        <v>0</v>
      </c>
      <c r="I482" t="str">
        <f>_xlfn.XLOOKUP($C482,战区信息!$A$1:$A$5,战区信息!$B$1:$B$5)</f>
        <v>002</v>
      </c>
      <c r="J482" t="str">
        <f>_xlfn.XLOOKUP($C482,战区信息!$A$1:$A$5,战区信息!$C$1:$C$5)</f>
        <v>高安平</v>
      </c>
      <c r="K482" t="str">
        <f>_xlfn.XLOOKUP($C482,战区信息!$A$1:$A$5,战区信息!$D$1:$D$5)</f>
        <v>二级战区</v>
      </c>
      <c r="L482" t="str">
        <f>_xlfn.XLOOKUP($D482,城市信息!$B$1:$B$14,城市信息!$A$1:$A$14)</f>
        <v>002</v>
      </c>
      <c r="M482" t="str">
        <f>_xlfn.XLOOKUP($D482,城市信息!$B$1:$B$14,城市信息!$C$1:$C$14)</f>
        <v>孙乒</v>
      </c>
      <c r="N482" t="str">
        <f>_xlfn.XLOOKUP($D482,城市信息!$B$1:$B$14,城市信息!$D$1:$D$14)</f>
        <v>一线</v>
      </c>
      <c r="O482">
        <f>_xlfn.XLOOKUP($D482,城市信息!$B$1:$B$14,城市信息!$E$1:$E$14)</f>
        <v>9854</v>
      </c>
      <c r="P482" cm="1">
        <f t="array" ref="P482:U482">_xlfn.XLOOKUP(A482&amp;B482,'[1]2.4自动化报表-8月获客数据-非乱码'!$A:$A&amp;'[1]2.4自动化报表-8月获客数据-非乱码'!$B:$B,'[1]2.4自动化报表-8月获客数据-非乱码'!$C:$H)</f>
        <v>3573</v>
      </c>
      <c r="Q482">
        <v>3501</v>
      </c>
      <c r="R482">
        <v>3352</v>
      </c>
      <c r="S482">
        <v>2040</v>
      </c>
      <c r="T482">
        <v>1238</v>
      </c>
      <c r="U482">
        <v>691</v>
      </c>
    </row>
    <row r="483" spans="1:21" x14ac:dyDescent="0.3">
      <c r="A483" s="1">
        <v>44061</v>
      </c>
      <c r="B483" t="s">
        <v>23</v>
      </c>
      <c r="C483" t="s">
        <v>108</v>
      </c>
      <c r="D483" t="s">
        <v>109</v>
      </c>
      <c r="E483" t="s">
        <v>110</v>
      </c>
      <c r="F483" s="2">
        <v>212926</v>
      </c>
      <c r="G483" s="2">
        <v>12535</v>
      </c>
      <c r="H483">
        <v>0</v>
      </c>
      <c r="I483" t="str">
        <f>_xlfn.XLOOKUP($C483,战区信息!$A$1:$A$5,战区信息!$B$1:$B$5)</f>
        <v>001</v>
      </c>
      <c r="J483" t="str">
        <f>_xlfn.XLOOKUP($C483,战区信息!$A$1:$A$5,战区信息!$C$1:$C$5)</f>
        <v>江永</v>
      </c>
      <c r="K483" t="str">
        <f>_xlfn.XLOOKUP($C483,战区信息!$A$1:$A$5,战区信息!$D$1:$D$5)</f>
        <v>一级战区</v>
      </c>
      <c r="L483" t="str">
        <f>_xlfn.XLOOKUP($D483,城市信息!$B$1:$B$14,城市信息!$A$1:$A$14)</f>
        <v>013</v>
      </c>
      <c r="M483" t="str">
        <f>_xlfn.XLOOKUP($D483,城市信息!$B$1:$B$14,城市信息!$C$1:$C$14)</f>
        <v>张建</v>
      </c>
      <c r="N483" t="str">
        <f>_xlfn.XLOOKUP($D483,城市信息!$B$1:$B$14,城市信息!$D$1:$D$14)</f>
        <v>二线</v>
      </c>
      <c r="O483">
        <f>_xlfn.XLOOKUP($D483,城市信息!$B$1:$B$14,城市信息!$E$1:$E$14)</f>
        <v>8800</v>
      </c>
      <c r="P483" cm="1">
        <f t="array" ref="P483:U483">_xlfn.XLOOKUP(A483&amp;B483,'[1]2.4自动化报表-8月获客数据-非乱码'!$A:$A&amp;'[1]2.4自动化报表-8月获客数据-非乱码'!$B:$B,'[1]2.4自动化报表-8月获客数据-非乱码'!$C:$H)</f>
        <v>6538</v>
      </c>
      <c r="Q483">
        <v>6297</v>
      </c>
      <c r="R483">
        <v>5999</v>
      </c>
      <c r="S483">
        <v>3653</v>
      </c>
      <c r="T483">
        <v>1893</v>
      </c>
      <c r="U483">
        <v>695</v>
      </c>
    </row>
    <row r="484" spans="1:21" x14ac:dyDescent="0.3">
      <c r="A484" s="1">
        <v>44061</v>
      </c>
      <c r="B484" t="s">
        <v>22</v>
      </c>
      <c r="C484" t="s">
        <v>108</v>
      </c>
      <c r="D484" t="s">
        <v>109</v>
      </c>
      <c r="E484" t="s">
        <v>111</v>
      </c>
      <c r="F484" s="2">
        <v>25744</v>
      </c>
      <c r="G484" s="2">
        <v>1351</v>
      </c>
      <c r="H484">
        <v>0</v>
      </c>
      <c r="I484" t="str">
        <f>_xlfn.XLOOKUP($C484,战区信息!$A$1:$A$5,战区信息!$B$1:$B$5)</f>
        <v>001</v>
      </c>
      <c r="J484" t="str">
        <f>_xlfn.XLOOKUP($C484,战区信息!$A$1:$A$5,战区信息!$C$1:$C$5)</f>
        <v>江永</v>
      </c>
      <c r="K484" t="str">
        <f>_xlfn.XLOOKUP($C484,战区信息!$A$1:$A$5,战区信息!$D$1:$D$5)</f>
        <v>一级战区</v>
      </c>
      <c r="L484" t="str">
        <f>_xlfn.XLOOKUP($D484,城市信息!$B$1:$B$14,城市信息!$A$1:$A$14)</f>
        <v>013</v>
      </c>
      <c r="M484" t="str">
        <f>_xlfn.XLOOKUP($D484,城市信息!$B$1:$B$14,城市信息!$C$1:$C$14)</f>
        <v>张建</v>
      </c>
      <c r="N484" t="str">
        <f>_xlfn.XLOOKUP($D484,城市信息!$B$1:$B$14,城市信息!$D$1:$D$14)</f>
        <v>二线</v>
      </c>
      <c r="O484">
        <f>_xlfn.XLOOKUP($D484,城市信息!$B$1:$B$14,城市信息!$E$1:$E$14)</f>
        <v>8800</v>
      </c>
      <c r="P484" cm="1">
        <f t="array" ref="P484:U484">_xlfn.XLOOKUP(A484&amp;B484,'[1]2.4自动化报表-8月获客数据-非乱码'!$A:$A&amp;'[1]2.4自动化报表-8月获客数据-非乱码'!$B:$B,'[1]2.4自动化报表-8月获客数据-非乱码'!$C:$H)</f>
        <v>378</v>
      </c>
      <c r="Q484">
        <v>369</v>
      </c>
      <c r="R484">
        <v>352</v>
      </c>
      <c r="S484">
        <v>205</v>
      </c>
      <c r="T484">
        <v>128</v>
      </c>
      <c r="U484">
        <v>690</v>
      </c>
    </row>
    <row r="485" spans="1:21" x14ac:dyDescent="0.3">
      <c r="A485" s="1">
        <v>44061</v>
      </c>
      <c r="B485" t="s">
        <v>21</v>
      </c>
      <c r="C485" t="s">
        <v>108</v>
      </c>
      <c r="D485" t="s">
        <v>109</v>
      </c>
      <c r="E485" t="s">
        <v>112</v>
      </c>
      <c r="F485" s="2">
        <v>75971</v>
      </c>
      <c r="G485" s="2">
        <v>3388</v>
      </c>
      <c r="H485">
        <v>0</v>
      </c>
      <c r="I485" t="str">
        <f>_xlfn.XLOOKUP($C485,战区信息!$A$1:$A$5,战区信息!$B$1:$B$5)</f>
        <v>001</v>
      </c>
      <c r="J485" t="str">
        <f>_xlfn.XLOOKUP($C485,战区信息!$A$1:$A$5,战区信息!$C$1:$C$5)</f>
        <v>江永</v>
      </c>
      <c r="K485" t="str">
        <f>_xlfn.XLOOKUP($C485,战区信息!$A$1:$A$5,战区信息!$D$1:$D$5)</f>
        <v>一级战区</v>
      </c>
      <c r="L485" t="str">
        <f>_xlfn.XLOOKUP($D485,城市信息!$B$1:$B$14,城市信息!$A$1:$A$14)</f>
        <v>013</v>
      </c>
      <c r="M485" t="str">
        <f>_xlfn.XLOOKUP($D485,城市信息!$B$1:$B$14,城市信息!$C$1:$C$14)</f>
        <v>张建</v>
      </c>
      <c r="N485" t="str">
        <f>_xlfn.XLOOKUP($D485,城市信息!$B$1:$B$14,城市信息!$D$1:$D$14)</f>
        <v>二线</v>
      </c>
      <c r="O485">
        <f>_xlfn.XLOOKUP($D485,城市信息!$B$1:$B$14,城市信息!$E$1:$E$14)</f>
        <v>8800</v>
      </c>
      <c r="P485" cm="1">
        <f t="array" ref="P485:U485">_xlfn.XLOOKUP(A485&amp;B485,'[1]2.4自动化报表-8月获客数据-非乱码'!$A:$A&amp;'[1]2.4自动化报表-8月获客数据-非乱码'!$B:$B,'[1]2.4自动化报表-8月获客数据-非乱码'!$C:$H)</f>
        <v>4873</v>
      </c>
      <c r="Q485">
        <v>4713</v>
      </c>
      <c r="R485">
        <v>4488</v>
      </c>
      <c r="S485">
        <v>2591</v>
      </c>
      <c r="T485">
        <v>1469</v>
      </c>
      <c r="U485">
        <v>695</v>
      </c>
    </row>
    <row r="486" spans="1:21" x14ac:dyDescent="0.3">
      <c r="A486" s="1">
        <v>44061</v>
      </c>
      <c r="B486" t="s">
        <v>20</v>
      </c>
      <c r="C486" t="s">
        <v>108</v>
      </c>
      <c r="D486" t="s">
        <v>56</v>
      </c>
      <c r="E486" t="s">
        <v>113</v>
      </c>
      <c r="F486" s="2">
        <v>127671</v>
      </c>
      <c r="G486" s="2">
        <v>5766</v>
      </c>
      <c r="H486">
        <v>0</v>
      </c>
      <c r="I486" t="str">
        <f>_xlfn.XLOOKUP($C486,战区信息!$A$1:$A$5,战区信息!$B$1:$B$5)</f>
        <v>001</v>
      </c>
      <c r="J486" t="str">
        <f>_xlfn.XLOOKUP($C486,战区信息!$A$1:$A$5,战区信息!$C$1:$C$5)</f>
        <v>江永</v>
      </c>
      <c r="K486" t="str">
        <f>_xlfn.XLOOKUP($C486,战区信息!$A$1:$A$5,战区信息!$D$1:$D$5)</f>
        <v>一级战区</v>
      </c>
      <c r="L486" t="str">
        <f>_xlfn.XLOOKUP($D486,城市信息!$B$1:$B$14,城市信息!$A$1:$A$14)</f>
        <v>001</v>
      </c>
      <c r="M486" t="str">
        <f>_xlfn.XLOOKUP($D486,城市信息!$B$1:$B$14,城市信息!$C$1:$C$14)</f>
        <v>吴刚</v>
      </c>
      <c r="N486" t="str">
        <f>_xlfn.XLOOKUP($D486,城市信息!$B$1:$B$14,城市信息!$D$1:$D$14)</f>
        <v>一线</v>
      </c>
      <c r="O486">
        <f>_xlfn.XLOOKUP($D486,城市信息!$B$1:$B$14,城市信息!$E$1:$E$14)</f>
        <v>12114</v>
      </c>
      <c r="P486" cm="1">
        <f t="array" ref="P486:U486">_xlfn.XLOOKUP(A486&amp;B486,'[1]2.4自动化报表-8月获客数据-非乱码'!$A:$A&amp;'[1]2.4自动化报表-8月获客数据-非乱码'!$B:$B,'[1]2.4自动化报表-8月获客数据-非乱码'!$C:$H)</f>
        <v>3789</v>
      </c>
      <c r="Q486">
        <v>3668</v>
      </c>
      <c r="R486">
        <v>3542</v>
      </c>
      <c r="S486">
        <v>2152</v>
      </c>
      <c r="T486">
        <v>1227</v>
      </c>
      <c r="U486">
        <v>696</v>
      </c>
    </row>
    <row r="487" spans="1:21" x14ac:dyDescent="0.3">
      <c r="A487" s="1">
        <v>44061</v>
      </c>
      <c r="B487" t="s">
        <v>19</v>
      </c>
      <c r="C487" t="s">
        <v>108</v>
      </c>
      <c r="D487" t="s">
        <v>56</v>
      </c>
      <c r="E487" t="s">
        <v>114</v>
      </c>
      <c r="F487" s="2">
        <v>34442</v>
      </c>
      <c r="G487" s="2">
        <v>2253</v>
      </c>
      <c r="H487">
        <v>0</v>
      </c>
      <c r="I487" t="str">
        <f>_xlfn.XLOOKUP($C487,战区信息!$A$1:$A$5,战区信息!$B$1:$B$5)</f>
        <v>001</v>
      </c>
      <c r="J487" t="str">
        <f>_xlfn.XLOOKUP($C487,战区信息!$A$1:$A$5,战区信息!$C$1:$C$5)</f>
        <v>江永</v>
      </c>
      <c r="K487" t="str">
        <f>_xlfn.XLOOKUP($C487,战区信息!$A$1:$A$5,战区信息!$D$1:$D$5)</f>
        <v>一级战区</v>
      </c>
      <c r="L487" t="str">
        <f>_xlfn.XLOOKUP($D487,城市信息!$B$1:$B$14,城市信息!$A$1:$A$14)</f>
        <v>001</v>
      </c>
      <c r="M487" t="str">
        <f>_xlfn.XLOOKUP($D487,城市信息!$B$1:$B$14,城市信息!$C$1:$C$14)</f>
        <v>吴刚</v>
      </c>
      <c r="N487" t="str">
        <f>_xlfn.XLOOKUP($D487,城市信息!$B$1:$B$14,城市信息!$D$1:$D$14)</f>
        <v>一线</v>
      </c>
      <c r="O487">
        <f>_xlfn.XLOOKUP($D487,城市信息!$B$1:$B$14,城市信息!$E$1:$E$14)</f>
        <v>12114</v>
      </c>
      <c r="P487" cm="1">
        <f t="array" ref="P487:U487">_xlfn.XLOOKUP(A487&amp;B487,'[1]2.4自动化报表-8月获客数据-非乱码'!$A:$A&amp;'[1]2.4自动化报表-8月获客数据-非乱码'!$B:$B,'[1]2.4自动化报表-8月获客数据-非乱码'!$C:$H)</f>
        <v>2925</v>
      </c>
      <c r="Q487">
        <v>2858</v>
      </c>
      <c r="R487">
        <v>2747</v>
      </c>
      <c r="S487">
        <v>1612</v>
      </c>
      <c r="T487">
        <v>968</v>
      </c>
      <c r="U487">
        <v>696</v>
      </c>
    </row>
    <row r="488" spans="1:21" x14ac:dyDescent="0.3">
      <c r="A488" s="1">
        <v>44061</v>
      </c>
      <c r="B488" t="s">
        <v>18</v>
      </c>
      <c r="C488" t="s">
        <v>108</v>
      </c>
      <c r="D488" t="s">
        <v>56</v>
      </c>
      <c r="E488" t="s">
        <v>115</v>
      </c>
      <c r="F488" s="2">
        <v>41031</v>
      </c>
      <c r="G488" s="2">
        <v>1600</v>
      </c>
      <c r="H488">
        <v>0</v>
      </c>
      <c r="I488" t="str">
        <f>_xlfn.XLOOKUP($C488,战区信息!$A$1:$A$5,战区信息!$B$1:$B$5)</f>
        <v>001</v>
      </c>
      <c r="J488" t="str">
        <f>_xlfn.XLOOKUP($C488,战区信息!$A$1:$A$5,战区信息!$C$1:$C$5)</f>
        <v>江永</v>
      </c>
      <c r="K488" t="str">
        <f>_xlfn.XLOOKUP($C488,战区信息!$A$1:$A$5,战区信息!$D$1:$D$5)</f>
        <v>一级战区</v>
      </c>
      <c r="L488" t="str">
        <f>_xlfn.XLOOKUP($D488,城市信息!$B$1:$B$14,城市信息!$A$1:$A$14)</f>
        <v>001</v>
      </c>
      <c r="M488" t="str">
        <f>_xlfn.XLOOKUP($D488,城市信息!$B$1:$B$14,城市信息!$C$1:$C$14)</f>
        <v>吴刚</v>
      </c>
      <c r="N488" t="str">
        <f>_xlfn.XLOOKUP($D488,城市信息!$B$1:$B$14,城市信息!$D$1:$D$14)</f>
        <v>一线</v>
      </c>
      <c r="O488">
        <f>_xlfn.XLOOKUP($D488,城市信息!$B$1:$B$14,城市信息!$E$1:$E$14)</f>
        <v>12114</v>
      </c>
      <c r="P488" cm="1">
        <f t="array" ref="P488:U488">_xlfn.XLOOKUP(A488&amp;B488,'[1]2.4自动化报表-8月获客数据-非乱码'!$A:$A&amp;'[1]2.4自动化报表-8月获客数据-非乱码'!$B:$B,'[1]2.4自动化报表-8月获客数据-非乱码'!$C:$H)</f>
        <v>1838</v>
      </c>
      <c r="Q488">
        <v>1812</v>
      </c>
      <c r="R488">
        <v>1743</v>
      </c>
      <c r="S488">
        <v>1022</v>
      </c>
      <c r="T488">
        <v>561</v>
      </c>
      <c r="U488">
        <v>693</v>
      </c>
    </row>
    <row r="489" spans="1:21" x14ac:dyDescent="0.3">
      <c r="A489" s="1">
        <v>44061</v>
      </c>
      <c r="B489" t="s">
        <v>17</v>
      </c>
      <c r="C489" t="s">
        <v>108</v>
      </c>
      <c r="D489" t="s">
        <v>59</v>
      </c>
      <c r="E489" t="s">
        <v>116</v>
      </c>
      <c r="F489" s="2">
        <v>45201</v>
      </c>
      <c r="G489" s="2">
        <v>2052</v>
      </c>
      <c r="H489">
        <v>0</v>
      </c>
      <c r="I489" t="str">
        <f>_xlfn.XLOOKUP($C489,战区信息!$A$1:$A$5,战区信息!$B$1:$B$5)</f>
        <v>001</v>
      </c>
      <c r="J489" t="str">
        <f>_xlfn.XLOOKUP($C489,战区信息!$A$1:$A$5,战区信息!$C$1:$C$5)</f>
        <v>江永</v>
      </c>
      <c r="K489" t="str">
        <f>_xlfn.XLOOKUP($C489,战区信息!$A$1:$A$5,战区信息!$D$1:$D$5)</f>
        <v>一级战区</v>
      </c>
      <c r="L489" t="str">
        <f>_xlfn.XLOOKUP($D489,城市信息!$B$1:$B$14,城市信息!$A$1:$A$14)</f>
        <v>004</v>
      </c>
      <c r="M489" t="str">
        <f>_xlfn.XLOOKUP($D489,城市信息!$B$1:$B$14,城市信息!$C$1:$C$14)</f>
        <v>苏川</v>
      </c>
      <c r="N489" t="str">
        <f>_xlfn.XLOOKUP($D489,城市信息!$B$1:$B$14,城市信息!$D$1:$D$14)</f>
        <v>二线</v>
      </c>
      <c r="O489">
        <f>_xlfn.XLOOKUP($D489,城市信息!$B$1:$B$14,城市信息!$E$1:$E$14)</f>
        <v>9912</v>
      </c>
      <c r="P489" cm="1">
        <f t="array" ref="P489:U489">_xlfn.XLOOKUP(A489&amp;B489,'[1]2.4自动化报表-8月获客数据-非乱码'!$A:$A&amp;'[1]2.4自动化报表-8月获客数据-非乱码'!$B:$B,'[1]2.4自动化报表-8月获客数据-非乱码'!$C:$H)</f>
        <v>2639</v>
      </c>
      <c r="Q489">
        <v>2583</v>
      </c>
      <c r="R489">
        <v>2488</v>
      </c>
      <c r="S489">
        <v>1436</v>
      </c>
      <c r="T489">
        <v>781</v>
      </c>
      <c r="U489">
        <v>697</v>
      </c>
    </row>
    <row r="490" spans="1:21" x14ac:dyDescent="0.3">
      <c r="A490" s="1">
        <v>44061</v>
      </c>
      <c r="B490" t="s">
        <v>16</v>
      </c>
      <c r="C490" t="s">
        <v>108</v>
      </c>
      <c r="D490" t="s">
        <v>59</v>
      </c>
      <c r="E490" t="s">
        <v>117</v>
      </c>
      <c r="F490" s="2">
        <v>17664</v>
      </c>
      <c r="G490">
        <v>762</v>
      </c>
      <c r="H490">
        <v>0</v>
      </c>
      <c r="I490" t="str">
        <f>_xlfn.XLOOKUP($C490,战区信息!$A$1:$A$5,战区信息!$B$1:$B$5)</f>
        <v>001</v>
      </c>
      <c r="J490" t="str">
        <f>_xlfn.XLOOKUP($C490,战区信息!$A$1:$A$5,战区信息!$C$1:$C$5)</f>
        <v>江永</v>
      </c>
      <c r="K490" t="str">
        <f>_xlfn.XLOOKUP($C490,战区信息!$A$1:$A$5,战区信息!$D$1:$D$5)</f>
        <v>一级战区</v>
      </c>
      <c r="L490" t="str">
        <f>_xlfn.XLOOKUP($D490,城市信息!$B$1:$B$14,城市信息!$A$1:$A$14)</f>
        <v>004</v>
      </c>
      <c r="M490" t="str">
        <f>_xlfn.XLOOKUP($D490,城市信息!$B$1:$B$14,城市信息!$C$1:$C$14)</f>
        <v>苏川</v>
      </c>
      <c r="N490" t="str">
        <f>_xlfn.XLOOKUP($D490,城市信息!$B$1:$B$14,城市信息!$D$1:$D$14)</f>
        <v>二线</v>
      </c>
      <c r="O490">
        <f>_xlfn.XLOOKUP($D490,城市信息!$B$1:$B$14,城市信息!$E$1:$E$14)</f>
        <v>9912</v>
      </c>
      <c r="P490" cm="1">
        <f t="array" ref="P490:U490">_xlfn.XLOOKUP(A490&amp;B490,'[1]2.4自动化报表-8月获客数据-非乱码'!$A:$A&amp;'[1]2.4自动化报表-8月获客数据-非乱码'!$B:$B,'[1]2.4自动化报表-8月获客数据-非乱码'!$C:$H)</f>
        <v>2610</v>
      </c>
      <c r="Q490">
        <v>2528</v>
      </c>
      <c r="R490">
        <v>2411</v>
      </c>
      <c r="S490">
        <v>1402</v>
      </c>
      <c r="T490">
        <v>776</v>
      </c>
      <c r="U490">
        <v>696</v>
      </c>
    </row>
    <row r="491" spans="1:21" x14ac:dyDescent="0.3">
      <c r="A491" s="1">
        <v>44061</v>
      </c>
      <c r="B491" t="s">
        <v>15</v>
      </c>
      <c r="C491" t="s">
        <v>108</v>
      </c>
      <c r="D491" t="s">
        <v>59</v>
      </c>
      <c r="E491" t="s">
        <v>118</v>
      </c>
      <c r="F491" s="2">
        <v>52476</v>
      </c>
      <c r="G491" s="2">
        <v>2466</v>
      </c>
      <c r="H491">
        <v>0</v>
      </c>
      <c r="I491" t="str">
        <f>_xlfn.XLOOKUP($C491,战区信息!$A$1:$A$5,战区信息!$B$1:$B$5)</f>
        <v>001</v>
      </c>
      <c r="J491" t="str">
        <f>_xlfn.XLOOKUP($C491,战区信息!$A$1:$A$5,战区信息!$C$1:$C$5)</f>
        <v>江永</v>
      </c>
      <c r="K491" t="str">
        <f>_xlfn.XLOOKUP($C491,战区信息!$A$1:$A$5,战区信息!$D$1:$D$5)</f>
        <v>一级战区</v>
      </c>
      <c r="L491" t="str">
        <f>_xlfn.XLOOKUP($D491,城市信息!$B$1:$B$14,城市信息!$A$1:$A$14)</f>
        <v>004</v>
      </c>
      <c r="M491" t="str">
        <f>_xlfn.XLOOKUP($D491,城市信息!$B$1:$B$14,城市信息!$C$1:$C$14)</f>
        <v>苏川</v>
      </c>
      <c r="N491" t="str">
        <f>_xlfn.XLOOKUP($D491,城市信息!$B$1:$B$14,城市信息!$D$1:$D$14)</f>
        <v>二线</v>
      </c>
      <c r="O491">
        <f>_xlfn.XLOOKUP($D491,城市信息!$B$1:$B$14,城市信息!$E$1:$E$14)</f>
        <v>9912</v>
      </c>
      <c r="P491" cm="1">
        <f t="array" ref="P491:U491">_xlfn.XLOOKUP(A491&amp;B491,'[1]2.4自动化报表-8月获客数据-非乱码'!$A:$A&amp;'[1]2.4自动化报表-8月获客数据-非乱码'!$B:$B,'[1]2.4自动化报表-8月获客数据-非乱码'!$C:$H)</f>
        <v>2373</v>
      </c>
      <c r="Q491">
        <v>2334</v>
      </c>
      <c r="R491">
        <v>2249</v>
      </c>
      <c r="S491">
        <v>1350</v>
      </c>
      <c r="T491">
        <v>694</v>
      </c>
      <c r="U491">
        <v>697</v>
      </c>
    </row>
    <row r="492" spans="1:21" x14ac:dyDescent="0.3">
      <c r="A492" s="1">
        <v>44061</v>
      </c>
      <c r="B492" t="s">
        <v>14</v>
      </c>
      <c r="C492" t="s">
        <v>108</v>
      </c>
      <c r="D492" t="s">
        <v>59</v>
      </c>
      <c r="E492" t="s">
        <v>119</v>
      </c>
      <c r="F492" s="2">
        <v>17501</v>
      </c>
      <c r="G492">
        <v>917</v>
      </c>
      <c r="H492">
        <v>0</v>
      </c>
      <c r="I492" t="str">
        <f>_xlfn.XLOOKUP($C492,战区信息!$A$1:$A$5,战区信息!$B$1:$B$5)</f>
        <v>001</v>
      </c>
      <c r="J492" t="str">
        <f>_xlfn.XLOOKUP($C492,战区信息!$A$1:$A$5,战区信息!$C$1:$C$5)</f>
        <v>江永</v>
      </c>
      <c r="K492" t="str">
        <f>_xlfn.XLOOKUP($C492,战区信息!$A$1:$A$5,战区信息!$D$1:$D$5)</f>
        <v>一级战区</v>
      </c>
      <c r="L492" t="str">
        <f>_xlfn.XLOOKUP($D492,城市信息!$B$1:$B$14,城市信息!$A$1:$A$14)</f>
        <v>004</v>
      </c>
      <c r="M492" t="str">
        <f>_xlfn.XLOOKUP($D492,城市信息!$B$1:$B$14,城市信息!$C$1:$C$14)</f>
        <v>苏川</v>
      </c>
      <c r="N492" t="str">
        <f>_xlfn.XLOOKUP($D492,城市信息!$B$1:$B$14,城市信息!$D$1:$D$14)</f>
        <v>二线</v>
      </c>
      <c r="O492">
        <f>_xlfn.XLOOKUP($D492,城市信息!$B$1:$B$14,城市信息!$E$1:$E$14)</f>
        <v>9912</v>
      </c>
      <c r="P492" cm="1">
        <f t="array" ref="P492:U492">_xlfn.XLOOKUP(A492&amp;B492,'[1]2.4自动化报表-8月获客数据-非乱码'!$A:$A&amp;'[1]2.4自动化报表-8月获客数据-非乱码'!$B:$B,'[1]2.4自动化报表-8月获客数据-非乱码'!$C:$H)</f>
        <v>787</v>
      </c>
      <c r="Q492">
        <v>768</v>
      </c>
      <c r="R492">
        <v>737</v>
      </c>
      <c r="S492">
        <v>476</v>
      </c>
      <c r="T492">
        <v>270</v>
      </c>
      <c r="U492">
        <v>697</v>
      </c>
    </row>
    <row r="493" spans="1:21" x14ac:dyDescent="0.3">
      <c r="A493" s="1">
        <v>44061</v>
      </c>
      <c r="B493" t="s">
        <v>13</v>
      </c>
      <c r="C493" t="s">
        <v>108</v>
      </c>
      <c r="D493" t="s">
        <v>60</v>
      </c>
      <c r="E493" t="s">
        <v>120</v>
      </c>
      <c r="F493" s="2">
        <v>11516</v>
      </c>
      <c r="G493">
        <v>437</v>
      </c>
      <c r="H493">
        <v>596</v>
      </c>
      <c r="I493" t="str">
        <f>_xlfn.XLOOKUP($C493,战区信息!$A$1:$A$5,战区信息!$B$1:$B$5)</f>
        <v>001</v>
      </c>
      <c r="J493" t="str">
        <f>_xlfn.XLOOKUP($C493,战区信息!$A$1:$A$5,战区信息!$C$1:$C$5)</f>
        <v>江永</v>
      </c>
      <c r="K493" t="str">
        <f>_xlfn.XLOOKUP($C493,战区信息!$A$1:$A$5,战区信息!$D$1:$D$5)</f>
        <v>一级战区</v>
      </c>
      <c r="L493" t="str">
        <f>_xlfn.XLOOKUP($D493,城市信息!$B$1:$B$14,城市信息!$A$1:$A$14)</f>
        <v>005</v>
      </c>
      <c r="M493" t="str">
        <f>_xlfn.XLOOKUP($D493,城市信息!$B$1:$B$14,城市信息!$C$1:$C$14)</f>
        <v>侯阳冰</v>
      </c>
      <c r="N493" t="str">
        <f>_xlfn.XLOOKUP($D493,城市信息!$B$1:$B$14,城市信息!$D$1:$D$14)</f>
        <v>二线</v>
      </c>
      <c r="O493">
        <f>_xlfn.XLOOKUP($D493,城市信息!$B$1:$B$14,城市信息!$E$1:$E$14)</f>
        <v>8694</v>
      </c>
      <c r="P493" cm="1">
        <f t="array" ref="P493:U493">_xlfn.XLOOKUP(A493&amp;B493,'[1]2.4自动化报表-8月获客数据-非乱码'!$A:$A&amp;'[1]2.4自动化报表-8月获客数据-非乱码'!$B:$B,'[1]2.4自动化报表-8月获客数据-非乱码'!$C:$H)</f>
        <v>3619</v>
      </c>
      <c r="Q493">
        <v>3525</v>
      </c>
      <c r="R493">
        <v>3354</v>
      </c>
      <c r="S493">
        <v>2055</v>
      </c>
      <c r="T493">
        <v>1103</v>
      </c>
      <c r="U493">
        <v>695</v>
      </c>
    </row>
    <row r="494" spans="1:21" x14ac:dyDescent="0.3">
      <c r="A494" s="1">
        <v>44061</v>
      </c>
      <c r="B494" t="s">
        <v>12</v>
      </c>
      <c r="C494" t="s">
        <v>108</v>
      </c>
      <c r="D494" t="s">
        <v>60</v>
      </c>
      <c r="E494" t="s">
        <v>121</v>
      </c>
      <c r="F494" s="2">
        <v>120729</v>
      </c>
      <c r="G494" s="2">
        <v>6445</v>
      </c>
      <c r="H494">
        <v>0</v>
      </c>
      <c r="I494" t="str">
        <f>_xlfn.XLOOKUP($C494,战区信息!$A$1:$A$5,战区信息!$B$1:$B$5)</f>
        <v>001</v>
      </c>
      <c r="J494" t="str">
        <f>_xlfn.XLOOKUP($C494,战区信息!$A$1:$A$5,战区信息!$C$1:$C$5)</f>
        <v>江永</v>
      </c>
      <c r="K494" t="str">
        <f>_xlfn.XLOOKUP($C494,战区信息!$A$1:$A$5,战区信息!$D$1:$D$5)</f>
        <v>一级战区</v>
      </c>
      <c r="L494" t="str">
        <f>_xlfn.XLOOKUP($D494,城市信息!$B$1:$B$14,城市信息!$A$1:$A$14)</f>
        <v>005</v>
      </c>
      <c r="M494" t="str">
        <f>_xlfn.XLOOKUP($D494,城市信息!$B$1:$B$14,城市信息!$C$1:$C$14)</f>
        <v>侯阳冰</v>
      </c>
      <c r="N494" t="str">
        <f>_xlfn.XLOOKUP($D494,城市信息!$B$1:$B$14,城市信息!$D$1:$D$14)</f>
        <v>二线</v>
      </c>
      <c r="O494">
        <f>_xlfn.XLOOKUP($D494,城市信息!$B$1:$B$14,城市信息!$E$1:$E$14)</f>
        <v>8694</v>
      </c>
      <c r="P494" cm="1">
        <f t="array" ref="P494:U494">_xlfn.XLOOKUP(A494&amp;B494,'[1]2.4自动化报表-8月获客数据-非乱码'!$A:$A&amp;'[1]2.4自动化报表-8月获客数据-非乱码'!$B:$B,'[1]2.4自动化报表-8月获客数据-非乱码'!$C:$H)</f>
        <v>1678</v>
      </c>
      <c r="Q494">
        <v>1644</v>
      </c>
      <c r="R494">
        <v>1557</v>
      </c>
      <c r="S494">
        <v>991</v>
      </c>
      <c r="T494">
        <v>492</v>
      </c>
      <c r="U494">
        <v>697</v>
      </c>
    </row>
    <row r="495" spans="1:21" x14ac:dyDescent="0.3">
      <c r="A495" s="1">
        <v>44061</v>
      </c>
      <c r="B495" t="s">
        <v>11</v>
      </c>
      <c r="C495" t="s">
        <v>108</v>
      </c>
      <c r="D495" t="s">
        <v>58</v>
      </c>
      <c r="E495" t="s">
        <v>122</v>
      </c>
      <c r="F495" s="2">
        <v>234371</v>
      </c>
      <c r="G495" s="2">
        <v>11503</v>
      </c>
      <c r="H495">
        <v>0</v>
      </c>
      <c r="I495" t="str">
        <f>_xlfn.XLOOKUP($C495,战区信息!$A$1:$A$5,战区信息!$B$1:$B$5)</f>
        <v>001</v>
      </c>
      <c r="J495" t="str">
        <f>_xlfn.XLOOKUP($C495,战区信息!$A$1:$A$5,战区信息!$C$1:$C$5)</f>
        <v>江永</v>
      </c>
      <c r="K495" t="str">
        <f>_xlfn.XLOOKUP($C495,战区信息!$A$1:$A$5,战区信息!$D$1:$D$5)</f>
        <v>一级战区</v>
      </c>
      <c r="L495" t="str">
        <f>_xlfn.XLOOKUP($D495,城市信息!$B$1:$B$14,城市信息!$A$1:$A$14)</f>
        <v>003</v>
      </c>
      <c r="M495" t="str">
        <f>_xlfn.XLOOKUP($D495,城市信息!$B$1:$B$14,城市信息!$C$1:$C$14)</f>
        <v>杜光亮</v>
      </c>
      <c r="N495" t="str">
        <f>_xlfn.XLOOKUP($D495,城市信息!$B$1:$B$14,城市信息!$D$1:$D$14)</f>
        <v>二线</v>
      </c>
      <c r="O495">
        <f>_xlfn.XLOOKUP($D495,城市信息!$B$1:$B$14,城市信息!$E$1:$E$14)</f>
        <v>10499</v>
      </c>
      <c r="P495" cm="1">
        <f t="array" ref="P495:U495">_xlfn.XLOOKUP(A495&amp;B495,'[1]2.4自动化报表-8月获客数据-非乱码'!$A:$A&amp;'[1]2.4自动化报表-8月获客数据-非乱码'!$B:$B,'[1]2.4自动化报表-8月获客数据-非乱码'!$C:$H)</f>
        <v>6388</v>
      </c>
      <c r="Q495">
        <v>6131</v>
      </c>
      <c r="R495">
        <v>5807</v>
      </c>
      <c r="S495">
        <v>3622</v>
      </c>
      <c r="T495">
        <v>1706</v>
      </c>
      <c r="U495">
        <v>702</v>
      </c>
    </row>
    <row r="496" spans="1:21" x14ac:dyDescent="0.3">
      <c r="A496" s="1">
        <v>44061</v>
      </c>
      <c r="B496" t="s">
        <v>10</v>
      </c>
      <c r="C496" t="s">
        <v>108</v>
      </c>
      <c r="D496" t="s">
        <v>58</v>
      </c>
      <c r="E496" t="s">
        <v>123</v>
      </c>
      <c r="F496" s="2">
        <v>12001</v>
      </c>
      <c r="G496">
        <v>735</v>
      </c>
      <c r="H496">
        <v>0</v>
      </c>
      <c r="I496" t="str">
        <f>_xlfn.XLOOKUP($C496,战区信息!$A$1:$A$5,战区信息!$B$1:$B$5)</f>
        <v>001</v>
      </c>
      <c r="J496" t="str">
        <f>_xlfn.XLOOKUP($C496,战区信息!$A$1:$A$5,战区信息!$C$1:$C$5)</f>
        <v>江永</v>
      </c>
      <c r="K496" t="str">
        <f>_xlfn.XLOOKUP($C496,战区信息!$A$1:$A$5,战区信息!$D$1:$D$5)</f>
        <v>一级战区</v>
      </c>
      <c r="L496" t="str">
        <f>_xlfn.XLOOKUP($D496,城市信息!$B$1:$B$14,城市信息!$A$1:$A$14)</f>
        <v>003</v>
      </c>
      <c r="M496" t="str">
        <f>_xlfn.XLOOKUP($D496,城市信息!$B$1:$B$14,城市信息!$C$1:$C$14)</f>
        <v>杜光亮</v>
      </c>
      <c r="N496" t="str">
        <f>_xlfn.XLOOKUP($D496,城市信息!$B$1:$B$14,城市信息!$D$1:$D$14)</f>
        <v>二线</v>
      </c>
      <c r="O496">
        <f>_xlfn.XLOOKUP($D496,城市信息!$B$1:$B$14,城市信息!$E$1:$E$14)</f>
        <v>10499</v>
      </c>
      <c r="P496" cm="1">
        <f t="array" ref="P496:U496">_xlfn.XLOOKUP(A496&amp;B496,'[1]2.4自动化报表-8月获客数据-非乱码'!$A:$A&amp;'[1]2.4自动化报表-8月获客数据-非乱码'!$B:$B,'[1]2.4自动化报表-8月获客数据-非乱码'!$C:$H)</f>
        <v>761</v>
      </c>
      <c r="Q496">
        <v>747</v>
      </c>
      <c r="R496">
        <v>716</v>
      </c>
      <c r="S496">
        <v>378</v>
      </c>
      <c r="T496">
        <v>234</v>
      </c>
      <c r="U496">
        <v>696</v>
      </c>
    </row>
    <row r="497" spans="1:21" x14ac:dyDescent="0.3">
      <c r="A497" s="1">
        <v>44061</v>
      </c>
      <c r="B497" t="s">
        <v>9</v>
      </c>
      <c r="C497" t="s">
        <v>108</v>
      </c>
      <c r="D497" t="s">
        <v>58</v>
      </c>
      <c r="E497" t="s">
        <v>124</v>
      </c>
      <c r="F497" s="2">
        <v>64468</v>
      </c>
      <c r="G497" s="2">
        <v>3523</v>
      </c>
      <c r="H497" s="2">
        <v>3408</v>
      </c>
      <c r="I497" t="str">
        <f>_xlfn.XLOOKUP($C497,战区信息!$A$1:$A$5,战区信息!$B$1:$B$5)</f>
        <v>001</v>
      </c>
      <c r="J497" t="str">
        <f>_xlfn.XLOOKUP($C497,战区信息!$A$1:$A$5,战区信息!$C$1:$C$5)</f>
        <v>江永</v>
      </c>
      <c r="K497" t="str">
        <f>_xlfn.XLOOKUP($C497,战区信息!$A$1:$A$5,战区信息!$D$1:$D$5)</f>
        <v>一级战区</v>
      </c>
      <c r="L497" t="str">
        <f>_xlfn.XLOOKUP($D497,城市信息!$B$1:$B$14,城市信息!$A$1:$A$14)</f>
        <v>003</v>
      </c>
      <c r="M497" t="str">
        <f>_xlfn.XLOOKUP($D497,城市信息!$B$1:$B$14,城市信息!$C$1:$C$14)</f>
        <v>杜光亮</v>
      </c>
      <c r="N497" t="str">
        <f>_xlfn.XLOOKUP($D497,城市信息!$B$1:$B$14,城市信息!$D$1:$D$14)</f>
        <v>二线</v>
      </c>
      <c r="O497">
        <f>_xlfn.XLOOKUP($D497,城市信息!$B$1:$B$14,城市信息!$E$1:$E$14)</f>
        <v>10499</v>
      </c>
      <c r="P497" cm="1">
        <f t="array" ref="P497:U497">_xlfn.XLOOKUP(A497&amp;B497,'[1]2.4自动化报表-8月获客数据-非乱码'!$A:$A&amp;'[1]2.4自动化报表-8月获客数据-非乱码'!$B:$B,'[1]2.4自动化报表-8月获客数据-非乱码'!$C:$H)</f>
        <v>4457</v>
      </c>
      <c r="Q497">
        <v>4346</v>
      </c>
      <c r="R497">
        <v>4205</v>
      </c>
      <c r="S497">
        <v>2347</v>
      </c>
      <c r="T497">
        <v>1331</v>
      </c>
      <c r="U497">
        <v>693</v>
      </c>
    </row>
    <row r="498" spans="1:21" x14ac:dyDescent="0.3">
      <c r="A498" s="1">
        <v>44061</v>
      </c>
      <c r="B498" t="s">
        <v>8</v>
      </c>
      <c r="C498" t="s">
        <v>125</v>
      </c>
      <c r="D498" t="s">
        <v>66</v>
      </c>
      <c r="E498" t="s">
        <v>126</v>
      </c>
      <c r="F498" s="2">
        <v>102510</v>
      </c>
      <c r="G498" s="2">
        <v>5907</v>
      </c>
      <c r="H498">
        <v>137</v>
      </c>
      <c r="I498" t="str">
        <f>_xlfn.XLOOKUP($C498,战区信息!$A$1:$A$5,战区信息!$B$1:$B$5)</f>
        <v>004</v>
      </c>
      <c r="J498" t="str">
        <f>_xlfn.XLOOKUP($C498,战区信息!$A$1:$A$5,战区信息!$C$1:$C$5)</f>
        <v>沈乐欣</v>
      </c>
      <c r="K498" t="str">
        <f>_xlfn.XLOOKUP($C498,战区信息!$A$1:$A$5,战区信息!$D$1:$D$5)</f>
        <v>三级战区</v>
      </c>
      <c r="L498" t="str">
        <f>_xlfn.XLOOKUP($D498,城市信息!$B$1:$B$14,城市信息!$A$1:$A$14)</f>
        <v>011</v>
      </c>
      <c r="M498" t="str">
        <f>_xlfn.XLOOKUP($D498,城市信息!$B$1:$B$14,城市信息!$C$1:$C$14)</f>
        <v>冯谦</v>
      </c>
      <c r="N498" t="str">
        <f>_xlfn.XLOOKUP($D498,城市信息!$B$1:$B$14,城市信息!$D$1:$D$14)</f>
        <v>一线</v>
      </c>
      <c r="O498">
        <f>_xlfn.XLOOKUP($D498,城市信息!$B$1:$B$14,城市信息!$E$1:$E$14)</f>
        <v>8244</v>
      </c>
      <c r="P498" cm="1">
        <f t="array" ref="P498:U498">_xlfn.XLOOKUP(A498&amp;B498,'[1]2.4自动化报表-8月获客数据-非乱码'!$A:$A&amp;'[1]2.4自动化报表-8月获客数据-非乱码'!$B:$B,'[1]2.4自动化报表-8月获客数据-非乱码'!$C:$H)</f>
        <v>2085</v>
      </c>
      <c r="Q498">
        <v>2062</v>
      </c>
      <c r="R498">
        <v>2000</v>
      </c>
      <c r="S498">
        <v>1110</v>
      </c>
      <c r="T498">
        <v>712</v>
      </c>
      <c r="U498">
        <v>686</v>
      </c>
    </row>
    <row r="499" spans="1:21" x14ac:dyDescent="0.3">
      <c r="A499" s="1">
        <v>44061</v>
      </c>
      <c r="B499" t="s">
        <v>6</v>
      </c>
      <c r="C499" t="s">
        <v>125</v>
      </c>
      <c r="D499" t="s">
        <v>62</v>
      </c>
      <c r="E499" t="s">
        <v>128</v>
      </c>
      <c r="F499" s="2">
        <v>4728</v>
      </c>
      <c r="G499">
        <v>282</v>
      </c>
      <c r="H499">
        <v>0</v>
      </c>
      <c r="I499" t="str">
        <f>_xlfn.XLOOKUP($C499,战区信息!$A$1:$A$5,战区信息!$B$1:$B$5)</f>
        <v>004</v>
      </c>
      <c r="J499" t="str">
        <f>_xlfn.XLOOKUP($C499,战区信息!$A$1:$A$5,战区信息!$C$1:$C$5)</f>
        <v>沈乐欣</v>
      </c>
      <c r="K499" t="str">
        <f>_xlfn.XLOOKUP($C499,战区信息!$A$1:$A$5,战区信息!$D$1:$D$5)</f>
        <v>三级战区</v>
      </c>
      <c r="L499" t="str">
        <f>_xlfn.XLOOKUP($D499,城市信息!$B$1:$B$14,城市信息!$A$1:$A$14)</f>
        <v>007</v>
      </c>
      <c r="M499" t="str">
        <f>_xlfn.XLOOKUP($D499,城市信息!$B$1:$B$14,城市信息!$C$1:$C$14)</f>
        <v>范俊发</v>
      </c>
      <c r="N499" t="str">
        <f>_xlfn.XLOOKUP($D499,城市信息!$B$1:$B$14,城市信息!$D$1:$D$14)</f>
        <v>一线</v>
      </c>
      <c r="O499">
        <f>_xlfn.XLOOKUP($D499,城市信息!$B$1:$B$14,城市信息!$E$1:$E$14)</f>
        <v>12358</v>
      </c>
      <c r="P499" cm="1">
        <f t="array" ref="P499:U499">_xlfn.XLOOKUP(A499&amp;B499,'[1]2.4自动化报表-8月获客数据-非乱码'!$A:$A&amp;'[1]2.4自动化报表-8月获客数据-非乱码'!$B:$B,'[1]2.4自动化报表-8月获客数据-非乱码'!$C:$H)</f>
        <v>1721</v>
      </c>
      <c r="Q499">
        <v>1698</v>
      </c>
      <c r="R499">
        <v>1663</v>
      </c>
      <c r="S499">
        <v>1003</v>
      </c>
      <c r="T499">
        <v>582</v>
      </c>
      <c r="U499">
        <v>688</v>
      </c>
    </row>
    <row r="500" spans="1:21" x14ac:dyDescent="0.3">
      <c r="A500" s="1">
        <v>44061</v>
      </c>
      <c r="B500" t="s">
        <v>5</v>
      </c>
      <c r="C500" t="s">
        <v>125</v>
      </c>
      <c r="D500" t="s">
        <v>62</v>
      </c>
      <c r="E500" t="s">
        <v>129</v>
      </c>
      <c r="F500" s="2">
        <v>66223</v>
      </c>
      <c r="G500" s="2">
        <v>3320</v>
      </c>
      <c r="H500">
        <v>0</v>
      </c>
      <c r="I500" t="str">
        <f>_xlfn.XLOOKUP($C500,战区信息!$A$1:$A$5,战区信息!$B$1:$B$5)</f>
        <v>004</v>
      </c>
      <c r="J500" t="str">
        <f>_xlfn.XLOOKUP($C500,战区信息!$A$1:$A$5,战区信息!$C$1:$C$5)</f>
        <v>沈乐欣</v>
      </c>
      <c r="K500" t="str">
        <f>_xlfn.XLOOKUP($C500,战区信息!$A$1:$A$5,战区信息!$D$1:$D$5)</f>
        <v>三级战区</v>
      </c>
      <c r="L500" t="str">
        <f>_xlfn.XLOOKUP($D500,城市信息!$B$1:$B$14,城市信息!$A$1:$A$14)</f>
        <v>007</v>
      </c>
      <c r="M500" t="str">
        <f>_xlfn.XLOOKUP($D500,城市信息!$B$1:$B$14,城市信息!$C$1:$C$14)</f>
        <v>范俊发</v>
      </c>
      <c r="N500" t="str">
        <f>_xlfn.XLOOKUP($D500,城市信息!$B$1:$B$14,城市信息!$D$1:$D$14)</f>
        <v>一线</v>
      </c>
      <c r="O500">
        <f>_xlfn.XLOOKUP($D500,城市信息!$B$1:$B$14,城市信息!$E$1:$E$14)</f>
        <v>12358</v>
      </c>
      <c r="P500" cm="1">
        <f t="array" ref="P500:U500">_xlfn.XLOOKUP(A500&amp;B500,'[1]2.4自动化报表-8月获客数据-非乱码'!$A:$A&amp;'[1]2.4自动化报表-8月获客数据-非乱码'!$B:$B,'[1]2.4自动化报表-8月获客数据-非乱码'!$C:$H)</f>
        <v>2082</v>
      </c>
      <c r="Q500">
        <v>2033</v>
      </c>
      <c r="R500">
        <v>1942</v>
      </c>
      <c r="S500">
        <v>1232</v>
      </c>
      <c r="T500">
        <v>623</v>
      </c>
      <c r="U500">
        <v>689</v>
      </c>
    </row>
    <row r="501" spans="1:21" x14ac:dyDescent="0.3">
      <c r="A501" s="1">
        <v>44062</v>
      </c>
      <c r="B501" t="s">
        <v>32</v>
      </c>
      <c r="C501" t="s">
        <v>97</v>
      </c>
      <c r="D501" t="s">
        <v>67</v>
      </c>
      <c r="E501" t="s">
        <v>98</v>
      </c>
      <c r="F501" s="2">
        <v>129345</v>
      </c>
      <c r="G501" s="2">
        <v>6592</v>
      </c>
      <c r="H501">
        <v>0</v>
      </c>
      <c r="I501" t="str">
        <f>_xlfn.XLOOKUP($C501,战区信息!$A$1:$A$5,战区信息!$B$1:$B$5)</f>
        <v>003</v>
      </c>
      <c r="J501" t="str">
        <f>_xlfn.XLOOKUP($C501,战区信息!$A$1:$A$5,战区信息!$C$1:$C$5)</f>
        <v>田楠</v>
      </c>
      <c r="K501" t="str">
        <f>_xlfn.XLOOKUP($C501,战区信息!$A$1:$A$5,战区信息!$D$1:$D$5)</f>
        <v>二级战区</v>
      </c>
      <c r="L501" t="str">
        <f>_xlfn.XLOOKUP($D501,城市信息!$B$1:$B$14,城市信息!$A$1:$A$14)</f>
        <v>012</v>
      </c>
      <c r="M501" t="str">
        <f>_xlfn.XLOOKUP($D501,城市信息!$B$1:$B$14,城市信息!$C$1:$C$14)</f>
        <v>于子默</v>
      </c>
      <c r="N501" t="str">
        <f>_xlfn.XLOOKUP($D501,城市信息!$B$1:$B$14,城市信息!$D$1:$D$14)</f>
        <v>二线</v>
      </c>
      <c r="O501">
        <f>_xlfn.XLOOKUP($D501,城市信息!$B$1:$B$14,城市信息!$E$1:$E$14)</f>
        <v>9713</v>
      </c>
      <c r="P501" cm="1">
        <f t="array" ref="P501:U501">_xlfn.XLOOKUP(A501&amp;B501,'[1]2.4自动化报表-8月获客数据-非乱码'!$A:$A&amp;'[1]2.4自动化报表-8月获客数据-非乱码'!$B:$B,'[1]2.4自动化报表-8月获客数据-非乱码'!$C:$H)</f>
        <v>1763</v>
      </c>
      <c r="Q501">
        <v>1727</v>
      </c>
      <c r="R501">
        <v>1695</v>
      </c>
      <c r="S501">
        <v>1051</v>
      </c>
      <c r="T501">
        <v>602</v>
      </c>
      <c r="U501">
        <v>691</v>
      </c>
    </row>
    <row r="502" spans="1:21" x14ac:dyDescent="0.3">
      <c r="A502" s="1">
        <v>44062</v>
      </c>
      <c r="B502" t="s">
        <v>31</v>
      </c>
      <c r="C502" t="s">
        <v>97</v>
      </c>
      <c r="D502" t="s">
        <v>65</v>
      </c>
      <c r="E502" t="s">
        <v>99</v>
      </c>
      <c r="F502" s="2">
        <v>147224</v>
      </c>
      <c r="G502" s="2">
        <v>8755</v>
      </c>
      <c r="H502" s="2">
        <v>13793</v>
      </c>
      <c r="I502" t="str">
        <f>_xlfn.XLOOKUP($C502,战区信息!$A$1:$A$5,战区信息!$B$1:$B$5)</f>
        <v>003</v>
      </c>
      <c r="J502" t="str">
        <f>_xlfn.XLOOKUP($C502,战区信息!$A$1:$A$5,战区信息!$C$1:$C$5)</f>
        <v>田楠</v>
      </c>
      <c r="K502" t="str">
        <f>_xlfn.XLOOKUP($C502,战区信息!$A$1:$A$5,战区信息!$D$1:$D$5)</f>
        <v>二级战区</v>
      </c>
      <c r="L502" t="str">
        <f>_xlfn.XLOOKUP($D502,城市信息!$B$1:$B$14,城市信息!$A$1:$A$14)</f>
        <v>010</v>
      </c>
      <c r="M502" t="str">
        <f>_xlfn.XLOOKUP($D502,城市信息!$B$1:$B$14,城市信息!$C$1:$C$14)</f>
        <v>黄鹏天</v>
      </c>
      <c r="N502" t="str">
        <f>_xlfn.XLOOKUP($D502,城市信息!$B$1:$B$14,城市信息!$D$1:$D$14)</f>
        <v>二线</v>
      </c>
      <c r="O502">
        <f>_xlfn.XLOOKUP($D502,城市信息!$B$1:$B$14,城市信息!$E$1:$E$14)</f>
        <v>8295</v>
      </c>
      <c r="P502" cm="1">
        <f t="array" ref="P502:U502">_xlfn.XLOOKUP(A502&amp;B502,'[1]2.4自动化报表-8月获客数据-非乱码'!$A:$A&amp;'[1]2.4自动化报表-8月获客数据-非乱码'!$B:$B,'[1]2.4自动化报表-8月获客数据-非乱码'!$C:$H)</f>
        <v>3717</v>
      </c>
      <c r="Q502">
        <v>3652</v>
      </c>
      <c r="R502">
        <v>3534</v>
      </c>
      <c r="S502">
        <v>2135</v>
      </c>
      <c r="T502">
        <v>1196</v>
      </c>
      <c r="U502">
        <v>691</v>
      </c>
    </row>
    <row r="503" spans="1:21" x14ac:dyDescent="0.3">
      <c r="A503" s="1">
        <v>44062</v>
      </c>
      <c r="B503" t="s">
        <v>30</v>
      </c>
      <c r="C503" t="s">
        <v>97</v>
      </c>
      <c r="D503" t="s">
        <v>61</v>
      </c>
      <c r="E503" t="s">
        <v>100</v>
      </c>
      <c r="F503" s="2">
        <v>107011</v>
      </c>
      <c r="G503" s="2">
        <v>8695</v>
      </c>
      <c r="H503" s="2">
        <v>22568</v>
      </c>
      <c r="I503" t="str">
        <f>_xlfn.XLOOKUP($C503,战区信息!$A$1:$A$5,战区信息!$B$1:$B$5)</f>
        <v>003</v>
      </c>
      <c r="J503" t="str">
        <f>_xlfn.XLOOKUP($C503,战区信息!$A$1:$A$5,战区信息!$C$1:$C$5)</f>
        <v>田楠</v>
      </c>
      <c r="K503" t="str">
        <f>_xlfn.XLOOKUP($C503,战区信息!$A$1:$A$5,战区信息!$D$1:$D$5)</f>
        <v>二级战区</v>
      </c>
      <c r="L503" t="str">
        <f>_xlfn.XLOOKUP($D503,城市信息!$B$1:$B$14,城市信息!$A$1:$A$14)</f>
        <v>006</v>
      </c>
      <c r="M503" t="str">
        <f>_xlfn.XLOOKUP($D503,城市信息!$B$1:$B$14,城市信息!$C$1:$C$14)</f>
        <v>王刚</v>
      </c>
      <c r="N503" t="str">
        <f>_xlfn.XLOOKUP($D503,城市信息!$B$1:$B$14,城市信息!$D$1:$D$14)</f>
        <v>二线</v>
      </c>
      <c r="O503">
        <f>_xlfn.XLOOKUP($D503,城市信息!$B$1:$B$14,城市信息!$E$1:$E$14)</f>
        <v>9107</v>
      </c>
      <c r="P503" cm="1">
        <f t="array" ref="P503:U503">_xlfn.XLOOKUP(A503&amp;B503,'[1]2.4自动化报表-8月获客数据-非乱码'!$A:$A&amp;'[1]2.4自动化报表-8月获客数据-非乱码'!$B:$B,'[1]2.4自动化报表-8月获客数据-非乱码'!$C:$H)</f>
        <v>2337</v>
      </c>
      <c r="Q503">
        <v>2294</v>
      </c>
      <c r="R503">
        <v>2212</v>
      </c>
      <c r="S503">
        <v>1392</v>
      </c>
      <c r="T503">
        <v>708</v>
      </c>
      <c r="U503">
        <v>700</v>
      </c>
    </row>
    <row r="504" spans="1:21" x14ac:dyDescent="0.3">
      <c r="A504" s="1">
        <v>44062</v>
      </c>
      <c r="B504" t="s">
        <v>29</v>
      </c>
      <c r="C504" t="s">
        <v>97</v>
      </c>
      <c r="D504" t="s">
        <v>64</v>
      </c>
      <c r="E504" t="s">
        <v>101</v>
      </c>
      <c r="F504" s="2">
        <v>116808</v>
      </c>
      <c r="G504" s="2">
        <v>12113</v>
      </c>
      <c r="H504">
        <v>0</v>
      </c>
      <c r="I504" t="str">
        <f>_xlfn.XLOOKUP($C504,战区信息!$A$1:$A$5,战区信息!$B$1:$B$5)</f>
        <v>003</v>
      </c>
      <c r="J504" t="str">
        <f>_xlfn.XLOOKUP($C504,战区信息!$A$1:$A$5,战区信息!$C$1:$C$5)</f>
        <v>田楠</v>
      </c>
      <c r="K504" t="str">
        <f>_xlfn.XLOOKUP($C504,战区信息!$A$1:$A$5,战区信息!$D$1:$D$5)</f>
        <v>二级战区</v>
      </c>
      <c r="L504" t="str">
        <f>_xlfn.XLOOKUP($D504,城市信息!$B$1:$B$14,城市信息!$A$1:$A$14)</f>
        <v>009</v>
      </c>
      <c r="M504" t="str">
        <f>_xlfn.XLOOKUP($D504,城市信息!$B$1:$B$14,城市信息!$C$1:$C$14)</f>
        <v>叶超</v>
      </c>
      <c r="N504" t="str">
        <f>_xlfn.XLOOKUP($D504,城市信息!$B$1:$B$14,城市信息!$D$1:$D$14)</f>
        <v>二线</v>
      </c>
      <c r="O504">
        <f>_xlfn.XLOOKUP($D504,城市信息!$B$1:$B$14,城市信息!$E$1:$E$14)</f>
        <v>9016</v>
      </c>
      <c r="P504" cm="1">
        <f t="array" ref="P504:U504">_xlfn.XLOOKUP(A504&amp;B504,'[1]2.4自动化报表-8月获客数据-非乱码'!$A:$A&amp;'[1]2.4自动化报表-8月获客数据-非乱码'!$B:$B,'[1]2.4自动化报表-8月获客数据-非乱码'!$C:$H)</f>
        <v>2990</v>
      </c>
      <c r="Q504">
        <v>2919</v>
      </c>
      <c r="R504">
        <v>2820</v>
      </c>
      <c r="S504">
        <v>1821</v>
      </c>
      <c r="T504">
        <v>1015</v>
      </c>
      <c r="U504">
        <v>691</v>
      </c>
    </row>
    <row r="505" spans="1:21" x14ac:dyDescent="0.3">
      <c r="A505" s="1">
        <v>44062</v>
      </c>
      <c r="B505" t="s">
        <v>28</v>
      </c>
      <c r="C505" t="s">
        <v>97</v>
      </c>
      <c r="D505" t="s">
        <v>64</v>
      </c>
      <c r="E505" t="s">
        <v>102</v>
      </c>
      <c r="F505" s="2">
        <v>14201</v>
      </c>
      <c r="G505">
        <v>617</v>
      </c>
      <c r="H505">
        <v>0</v>
      </c>
      <c r="I505" t="str">
        <f>_xlfn.XLOOKUP($C505,战区信息!$A$1:$A$5,战区信息!$B$1:$B$5)</f>
        <v>003</v>
      </c>
      <c r="J505" t="str">
        <f>_xlfn.XLOOKUP($C505,战区信息!$A$1:$A$5,战区信息!$C$1:$C$5)</f>
        <v>田楠</v>
      </c>
      <c r="K505" t="str">
        <f>_xlfn.XLOOKUP($C505,战区信息!$A$1:$A$5,战区信息!$D$1:$D$5)</f>
        <v>二级战区</v>
      </c>
      <c r="L505" t="str">
        <f>_xlfn.XLOOKUP($D505,城市信息!$B$1:$B$14,城市信息!$A$1:$A$14)</f>
        <v>009</v>
      </c>
      <c r="M505" t="str">
        <f>_xlfn.XLOOKUP($D505,城市信息!$B$1:$B$14,城市信息!$C$1:$C$14)</f>
        <v>叶超</v>
      </c>
      <c r="N505" t="str">
        <f>_xlfn.XLOOKUP($D505,城市信息!$B$1:$B$14,城市信息!$D$1:$D$14)</f>
        <v>二线</v>
      </c>
      <c r="O505">
        <f>_xlfn.XLOOKUP($D505,城市信息!$B$1:$B$14,城市信息!$E$1:$E$14)</f>
        <v>9016</v>
      </c>
      <c r="P505" cm="1">
        <f t="array" ref="P505:U505">_xlfn.XLOOKUP(A505&amp;B505,'[1]2.4自动化报表-8月获客数据-非乱码'!$A:$A&amp;'[1]2.4自动化报表-8月获客数据-非乱码'!$B:$B,'[1]2.4自动化报表-8月获客数据-非乱码'!$C:$H)</f>
        <v>672</v>
      </c>
      <c r="Q505">
        <v>662</v>
      </c>
      <c r="R505">
        <v>643</v>
      </c>
      <c r="S505">
        <v>443</v>
      </c>
      <c r="T505">
        <v>209</v>
      </c>
      <c r="U505">
        <v>692</v>
      </c>
    </row>
    <row r="506" spans="1:21" x14ac:dyDescent="0.3">
      <c r="A506" s="1">
        <v>44062</v>
      </c>
      <c r="B506" t="s">
        <v>27</v>
      </c>
      <c r="C506" t="s">
        <v>103</v>
      </c>
      <c r="D506" t="s">
        <v>63</v>
      </c>
      <c r="E506" t="s">
        <v>104</v>
      </c>
      <c r="F506" s="2">
        <v>113007</v>
      </c>
      <c r="G506" s="2">
        <v>7386</v>
      </c>
      <c r="H506">
        <v>0</v>
      </c>
      <c r="I506" t="str">
        <f>_xlfn.XLOOKUP($C506,战区信息!$A$1:$A$5,战区信息!$B$1:$B$5)</f>
        <v>002</v>
      </c>
      <c r="J506" t="str">
        <f>_xlfn.XLOOKUP($C506,战区信息!$A$1:$A$5,战区信息!$C$1:$C$5)</f>
        <v>高安平</v>
      </c>
      <c r="K506" t="str">
        <f>_xlfn.XLOOKUP($C506,战区信息!$A$1:$A$5,战区信息!$D$1:$D$5)</f>
        <v>二级战区</v>
      </c>
      <c r="L506" t="str">
        <f>_xlfn.XLOOKUP($D506,城市信息!$B$1:$B$14,城市信息!$A$1:$A$14)</f>
        <v>008</v>
      </c>
      <c r="M506" t="str">
        <f>_xlfn.XLOOKUP($D506,城市信息!$B$1:$B$14,城市信息!$C$1:$C$14)</f>
        <v>高弘壮</v>
      </c>
      <c r="N506" t="str">
        <f>_xlfn.XLOOKUP($D506,城市信息!$B$1:$B$14,城市信息!$D$1:$D$14)</f>
        <v>一线</v>
      </c>
      <c r="O506">
        <f>_xlfn.XLOOKUP($D506,城市信息!$B$1:$B$14,城市信息!$E$1:$E$14)</f>
        <v>11498</v>
      </c>
      <c r="P506" cm="1">
        <f t="array" ref="P506:U506">_xlfn.XLOOKUP(A506&amp;B506,'[1]2.4自动化报表-8月获客数据-非乱码'!$A:$A&amp;'[1]2.4自动化报表-8月获客数据-非乱码'!$B:$B,'[1]2.4自动化报表-8月获客数据-非乱码'!$C:$H)</f>
        <v>3823</v>
      </c>
      <c r="Q506">
        <v>3708</v>
      </c>
      <c r="R506">
        <v>3535</v>
      </c>
      <c r="S506">
        <v>2103</v>
      </c>
      <c r="T506">
        <v>1122</v>
      </c>
      <c r="U506">
        <v>689</v>
      </c>
    </row>
    <row r="507" spans="1:21" x14ac:dyDescent="0.3">
      <c r="A507" s="1">
        <v>44062</v>
      </c>
      <c r="B507" t="s">
        <v>26</v>
      </c>
      <c r="C507" t="s">
        <v>103</v>
      </c>
      <c r="D507" t="s">
        <v>57</v>
      </c>
      <c r="E507" t="s">
        <v>105</v>
      </c>
      <c r="F507" s="2">
        <v>328402</v>
      </c>
      <c r="G507" s="2">
        <v>17155</v>
      </c>
      <c r="H507" s="2">
        <v>16771</v>
      </c>
      <c r="I507" t="str">
        <f>_xlfn.XLOOKUP($C507,战区信息!$A$1:$A$5,战区信息!$B$1:$B$5)</f>
        <v>002</v>
      </c>
      <c r="J507" t="str">
        <f>_xlfn.XLOOKUP($C507,战区信息!$A$1:$A$5,战区信息!$C$1:$C$5)</f>
        <v>高安平</v>
      </c>
      <c r="K507" t="str">
        <f>_xlfn.XLOOKUP($C507,战区信息!$A$1:$A$5,战区信息!$D$1:$D$5)</f>
        <v>二级战区</v>
      </c>
      <c r="L507" t="str">
        <f>_xlfn.XLOOKUP($D507,城市信息!$B$1:$B$14,城市信息!$A$1:$A$14)</f>
        <v>002</v>
      </c>
      <c r="M507" t="str">
        <f>_xlfn.XLOOKUP($D507,城市信息!$B$1:$B$14,城市信息!$C$1:$C$14)</f>
        <v>孙乒</v>
      </c>
      <c r="N507" t="str">
        <f>_xlfn.XLOOKUP($D507,城市信息!$B$1:$B$14,城市信息!$D$1:$D$14)</f>
        <v>一线</v>
      </c>
      <c r="O507">
        <f>_xlfn.XLOOKUP($D507,城市信息!$B$1:$B$14,城市信息!$E$1:$E$14)</f>
        <v>9854</v>
      </c>
      <c r="P507" cm="1">
        <f t="array" ref="P507:U507">_xlfn.XLOOKUP(A507&amp;B507,'[1]2.4自动化报表-8月获客数据-非乱码'!$A:$A&amp;'[1]2.4自动化报表-8月获客数据-非乱码'!$B:$B,'[1]2.4自动化报表-8月获客数据-非乱码'!$C:$H)</f>
        <v>6978</v>
      </c>
      <c r="Q507">
        <v>6811</v>
      </c>
      <c r="R507">
        <v>6527</v>
      </c>
      <c r="S507">
        <v>4059</v>
      </c>
      <c r="T507">
        <v>2253</v>
      </c>
      <c r="U507">
        <v>688</v>
      </c>
    </row>
    <row r="508" spans="1:21" x14ac:dyDescent="0.3">
      <c r="A508" s="1">
        <v>44062</v>
      </c>
      <c r="B508" t="s">
        <v>25</v>
      </c>
      <c r="C508" t="s">
        <v>103</v>
      </c>
      <c r="D508" t="s">
        <v>57</v>
      </c>
      <c r="E508" t="s">
        <v>106</v>
      </c>
      <c r="F508" s="2">
        <v>111151</v>
      </c>
      <c r="G508" s="2">
        <v>5331</v>
      </c>
      <c r="H508" s="2">
        <v>5615</v>
      </c>
      <c r="I508" t="str">
        <f>_xlfn.XLOOKUP($C508,战区信息!$A$1:$A$5,战区信息!$B$1:$B$5)</f>
        <v>002</v>
      </c>
      <c r="J508" t="str">
        <f>_xlfn.XLOOKUP($C508,战区信息!$A$1:$A$5,战区信息!$C$1:$C$5)</f>
        <v>高安平</v>
      </c>
      <c r="K508" t="str">
        <f>_xlfn.XLOOKUP($C508,战区信息!$A$1:$A$5,战区信息!$D$1:$D$5)</f>
        <v>二级战区</v>
      </c>
      <c r="L508" t="str">
        <f>_xlfn.XLOOKUP($D508,城市信息!$B$1:$B$14,城市信息!$A$1:$A$14)</f>
        <v>002</v>
      </c>
      <c r="M508" t="str">
        <f>_xlfn.XLOOKUP($D508,城市信息!$B$1:$B$14,城市信息!$C$1:$C$14)</f>
        <v>孙乒</v>
      </c>
      <c r="N508" t="str">
        <f>_xlfn.XLOOKUP($D508,城市信息!$B$1:$B$14,城市信息!$D$1:$D$14)</f>
        <v>一线</v>
      </c>
      <c r="O508">
        <f>_xlfn.XLOOKUP($D508,城市信息!$B$1:$B$14,城市信息!$E$1:$E$14)</f>
        <v>9854</v>
      </c>
      <c r="P508" cm="1">
        <f t="array" ref="P508:U508">_xlfn.XLOOKUP(A508&amp;B508,'[1]2.4自动化报表-8月获客数据-非乱码'!$A:$A&amp;'[1]2.4自动化报表-8月获客数据-非乱码'!$B:$B,'[1]2.4自动化报表-8月获客数据-非乱码'!$C:$H)</f>
        <v>3919</v>
      </c>
      <c r="Q508">
        <v>3809</v>
      </c>
      <c r="R508">
        <v>3607</v>
      </c>
      <c r="S508">
        <v>2143</v>
      </c>
      <c r="T508">
        <v>1211</v>
      </c>
      <c r="U508">
        <v>689</v>
      </c>
    </row>
    <row r="509" spans="1:21" x14ac:dyDescent="0.3">
      <c r="A509" s="1">
        <v>44062</v>
      </c>
      <c r="B509" t="s">
        <v>24</v>
      </c>
      <c r="C509" t="s">
        <v>103</v>
      </c>
      <c r="D509" t="s">
        <v>57</v>
      </c>
      <c r="E509" t="s">
        <v>107</v>
      </c>
      <c r="F509" s="2">
        <v>119159</v>
      </c>
      <c r="G509" s="2">
        <v>10942</v>
      </c>
      <c r="H509">
        <v>0</v>
      </c>
      <c r="I509" t="str">
        <f>_xlfn.XLOOKUP($C509,战区信息!$A$1:$A$5,战区信息!$B$1:$B$5)</f>
        <v>002</v>
      </c>
      <c r="J509" t="str">
        <f>_xlfn.XLOOKUP($C509,战区信息!$A$1:$A$5,战区信息!$C$1:$C$5)</f>
        <v>高安平</v>
      </c>
      <c r="K509" t="str">
        <f>_xlfn.XLOOKUP($C509,战区信息!$A$1:$A$5,战区信息!$D$1:$D$5)</f>
        <v>二级战区</v>
      </c>
      <c r="L509" t="str">
        <f>_xlfn.XLOOKUP($D509,城市信息!$B$1:$B$14,城市信息!$A$1:$A$14)</f>
        <v>002</v>
      </c>
      <c r="M509" t="str">
        <f>_xlfn.XLOOKUP($D509,城市信息!$B$1:$B$14,城市信息!$C$1:$C$14)</f>
        <v>孙乒</v>
      </c>
      <c r="N509" t="str">
        <f>_xlfn.XLOOKUP($D509,城市信息!$B$1:$B$14,城市信息!$D$1:$D$14)</f>
        <v>一线</v>
      </c>
      <c r="O509">
        <f>_xlfn.XLOOKUP($D509,城市信息!$B$1:$B$14,城市信息!$E$1:$E$14)</f>
        <v>9854</v>
      </c>
      <c r="P509" cm="1">
        <f t="array" ref="P509:U509">_xlfn.XLOOKUP(A509&amp;B509,'[1]2.4自动化报表-8月获客数据-非乱码'!$A:$A&amp;'[1]2.4自动化报表-8月获客数据-非乱码'!$B:$B,'[1]2.4自动化报表-8月获客数据-非乱码'!$C:$H)</f>
        <v>3815</v>
      </c>
      <c r="Q509">
        <v>3753</v>
      </c>
      <c r="R509">
        <v>3594</v>
      </c>
      <c r="S509">
        <v>2217</v>
      </c>
      <c r="T509">
        <v>1296</v>
      </c>
      <c r="U509">
        <v>690</v>
      </c>
    </row>
    <row r="510" spans="1:21" x14ac:dyDescent="0.3">
      <c r="A510" s="1">
        <v>44062</v>
      </c>
      <c r="B510" t="s">
        <v>23</v>
      </c>
      <c r="C510" t="s">
        <v>108</v>
      </c>
      <c r="D510" t="s">
        <v>109</v>
      </c>
      <c r="E510" t="s">
        <v>110</v>
      </c>
      <c r="F510" s="2">
        <v>135236</v>
      </c>
      <c r="G510" s="2">
        <v>6457</v>
      </c>
      <c r="H510" s="2">
        <v>1501</v>
      </c>
      <c r="I510" t="str">
        <f>_xlfn.XLOOKUP($C510,战区信息!$A$1:$A$5,战区信息!$B$1:$B$5)</f>
        <v>001</v>
      </c>
      <c r="J510" t="str">
        <f>_xlfn.XLOOKUP($C510,战区信息!$A$1:$A$5,战区信息!$C$1:$C$5)</f>
        <v>江永</v>
      </c>
      <c r="K510" t="str">
        <f>_xlfn.XLOOKUP($C510,战区信息!$A$1:$A$5,战区信息!$D$1:$D$5)</f>
        <v>一级战区</v>
      </c>
      <c r="L510" t="str">
        <f>_xlfn.XLOOKUP($D510,城市信息!$B$1:$B$14,城市信息!$A$1:$A$14)</f>
        <v>013</v>
      </c>
      <c r="M510" t="str">
        <f>_xlfn.XLOOKUP($D510,城市信息!$B$1:$B$14,城市信息!$C$1:$C$14)</f>
        <v>张建</v>
      </c>
      <c r="N510" t="str">
        <f>_xlfn.XLOOKUP($D510,城市信息!$B$1:$B$14,城市信息!$D$1:$D$14)</f>
        <v>二线</v>
      </c>
      <c r="O510">
        <f>_xlfn.XLOOKUP($D510,城市信息!$B$1:$B$14,城市信息!$E$1:$E$14)</f>
        <v>8800</v>
      </c>
      <c r="P510" cm="1">
        <f t="array" ref="P510:U510">_xlfn.XLOOKUP(A510&amp;B510,'[1]2.4自动化报表-8月获客数据-非乱码'!$A:$A&amp;'[1]2.4自动化报表-8月获客数据-非乱码'!$B:$B,'[1]2.4自动化报表-8月获客数据-非乱码'!$C:$H)</f>
        <v>5654</v>
      </c>
      <c r="Q510">
        <v>5465</v>
      </c>
      <c r="R510">
        <v>5231</v>
      </c>
      <c r="S510">
        <v>3165</v>
      </c>
      <c r="T510">
        <v>1603</v>
      </c>
      <c r="U510">
        <v>694</v>
      </c>
    </row>
    <row r="511" spans="1:21" x14ac:dyDescent="0.3">
      <c r="A511" s="1">
        <v>44062</v>
      </c>
      <c r="B511" t="s">
        <v>22</v>
      </c>
      <c r="C511" t="s">
        <v>108</v>
      </c>
      <c r="D511" t="s">
        <v>109</v>
      </c>
      <c r="E511" t="s">
        <v>111</v>
      </c>
      <c r="F511" s="2">
        <v>18958</v>
      </c>
      <c r="G511">
        <v>886</v>
      </c>
      <c r="H511">
        <v>0</v>
      </c>
      <c r="I511" t="str">
        <f>_xlfn.XLOOKUP($C511,战区信息!$A$1:$A$5,战区信息!$B$1:$B$5)</f>
        <v>001</v>
      </c>
      <c r="J511" t="str">
        <f>_xlfn.XLOOKUP($C511,战区信息!$A$1:$A$5,战区信息!$C$1:$C$5)</f>
        <v>江永</v>
      </c>
      <c r="K511" t="str">
        <f>_xlfn.XLOOKUP($C511,战区信息!$A$1:$A$5,战区信息!$D$1:$D$5)</f>
        <v>一级战区</v>
      </c>
      <c r="L511" t="str">
        <f>_xlfn.XLOOKUP($D511,城市信息!$B$1:$B$14,城市信息!$A$1:$A$14)</f>
        <v>013</v>
      </c>
      <c r="M511" t="str">
        <f>_xlfn.XLOOKUP($D511,城市信息!$B$1:$B$14,城市信息!$C$1:$C$14)</f>
        <v>张建</v>
      </c>
      <c r="N511" t="str">
        <f>_xlfn.XLOOKUP($D511,城市信息!$B$1:$B$14,城市信息!$D$1:$D$14)</f>
        <v>二线</v>
      </c>
      <c r="O511">
        <f>_xlfn.XLOOKUP($D511,城市信息!$B$1:$B$14,城市信息!$E$1:$E$14)</f>
        <v>8800</v>
      </c>
      <c r="P511" cm="1">
        <f t="array" ref="P511:U511">_xlfn.XLOOKUP(A511&amp;B511,'[1]2.4自动化报表-8月获客数据-非乱码'!$A:$A&amp;'[1]2.4自动化报表-8月获客数据-非乱码'!$B:$B,'[1]2.4自动化报表-8月获客数据-非乱码'!$C:$H)</f>
        <v>351</v>
      </c>
      <c r="Q511">
        <v>341</v>
      </c>
      <c r="R511">
        <v>322</v>
      </c>
      <c r="S511">
        <v>174</v>
      </c>
      <c r="T511">
        <v>114</v>
      </c>
      <c r="U511">
        <v>692</v>
      </c>
    </row>
    <row r="512" spans="1:21" x14ac:dyDescent="0.3">
      <c r="A512" s="1">
        <v>44062</v>
      </c>
      <c r="B512" t="s">
        <v>21</v>
      </c>
      <c r="C512" t="s">
        <v>108</v>
      </c>
      <c r="D512" t="s">
        <v>109</v>
      </c>
      <c r="E512" t="s">
        <v>112</v>
      </c>
      <c r="F512" s="2">
        <v>154416</v>
      </c>
      <c r="G512" s="2">
        <v>13411</v>
      </c>
      <c r="H512" s="2">
        <v>2500</v>
      </c>
      <c r="I512" t="str">
        <f>_xlfn.XLOOKUP($C512,战区信息!$A$1:$A$5,战区信息!$B$1:$B$5)</f>
        <v>001</v>
      </c>
      <c r="J512" t="str">
        <f>_xlfn.XLOOKUP($C512,战区信息!$A$1:$A$5,战区信息!$C$1:$C$5)</f>
        <v>江永</v>
      </c>
      <c r="K512" t="str">
        <f>_xlfn.XLOOKUP($C512,战区信息!$A$1:$A$5,战区信息!$D$1:$D$5)</f>
        <v>一级战区</v>
      </c>
      <c r="L512" t="str">
        <f>_xlfn.XLOOKUP($D512,城市信息!$B$1:$B$14,城市信息!$A$1:$A$14)</f>
        <v>013</v>
      </c>
      <c r="M512" t="str">
        <f>_xlfn.XLOOKUP($D512,城市信息!$B$1:$B$14,城市信息!$C$1:$C$14)</f>
        <v>张建</v>
      </c>
      <c r="N512" t="str">
        <f>_xlfn.XLOOKUP($D512,城市信息!$B$1:$B$14,城市信息!$D$1:$D$14)</f>
        <v>二线</v>
      </c>
      <c r="O512">
        <f>_xlfn.XLOOKUP($D512,城市信息!$B$1:$B$14,城市信息!$E$1:$E$14)</f>
        <v>8800</v>
      </c>
      <c r="P512" cm="1">
        <f t="array" ref="P512:U512">_xlfn.XLOOKUP(A512&amp;B512,'[1]2.4自动化报表-8月获客数据-非乱码'!$A:$A&amp;'[1]2.4自动化报表-8月获客数据-非乱码'!$B:$B,'[1]2.4自动化报表-8月获客数据-非乱码'!$C:$H)</f>
        <v>6511</v>
      </c>
      <c r="Q512">
        <v>6254</v>
      </c>
      <c r="R512">
        <v>5947</v>
      </c>
      <c r="S512">
        <v>3481</v>
      </c>
      <c r="T512">
        <v>1894</v>
      </c>
      <c r="U512">
        <v>696</v>
      </c>
    </row>
    <row r="513" spans="1:21" x14ac:dyDescent="0.3">
      <c r="A513" s="1">
        <v>44062</v>
      </c>
      <c r="B513" t="s">
        <v>20</v>
      </c>
      <c r="C513" t="s">
        <v>108</v>
      </c>
      <c r="D513" t="s">
        <v>56</v>
      </c>
      <c r="E513" t="s">
        <v>113</v>
      </c>
      <c r="F513" s="2">
        <v>204442</v>
      </c>
      <c r="G513" s="2">
        <v>11778</v>
      </c>
      <c r="H513" s="2">
        <v>1500</v>
      </c>
      <c r="I513" t="str">
        <f>_xlfn.XLOOKUP($C513,战区信息!$A$1:$A$5,战区信息!$B$1:$B$5)</f>
        <v>001</v>
      </c>
      <c r="J513" t="str">
        <f>_xlfn.XLOOKUP($C513,战区信息!$A$1:$A$5,战区信息!$C$1:$C$5)</f>
        <v>江永</v>
      </c>
      <c r="K513" t="str">
        <f>_xlfn.XLOOKUP($C513,战区信息!$A$1:$A$5,战区信息!$D$1:$D$5)</f>
        <v>一级战区</v>
      </c>
      <c r="L513" t="str">
        <f>_xlfn.XLOOKUP($D513,城市信息!$B$1:$B$14,城市信息!$A$1:$A$14)</f>
        <v>001</v>
      </c>
      <c r="M513" t="str">
        <f>_xlfn.XLOOKUP($D513,城市信息!$B$1:$B$14,城市信息!$C$1:$C$14)</f>
        <v>吴刚</v>
      </c>
      <c r="N513" t="str">
        <f>_xlfn.XLOOKUP($D513,城市信息!$B$1:$B$14,城市信息!$D$1:$D$14)</f>
        <v>一线</v>
      </c>
      <c r="O513">
        <f>_xlfn.XLOOKUP($D513,城市信息!$B$1:$B$14,城市信息!$E$1:$E$14)</f>
        <v>12114</v>
      </c>
      <c r="P513" cm="1">
        <f t="array" ref="P513:U513">_xlfn.XLOOKUP(A513&amp;B513,'[1]2.4自动化报表-8月获客数据-非乱码'!$A:$A&amp;'[1]2.4自动化报表-8月获客数据-非乱码'!$B:$B,'[1]2.4自动化报表-8月获客数据-非乱码'!$C:$H)</f>
        <v>4603</v>
      </c>
      <c r="Q513">
        <v>4438</v>
      </c>
      <c r="R513">
        <v>4253</v>
      </c>
      <c r="S513">
        <v>2492</v>
      </c>
      <c r="T513">
        <v>1397</v>
      </c>
      <c r="U513">
        <v>694</v>
      </c>
    </row>
    <row r="514" spans="1:21" x14ac:dyDescent="0.3">
      <c r="A514" s="1">
        <v>44062</v>
      </c>
      <c r="B514" t="s">
        <v>19</v>
      </c>
      <c r="C514" t="s">
        <v>108</v>
      </c>
      <c r="D514" t="s">
        <v>56</v>
      </c>
      <c r="E514" t="s">
        <v>114</v>
      </c>
      <c r="F514" s="2">
        <v>171386</v>
      </c>
      <c r="G514" s="2">
        <v>12134</v>
      </c>
      <c r="H514">
        <v>0</v>
      </c>
      <c r="I514" t="str">
        <f>_xlfn.XLOOKUP($C514,战区信息!$A$1:$A$5,战区信息!$B$1:$B$5)</f>
        <v>001</v>
      </c>
      <c r="J514" t="str">
        <f>_xlfn.XLOOKUP($C514,战区信息!$A$1:$A$5,战区信息!$C$1:$C$5)</f>
        <v>江永</v>
      </c>
      <c r="K514" t="str">
        <f>_xlfn.XLOOKUP($C514,战区信息!$A$1:$A$5,战区信息!$D$1:$D$5)</f>
        <v>一级战区</v>
      </c>
      <c r="L514" t="str">
        <f>_xlfn.XLOOKUP($D514,城市信息!$B$1:$B$14,城市信息!$A$1:$A$14)</f>
        <v>001</v>
      </c>
      <c r="M514" t="str">
        <f>_xlfn.XLOOKUP($D514,城市信息!$B$1:$B$14,城市信息!$C$1:$C$14)</f>
        <v>吴刚</v>
      </c>
      <c r="N514" t="str">
        <f>_xlfn.XLOOKUP($D514,城市信息!$B$1:$B$14,城市信息!$D$1:$D$14)</f>
        <v>一线</v>
      </c>
      <c r="O514">
        <f>_xlfn.XLOOKUP($D514,城市信息!$B$1:$B$14,城市信息!$E$1:$E$14)</f>
        <v>12114</v>
      </c>
      <c r="P514" cm="1">
        <f t="array" ref="P514:U514">_xlfn.XLOOKUP(A514&amp;B514,'[1]2.4自动化报表-8月获客数据-非乱码'!$A:$A&amp;'[1]2.4自动化报表-8月获客数据-非乱码'!$B:$B,'[1]2.4自动化报表-8月获客数据-非乱码'!$C:$H)</f>
        <v>2925</v>
      </c>
      <c r="Q514">
        <v>2858</v>
      </c>
      <c r="R514">
        <v>2747</v>
      </c>
      <c r="S514">
        <v>1612</v>
      </c>
      <c r="T514">
        <v>968</v>
      </c>
      <c r="U514">
        <v>696</v>
      </c>
    </row>
    <row r="515" spans="1:21" x14ac:dyDescent="0.3">
      <c r="A515" s="1">
        <v>44062</v>
      </c>
      <c r="B515" t="s">
        <v>18</v>
      </c>
      <c r="C515" t="s">
        <v>108</v>
      </c>
      <c r="D515" t="s">
        <v>56</v>
      </c>
      <c r="E515" t="s">
        <v>115</v>
      </c>
      <c r="F515" s="2">
        <v>143382</v>
      </c>
      <c r="G515" s="2">
        <v>9548</v>
      </c>
      <c r="H515">
        <v>0</v>
      </c>
      <c r="I515" t="str">
        <f>_xlfn.XLOOKUP($C515,战区信息!$A$1:$A$5,战区信息!$B$1:$B$5)</f>
        <v>001</v>
      </c>
      <c r="J515" t="str">
        <f>_xlfn.XLOOKUP($C515,战区信息!$A$1:$A$5,战区信息!$C$1:$C$5)</f>
        <v>江永</v>
      </c>
      <c r="K515" t="str">
        <f>_xlfn.XLOOKUP($C515,战区信息!$A$1:$A$5,战区信息!$D$1:$D$5)</f>
        <v>一级战区</v>
      </c>
      <c r="L515" t="str">
        <f>_xlfn.XLOOKUP($D515,城市信息!$B$1:$B$14,城市信息!$A$1:$A$14)</f>
        <v>001</v>
      </c>
      <c r="M515" t="str">
        <f>_xlfn.XLOOKUP($D515,城市信息!$B$1:$B$14,城市信息!$C$1:$C$14)</f>
        <v>吴刚</v>
      </c>
      <c r="N515" t="str">
        <f>_xlfn.XLOOKUP($D515,城市信息!$B$1:$B$14,城市信息!$D$1:$D$14)</f>
        <v>一线</v>
      </c>
      <c r="O515">
        <f>_xlfn.XLOOKUP($D515,城市信息!$B$1:$B$14,城市信息!$E$1:$E$14)</f>
        <v>12114</v>
      </c>
      <c r="P515" cm="1">
        <f t="array" ref="P515:U515">_xlfn.XLOOKUP(A515&amp;B515,'[1]2.4自动化报表-8月获客数据-非乱码'!$A:$A&amp;'[1]2.4自动化报表-8月获客数据-非乱码'!$B:$B,'[1]2.4自动化报表-8月获客数据-非乱码'!$C:$H)</f>
        <v>2150</v>
      </c>
      <c r="Q515">
        <v>2123</v>
      </c>
      <c r="R515">
        <v>2034</v>
      </c>
      <c r="S515">
        <v>1192</v>
      </c>
      <c r="T515">
        <v>648</v>
      </c>
      <c r="U515">
        <v>691</v>
      </c>
    </row>
    <row r="516" spans="1:21" x14ac:dyDescent="0.3">
      <c r="A516" s="1">
        <v>44062</v>
      </c>
      <c r="B516" t="s">
        <v>17</v>
      </c>
      <c r="C516" t="s">
        <v>108</v>
      </c>
      <c r="D516" t="s">
        <v>59</v>
      </c>
      <c r="E516" t="s">
        <v>116</v>
      </c>
      <c r="F516" s="2">
        <v>87789</v>
      </c>
      <c r="G516" s="2">
        <v>5566</v>
      </c>
      <c r="H516">
        <v>0</v>
      </c>
      <c r="I516" t="str">
        <f>_xlfn.XLOOKUP($C516,战区信息!$A$1:$A$5,战区信息!$B$1:$B$5)</f>
        <v>001</v>
      </c>
      <c r="J516" t="str">
        <f>_xlfn.XLOOKUP($C516,战区信息!$A$1:$A$5,战区信息!$C$1:$C$5)</f>
        <v>江永</v>
      </c>
      <c r="K516" t="str">
        <f>_xlfn.XLOOKUP($C516,战区信息!$A$1:$A$5,战区信息!$D$1:$D$5)</f>
        <v>一级战区</v>
      </c>
      <c r="L516" t="str">
        <f>_xlfn.XLOOKUP($D516,城市信息!$B$1:$B$14,城市信息!$A$1:$A$14)</f>
        <v>004</v>
      </c>
      <c r="M516" t="str">
        <f>_xlfn.XLOOKUP($D516,城市信息!$B$1:$B$14,城市信息!$C$1:$C$14)</f>
        <v>苏川</v>
      </c>
      <c r="N516" t="str">
        <f>_xlfn.XLOOKUP($D516,城市信息!$B$1:$B$14,城市信息!$D$1:$D$14)</f>
        <v>二线</v>
      </c>
      <c r="O516">
        <f>_xlfn.XLOOKUP($D516,城市信息!$B$1:$B$14,城市信息!$E$1:$E$14)</f>
        <v>9912</v>
      </c>
      <c r="P516" cm="1">
        <f t="array" ref="P516:U516">_xlfn.XLOOKUP(A516&amp;B516,'[1]2.4自动化报表-8月获客数据-非乱码'!$A:$A&amp;'[1]2.4自动化报表-8月获客数据-非乱码'!$B:$B,'[1]2.4自动化报表-8月获客数据-非乱码'!$C:$H)</f>
        <v>2331</v>
      </c>
      <c r="Q516">
        <v>2290</v>
      </c>
      <c r="R516">
        <v>2228</v>
      </c>
      <c r="S516">
        <v>1298</v>
      </c>
      <c r="T516">
        <v>756</v>
      </c>
      <c r="U516">
        <v>696</v>
      </c>
    </row>
    <row r="517" spans="1:21" x14ac:dyDescent="0.3">
      <c r="A517" s="1">
        <v>44062</v>
      </c>
      <c r="B517" t="s">
        <v>16</v>
      </c>
      <c r="C517" t="s">
        <v>108</v>
      </c>
      <c r="D517" t="s">
        <v>59</v>
      </c>
      <c r="E517" t="s">
        <v>117</v>
      </c>
      <c r="F517" s="2">
        <v>96002</v>
      </c>
      <c r="G517" s="2">
        <v>4414</v>
      </c>
      <c r="H517">
        <v>0</v>
      </c>
      <c r="I517" t="str">
        <f>_xlfn.XLOOKUP($C517,战区信息!$A$1:$A$5,战区信息!$B$1:$B$5)</f>
        <v>001</v>
      </c>
      <c r="J517" t="str">
        <f>_xlfn.XLOOKUP($C517,战区信息!$A$1:$A$5,战区信息!$C$1:$C$5)</f>
        <v>江永</v>
      </c>
      <c r="K517" t="str">
        <f>_xlfn.XLOOKUP($C517,战区信息!$A$1:$A$5,战区信息!$D$1:$D$5)</f>
        <v>一级战区</v>
      </c>
      <c r="L517" t="str">
        <f>_xlfn.XLOOKUP($D517,城市信息!$B$1:$B$14,城市信息!$A$1:$A$14)</f>
        <v>004</v>
      </c>
      <c r="M517" t="str">
        <f>_xlfn.XLOOKUP($D517,城市信息!$B$1:$B$14,城市信息!$C$1:$C$14)</f>
        <v>苏川</v>
      </c>
      <c r="N517" t="str">
        <f>_xlfn.XLOOKUP($D517,城市信息!$B$1:$B$14,城市信息!$D$1:$D$14)</f>
        <v>二线</v>
      </c>
      <c r="O517">
        <f>_xlfn.XLOOKUP($D517,城市信息!$B$1:$B$14,城市信息!$E$1:$E$14)</f>
        <v>9912</v>
      </c>
      <c r="P517" cm="1">
        <f t="array" ref="P517:U517">_xlfn.XLOOKUP(A517&amp;B517,'[1]2.4自动化报表-8月获客数据-非乱码'!$A:$A&amp;'[1]2.4自动化报表-8月获客数据-非乱码'!$B:$B,'[1]2.4自动化报表-8月获客数据-非乱码'!$C:$H)</f>
        <v>1612</v>
      </c>
      <c r="Q517">
        <v>1554</v>
      </c>
      <c r="R517">
        <v>1476</v>
      </c>
      <c r="S517">
        <v>889</v>
      </c>
      <c r="T517">
        <v>481</v>
      </c>
      <c r="U517">
        <v>698</v>
      </c>
    </row>
    <row r="518" spans="1:21" x14ac:dyDescent="0.3">
      <c r="A518" s="1">
        <v>44062</v>
      </c>
      <c r="B518" t="s">
        <v>15</v>
      </c>
      <c r="C518" t="s">
        <v>108</v>
      </c>
      <c r="D518" t="s">
        <v>59</v>
      </c>
      <c r="E518" t="s">
        <v>118</v>
      </c>
      <c r="F518" s="2">
        <v>103846</v>
      </c>
      <c r="G518" s="2">
        <v>6025</v>
      </c>
      <c r="H518">
        <v>0</v>
      </c>
      <c r="I518" t="str">
        <f>_xlfn.XLOOKUP($C518,战区信息!$A$1:$A$5,战区信息!$B$1:$B$5)</f>
        <v>001</v>
      </c>
      <c r="J518" t="str">
        <f>_xlfn.XLOOKUP($C518,战区信息!$A$1:$A$5,战区信息!$C$1:$C$5)</f>
        <v>江永</v>
      </c>
      <c r="K518" t="str">
        <f>_xlfn.XLOOKUP($C518,战区信息!$A$1:$A$5,战区信息!$D$1:$D$5)</f>
        <v>一级战区</v>
      </c>
      <c r="L518" t="str">
        <f>_xlfn.XLOOKUP($D518,城市信息!$B$1:$B$14,城市信息!$A$1:$A$14)</f>
        <v>004</v>
      </c>
      <c r="M518" t="str">
        <f>_xlfn.XLOOKUP($D518,城市信息!$B$1:$B$14,城市信息!$C$1:$C$14)</f>
        <v>苏川</v>
      </c>
      <c r="N518" t="str">
        <f>_xlfn.XLOOKUP($D518,城市信息!$B$1:$B$14,城市信息!$D$1:$D$14)</f>
        <v>二线</v>
      </c>
      <c r="O518">
        <f>_xlfn.XLOOKUP($D518,城市信息!$B$1:$B$14,城市信息!$E$1:$E$14)</f>
        <v>9912</v>
      </c>
      <c r="P518" cm="1">
        <f t="array" ref="P518:U518">_xlfn.XLOOKUP(A518&amp;B518,'[1]2.4自动化报表-8月获客数据-非乱码'!$A:$A&amp;'[1]2.4自动化报表-8月获客数据-非乱码'!$B:$B,'[1]2.4自动化报表-8月获客数据-非乱码'!$C:$H)</f>
        <v>2869</v>
      </c>
      <c r="Q518">
        <v>2815</v>
      </c>
      <c r="R518">
        <v>2713</v>
      </c>
      <c r="S518">
        <v>1648</v>
      </c>
      <c r="T518">
        <v>829</v>
      </c>
      <c r="U518">
        <v>698</v>
      </c>
    </row>
    <row r="519" spans="1:21" x14ac:dyDescent="0.3">
      <c r="A519" s="1">
        <v>44062</v>
      </c>
      <c r="B519" t="s">
        <v>14</v>
      </c>
      <c r="C519" t="s">
        <v>108</v>
      </c>
      <c r="D519" t="s">
        <v>59</v>
      </c>
      <c r="E519" t="s">
        <v>119</v>
      </c>
      <c r="F519" s="2">
        <v>170002</v>
      </c>
      <c r="G519" s="2">
        <v>11697</v>
      </c>
      <c r="H519">
        <v>0</v>
      </c>
      <c r="I519" t="str">
        <f>_xlfn.XLOOKUP($C519,战区信息!$A$1:$A$5,战区信息!$B$1:$B$5)</f>
        <v>001</v>
      </c>
      <c r="J519" t="str">
        <f>_xlfn.XLOOKUP($C519,战区信息!$A$1:$A$5,战区信息!$C$1:$C$5)</f>
        <v>江永</v>
      </c>
      <c r="K519" t="str">
        <f>_xlfn.XLOOKUP($C519,战区信息!$A$1:$A$5,战区信息!$D$1:$D$5)</f>
        <v>一级战区</v>
      </c>
      <c r="L519" t="str">
        <f>_xlfn.XLOOKUP($D519,城市信息!$B$1:$B$14,城市信息!$A$1:$A$14)</f>
        <v>004</v>
      </c>
      <c r="M519" t="str">
        <f>_xlfn.XLOOKUP($D519,城市信息!$B$1:$B$14,城市信息!$C$1:$C$14)</f>
        <v>苏川</v>
      </c>
      <c r="N519" t="str">
        <f>_xlfn.XLOOKUP($D519,城市信息!$B$1:$B$14,城市信息!$D$1:$D$14)</f>
        <v>二线</v>
      </c>
      <c r="O519">
        <f>_xlfn.XLOOKUP($D519,城市信息!$B$1:$B$14,城市信息!$E$1:$E$14)</f>
        <v>9912</v>
      </c>
      <c r="P519" cm="1">
        <f t="array" ref="P519:U519">_xlfn.XLOOKUP(A519&amp;B519,'[1]2.4自动化报表-8月获客数据-非乱码'!$A:$A&amp;'[1]2.4自动化报表-8月获客数据-非乱码'!$B:$B,'[1]2.4自动化报表-8月获客数据-非乱码'!$C:$H)</f>
        <v>2030</v>
      </c>
      <c r="Q519">
        <v>1968</v>
      </c>
      <c r="R519">
        <v>1880</v>
      </c>
      <c r="S519">
        <v>1183</v>
      </c>
      <c r="T519">
        <v>607</v>
      </c>
      <c r="U519">
        <v>698</v>
      </c>
    </row>
    <row r="520" spans="1:21" x14ac:dyDescent="0.3">
      <c r="A520" s="1">
        <v>44062</v>
      </c>
      <c r="B520" t="s">
        <v>13</v>
      </c>
      <c r="C520" t="s">
        <v>108</v>
      </c>
      <c r="D520" t="s">
        <v>60</v>
      </c>
      <c r="E520" t="s">
        <v>120</v>
      </c>
      <c r="F520" s="2">
        <v>230493</v>
      </c>
      <c r="G520" s="2">
        <v>15444</v>
      </c>
      <c r="H520">
        <v>0</v>
      </c>
      <c r="I520" t="str">
        <f>_xlfn.XLOOKUP($C520,战区信息!$A$1:$A$5,战区信息!$B$1:$B$5)</f>
        <v>001</v>
      </c>
      <c r="J520" t="str">
        <f>_xlfn.XLOOKUP($C520,战区信息!$A$1:$A$5,战区信息!$C$1:$C$5)</f>
        <v>江永</v>
      </c>
      <c r="K520" t="str">
        <f>_xlfn.XLOOKUP($C520,战区信息!$A$1:$A$5,战区信息!$D$1:$D$5)</f>
        <v>一级战区</v>
      </c>
      <c r="L520" t="str">
        <f>_xlfn.XLOOKUP($D520,城市信息!$B$1:$B$14,城市信息!$A$1:$A$14)</f>
        <v>005</v>
      </c>
      <c r="M520" t="str">
        <f>_xlfn.XLOOKUP($D520,城市信息!$B$1:$B$14,城市信息!$C$1:$C$14)</f>
        <v>侯阳冰</v>
      </c>
      <c r="N520" t="str">
        <f>_xlfn.XLOOKUP($D520,城市信息!$B$1:$B$14,城市信息!$D$1:$D$14)</f>
        <v>二线</v>
      </c>
      <c r="O520">
        <f>_xlfn.XLOOKUP($D520,城市信息!$B$1:$B$14,城市信息!$E$1:$E$14)</f>
        <v>8694</v>
      </c>
      <c r="P520" cm="1">
        <f t="array" ref="P520:U520">_xlfn.XLOOKUP(A520&amp;B520,'[1]2.4自动化报表-8月获客数据-非乱码'!$A:$A&amp;'[1]2.4自动化报表-8月获客数据-非乱码'!$B:$B,'[1]2.4自动化报表-8月获客数据-非乱码'!$C:$H)</f>
        <v>5791</v>
      </c>
      <c r="Q520">
        <v>5649</v>
      </c>
      <c r="R520">
        <v>5377</v>
      </c>
      <c r="S520">
        <v>3366</v>
      </c>
      <c r="T520">
        <v>1639</v>
      </c>
      <c r="U520">
        <v>696</v>
      </c>
    </row>
    <row r="521" spans="1:21" x14ac:dyDescent="0.3">
      <c r="A521" s="1">
        <v>44062</v>
      </c>
      <c r="B521" t="s">
        <v>12</v>
      </c>
      <c r="C521" t="s">
        <v>108</v>
      </c>
      <c r="D521" t="s">
        <v>60</v>
      </c>
      <c r="E521" t="s">
        <v>121</v>
      </c>
      <c r="F521" s="2">
        <v>77744</v>
      </c>
      <c r="G521" s="2">
        <v>3543</v>
      </c>
      <c r="H521" s="2">
        <v>25895</v>
      </c>
      <c r="I521" t="str">
        <f>_xlfn.XLOOKUP($C521,战区信息!$A$1:$A$5,战区信息!$B$1:$B$5)</f>
        <v>001</v>
      </c>
      <c r="J521" t="str">
        <f>_xlfn.XLOOKUP($C521,战区信息!$A$1:$A$5,战区信息!$C$1:$C$5)</f>
        <v>江永</v>
      </c>
      <c r="K521" t="str">
        <f>_xlfn.XLOOKUP($C521,战区信息!$A$1:$A$5,战区信息!$D$1:$D$5)</f>
        <v>一级战区</v>
      </c>
      <c r="L521" t="str">
        <f>_xlfn.XLOOKUP($D521,城市信息!$B$1:$B$14,城市信息!$A$1:$A$14)</f>
        <v>005</v>
      </c>
      <c r="M521" t="str">
        <f>_xlfn.XLOOKUP($D521,城市信息!$B$1:$B$14,城市信息!$C$1:$C$14)</f>
        <v>侯阳冰</v>
      </c>
      <c r="N521" t="str">
        <f>_xlfn.XLOOKUP($D521,城市信息!$B$1:$B$14,城市信息!$D$1:$D$14)</f>
        <v>二线</v>
      </c>
      <c r="O521">
        <f>_xlfn.XLOOKUP($D521,城市信息!$B$1:$B$14,城市信息!$E$1:$E$14)</f>
        <v>8694</v>
      </c>
      <c r="P521" cm="1">
        <f t="array" ref="P521:U521">_xlfn.XLOOKUP(A521&amp;B521,'[1]2.4自动化报表-8月获客数据-非乱码'!$A:$A&amp;'[1]2.4自动化报表-8月获客数据-非乱码'!$B:$B,'[1]2.4自动化报表-8月获客数据-非乱码'!$C:$H)</f>
        <v>1229</v>
      </c>
      <c r="Q521">
        <v>1205</v>
      </c>
      <c r="R521">
        <v>1152</v>
      </c>
      <c r="S521">
        <v>725</v>
      </c>
      <c r="T521">
        <v>381</v>
      </c>
      <c r="U521">
        <v>696</v>
      </c>
    </row>
    <row r="522" spans="1:21" x14ac:dyDescent="0.3">
      <c r="A522" s="1">
        <v>44062</v>
      </c>
      <c r="B522" t="s">
        <v>11</v>
      </c>
      <c r="C522" t="s">
        <v>108</v>
      </c>
      <c r="D522" t="s">
        <v>58</v>
      </c>
      <c r="E522" t="s">
        <v>122</v>
      </c>
      <c r="F522" s="2">
        <v>237074</v>
      </c>
      <c r="G522" s="2">
        <v>16001</v>
      </c>
      <c r="H522">
        <v>0</v>
      </c>
      <c r="I522" t="str">
        <f>_xlfn.XLOOKUP($C522,战区信息!$A$1:$A$5,战区信息!$B$1:$B$5)</f>
        <v>001</v>
      </c>
      <c r="J522" t="str">
        <f>_xlfn.XLOOKUP($C522,战区信息!$A$1:$A$5,战区信息!$C$1:$C$5)</f>
        <v>江永</v>
      </c>
      <c r="K522" t="str">
        <f>_xlfn.XLOOKUP($C522,战区信息!$A$1:$A$5,战区信息!$D$1:$D$5)</f>
        <v>一级战区</v>
      </c>
      <c r="L522" t="str">
        <f>_xlfn.XLOOKUP($D522,城市信息!$B$1:$B$14,城市信息!$A$1:$A$14)</f>
        <v>003</v>
      </c>
      <c r="M522" t="str">
        <f>_xlfn.XLOOKUP($D522,城市信息!$B$1:$B$14,城市信息!$C$1:$C$14)</f>
        <v>杜光亮</v>
      </c>
      <c r="N522" t="str">
        <f>_xlfn.XLOOKUP($D522,城市信息!$B$1:$B$14,城市信息!$D$1:$D$14)</f>
        <v>二线</v>
      </c>
      <c r="O522">
        <f>_xlfn.XLOOKUP($D522,城市信息!$B$1:$B$14,城市信息!$E$1:$E$14)</f>
        <v>10499</v>
      </c>
      <c r="P522" cm="1">
        <f t="array" ref="P522:U522">_xlfn.XLOOKUP(A522&amp;B522,'[1]2.4自动化报表-8月获客数据-非乱码'!$A:$A&amp;'[1]2.4自动化报表-8月获客数据-非乱码'!$B:$B,'[1]2.4自动化报表-8月获客数据-非乱码'!$C:$H)</f>
        <v>6354</v>
      </c>
      <c r="Q522">
        <v>6093</v>
      </c>
      <c r="R522">
        <v>5773</v>
      </c>
      <c r="S522">
        <v>3587</v>
      </c>
      <c r="T522">
        <v>1713</v>
      </c>
      <c r="U522">
        <v>701</v>
      </c>
    </row>
    <row r="523" spans="1:21" x14ac:dyDescent="0.3">
      <c r="A523" s="1">
        <v>44062</v>
      </c>
      <c r="B523" t="s">
        <v>10</v>
      </c>
      <c r="C523" t="s">
        <v>108</v>
      </c>
      <c r="D523" t="s">
        <v>58</v>
      </c>
      <c r="E523" t="s">
        <v>123</v>
      </c>
      <c r="F523" s="2">
        <v>108492</v>
      </c>
      <c r="G523" s="2">
        <v>7126</v>
      </c>
      <c r="H523" s="2">
        <v>2338</v>
      </c>
      <c r="I523" t="str">
        <f>_xlfn.XLOOKUP($C523,战区信息!$A$1:$A$5,战区信息!$B$1:$B$5)</f>
        <v>001</v>
      </c>
      <c r="J523" t="str">
        <f>_xlfn.XLOOKUP($C523,战区信息!$A$1:$A$5,战区信息!$C$1:$C$5)</f>
        <v>江永</v>
      </c>
      <c r="K523" t="str">
        <f>_xlfn.XLOOKUP($C523,战区信息!$A$1:$A$5,战区信息!$D$1:$D$5)</f>
        <v>一级战区</v>
      </c>
      <c r="L523" t="str">
        <f>_xlfn.XLOOKUP($D523,城市信息!$B$1:$B$14,城市信息!$A$1:$A$14)</f>
        <v>003</v>
      </c>
      <c r="M523" t="str">
        <f>_xlfn.XLOOKUP($D523,城市信息!$B$1:$B$14,城市信息!$C$1:$C$14)</f>
        <v>杜光亮</v>
      </c>
      <c r="N523" t="str">
        <f>_xlfn.XLOOKUP($D523,城市信息!$B$1:$B$14,城市信息!$D$1:$D$14)</f>
        <v>二线</v>
      </c>
      <c r="O523">
        <f>_xlfn.XLOOKUP($D523,城市信息!$B$1:$B$14,城市信息!$E$1:$E$14)</f>
        <v>10499</v>
      </c>
      <c r="P523" cm="1">
        <f t="array" ref="P523:U523">_xlfn.XLOOKUP(A523&amp;B523,'[1]2.4自动化报表-8月获客数据-非乱码'!$A:$A&amp;'[1]2.4自动化报表-8月获客数据-非乱码'!$B:$B,'[1]2.4自动化报表-8月获客数据-非乱码'!$C:$H)</f>
        <v>1773</v>
      </c>
      <c r="Q523">
        <v>1738</v>
      </c>
      <c r="R523">
        <v>1690</v>
      </c>
      <c r="S523">
        <v>1017</v>
      </c>
      <c r="T523">
        <v>614</v>
      </c>
      <c r="U523">
        <v>701</v>
      </c>
    </row>
    <row r="524" spans="1:21" x14ac:dyDescent="0.3">
      <c r="A524" s="1">
        <v>44062</v>
      </c>
      <c r="B524" t="s">
        <v>9</v>
      </c>
      <c r="C524" t="s">
        <v>108</v>
      </c>
      <c r="D524" t="s">
        <v>58</v>
      </c>
      <c r="E524" t="s">
        <v>124</v>
      </c>
      <c r="F524" s="2">
        <v>216051</v>
      </c>
      <c r="G524" s="2">
        <v>10846</v>
      </c>
      <c r="H524">
        <v>230</v>
      </c>
      <c r="I524" t="str">
        <f>_xlfn.XLOOKUP($C524,战区信息!$A$1:$A$5,战区信息!$B$1:$B$5)</f>
        <v>001</v>
      </c>
      <c r="J524" t="str">
        <f>_xlfn.XLOOKUP($C524,战区信息!$A$1:$A$5,战区信息!$C$1:$C$5)</f>
        <v>江永</v>
      </c>
      <c r="K524" t="str">
        <f>_xlfn.XLOOKUP($C524,战区信息!$A$1:$A$5,战区信息!$D$1:$D$5)</f>
        <v>一级战区</v>
      </c>
      <c r="L524" t="str">
        <f>_xlfn.XLOOKUP($D524,城市信息!$B$1:$B$14,城市信息!$A$1:$A$14)</f>
        <v>003</v>
      </c>
      <c r="M524" t="str">
        <f>_xlfn.XLOOKUP($D524,城市信息!$B$1:$B$14,城市信息!$C$1:$C$14)</f>
        <v>杜光亮</v>
      </c>
      <c r="N524" t="str">
        <f>_xlfn.XLOOKUP($D524,城市信息!$B$1:$B$14,城市信息!$D$1:$D$14)</f>
        <v>二线</v>
      </c>
      <c r="O524">
        <f>_xlfn.XLOOKUP($D524,城市信息!$B$1:$B$14,城市信息!$E$1:$E$14)</f>
        <v>10499</v>
      </c>
      <c r="P524" cm="1">
        <f t="array" ref="P524:U524">_xlfn.XLOOKUP(A524&amp;B524,'[1]2.4自动化报表-8月获客数据-非乱码'!$A:$A&amp;'[1]2.4自动化报表-8月获客数据-非乱码'!$B:$B,'[1]2.4自动化报表-8月获客数据-非乱码'!$C:$H)</f>
        <v>5052</v>
      </c>
      <c r="Q524">
        <v>4918</v>
      </c>
      <c r="R524">
        <v>4742</v>
      </c>
      <c r="S524">
        <v>2695</v>
      </c>
      <c r="T524">
        <v>1471</v>
      </c>
      <c r="U524">
        <v>693</v>
      </c>
    </row>
    <row r="525" spans="1:21" x14ac:dyDescent="0.3">
      <c r="A525" s="1">
        <v>44062</v>
      </c>
      <c r="B525" t="s">
        <v>8</v>
      </c>
      <c r="C525" t="s">
        <v>125</v>
      </c>
      <c r="D525" t="s">
        <v>66</v>
      </c>
      <c r="E525" t="s">
        <v>126</v>
      </c>
      <c r="F525" s="2">
        <v>94779</v>
      </c>
      <c r="G525" s="2">
        <v>4660</v>
      </c>
      <c r="H525">
        <v>0</v>
      </c>
      <c r="I525" t="str">
        <f>_xlfn.XLOOKUP($C525,战区信息!$A$1:$A$5,战区信息!$B$1:$B$5)</f>
        <v>004</v>
      </c>
      <c r="J525" t="str">
        <f>_xlfn.XLOOKUP($C525,战区信息!$A$1:$A$5,战区信息!$C$1:$C$5)</f>
        <v>沈乐欣</v>
      </c>
      <c r="K525" t="str">
        <f>_xlfn.XLOOKUP($C525,战区信息!$A$1:$A$5,战区信息!$D$1:$D$5)</f>
        <v>三级战区</v>
      </c>
      <c r="L525" t="str">
        <f>_xlfn.XLOOKUP($D525,城市信息!$B$1:$B$14,城市信息!$A$1:$A$14)</f>
        <v>011</v>
      </c>
      <c r="M525" t="str">
        <f>_xlfn.XLOOKUP($D525,城市信息!$B$1:$B$14,城市信息!$C$1:$C$14)</f>
        <v>冯谦</v>
      </c>
      <c r="N525" t="str">
        <f>_xlfn.XLOOKUP($D525,城市信息!$B$1:$B$14,城市信息!$D$1:$D$14)</f>
        <v>一线</v>
      </c>
      <c r="O525">
        <f>_xlfn.XLOOKUP($D525,城市信息!$B$1:$B$14,城市信息!$E$1:$E$14)</f>
        <v>8244</v>
      </c>
      <c r="P525" cm="1">
        <f t="array" ref="P525:U525">_xlfn.XLOOKUP(A525&amp;B525,'[1]2.4自动化报表-8月获客数据-非乱码'!$A:$A&amp;'[1]2.4自动化报表-8月获客数据-非乱码'!$B:$B,'[1]2.4自动化报表-8月获客数据-非乱码'!$C:$H)</f>
        <v>2141</v>
      </c>
      <c r="Q525">
        <v>2118</v>
      </c>
      <c r="R525">
        <v>2054</v>
      </c>
      <c r="S525">
        <v>1149</v>
      </c>
      <c r="T525">
        <v>755</v>
      </c>
      <c r="U525">
        <v>686</v>
      </c>
    </row>
    <row r="526" spans="1:21" x14ac:dyDescent="0.3">
      <c r="A526" s="1">
        <v>44062</v>
      </c>
      <c r="B526" t="s">
        <v>7</v>
      </c>
      <c r="C526" t="s">
        <v>125</v>
      </c>
      <c r="D526" t="s">
        <v>62</v>
      </c>
      <c r="E526" t="s">
        <v>127</v>
      </c>
      <c r="F526">
        <v>9</v>
      </c>
      <c r="G526">
        <v>0</v>
      </c>
      <c r="H526">
        <v>0</v>
      </c>
      <c r="I526" t="str">
        <f>_xlfn.XLOOKUP($C526,战区信息!$A$1:$A$5,战区信息!$B$1:$B$5)</f>
        <v>004</v>
      </c>
      <c r="J526" t="str">
        <f>_xlfn.XLOOKUP($C526,战区信息!$A$1:$A$5,战区信息!$C$1:$C$5)</f>
        <v>沈乐欣</v>
      </c>
      <c r="K526" t="str">
        <f>_xlfn.XLOOKUP($C526,战区信息!$A$1:$A$5,战区信息!$D$1:$D$5)</f>
        <v>三级战区</v>
      </c>
      <c r="L526" t="str">
        <f>_xlfn.XLOOKUP($D526,城市信息!$B$1:$B$14,城市信息!$A$1:$A$14)</f>
        <v>007</v>
      </c>
      <c r="M526" t="str">
        <f>_xlfn.XLOOKUP($D526,城市信息!$B$1:$B$14,城市信息!$C$1:$C$14)</f>
        <v>范俊发</v>
      </c>
      <c r="N526" t="str">
        <f>_xlfn.XLOOKUP($D526,城市信息!$B$1:$B$14,城市信息!$D$1:$D$14)</f>
        <v>一线</v>
      </c>
      <c r="O526">
        <f>_xlfn.XLOOKUP($D526,城市信息!$B$1:$B$14,城市信息!$E$1:$E$14)</f>
        <v>12358</v>
      </c>
      <c r="P526" cm="1">
        <f t="array" ref="P526:U526">_xlfn.XLOOKUP(A526&amp;B526,'[1]2.4自动化报表-8月获客数据-非乱码'!$A:$A&amp;'[1]2.4自动化报表-8月获客数据-非乱码'!$B:$B,'[1]2.4自动化报表-8月获客数据-非乱码'!$C:$H)</f>
        <v>95</v>
      </c>
      <c r="Q526">
        <v>91</v>
      </c>
      <c r="R526">
        <v>85</v>
      </c>
      <c r="S526">
        <v>45</v>
      </c>
      <c r="T526">
        <v>25</v>
      </c>
      <c r="U526">
        <v>686</v>
      </c>
    </row>
    <row r="527" spans="1:21" x14ac:dyDescent="0.3">
      <c r="A527" s="1">
        <v>44062</v>
      </c>
      <c r="B527" t="s">
        <v>6</v>
      </c>
      <c r="C527" t="s">
        <v>125</v>
      </c>
      <c r="D527" t="s">
        <v>62</v>
      </c>
      <c r="E527" t="s">
        <v>128</v>
      </c>
      <c r="F527" s="2">
        <v>97452</v>
      </c>
      <c r="G527" s="2">
        <v>9862</v>
      </c>
      <c r="H527">
        <v>0</v>
      </c>
      <c r="I527" t="str">
        <f>_xlfn.XLOOKUP($C527,战区信息!$A$1:$A$5,战区信息!$B$1:$B$5)</f>
        <v>004</v>
      </c>
      <c r="J527" t="str">
        <f>_xlfn.XLOOKUP($C527,战区信息!$A$1:$A$5,战区信息!$C$1:$C$5)</f>
        <v>沈乐欣</v>
      </c>
      <c r="K527" t="str">
        <f>_xlfn.XLOOKUP($C527,战区信息!$A$1:$A$5,战区信息!$D$1:$D$5)</f>
        <v>三级战区</v>
      </c>
      <c r="L527" t="str">
        <f>_xlfn.XLOOKUP($D527,城市信息!$B$1:$B$14,城市信息!$A$1:$A$14)</f>
        <v>007</v>
      </c>
      <c r="M527" t="str">
        <f>_xlfn.XLOOKUP($D527,城市信息!$B$1:$B$14,城市信息!$C$1:$C$14)</f>
        <v>范俊发</v>
      </c>
      <c r="N527" t="str">
        <f>_xlfn.XLOOKUP($D527,城市信息!$B$1:$B$14,城市信息!$D$1:$D$14)</f>
        <v>一线</v>
      </c>
      <c r="O527">
        <f>_xlfn.XLOOKUP($D527,城市信息!$B$1:$B$14,城市信息!$E$1:$E$14)</f>
        <v>12358</v>
      </c>
      <c r="P527" cm="1">
        <f t="array" ref="P527:U527">_xlfn.XLOOKUP(A527&amp;B527,'[1]2.4自动化报表-8月获客数据-非乱码'!$A:$A&amp;'[1]2.4自动化报表-8月获客数据-非乱码'!$B:$B,'[1]2.4自动化报表-8月获客数据-非乱码'!$C:$H)</f>
        <v>1721</v>
      </c>
      <c r="Q527">
        <v>1698</v>
      </c>
      <c r="R527">
        <v>1663</v>
      </c>
      <c r="S527">
        <v>1003</v>
      </c>
      <c r="T527">
        <v>582</v>
      </c>
      <c r="U527">
        <v>688</v>
      </c>
    </row>
    <row r="528" spans="1:21" x14ac:dyDescent="0.3">
      <c r="A528" s="1">
        <v>44062</v>
      </c>
      <c r="B528" t="s">
        <v>5</v>
      </c>
      <c r="C528" t="s">
        <v>125</v>
      </c>
      <c r="D528" t="s">
        <v>62</v>
      </c>
      <c r="E528" t="s">
        <v>129</v>
      </c>
      <c r="F528" s="2">
        <v>86757</v>
      </c>
      <c r="G528" s="2">
        <v>6116</v>
      </c>
      <c r="H528">
        <v>0</v>
      </c>
      <c r="I528" t="str">
        <f>_xlfn.XLOOKUP($C528,战区信息!$A$1:$A$5,战区信息!$B$1:$B$5)</f>
        <v>004</v>
      </c>
      <c r="J528" t="str">
        <f>_xlfn.XLOOKUP($C528,战区信息!$A$1:$A$5,战区信息!$C$1:$C$5)</f>
        <v>沈乐欣</v>
      </c>
      <c r="K528" t="str">
        <f>_xlfn.XLOOKUP($C528,战区信息!$A$1:$A$5,战区信息!$D$1:$D$5)</f>
        <v>三级战区</v>
      </c>
      <c r="L528" t="str">
        <f>_xlfn.XLOOKUP($D528,城市信息!$B$1:$B$14,城市信息!$A$1:$A$14)</f>
        <v>007</v>
      </c>
      <c r="M528" t="str">
        <f>_xlfn.XLOOKUP($D528,城市信息!$B$1:$B$14,城市信息!$C$1:$C$14)</f>
        <v>范俊发</v>
      </c>
      <c r="N528" t="str">
        <f>_xlfn.XLOOKUP($D528,城市信息!$B$1:$B$14,城市信息!$D$1:$D$14)</f>
        <v>一线</v>
      </c>
      <c r="O528">
        <f>_xlfn.XLOOKUP($D528,城市信息!$B$1:$B$14,城市信息!$E$1:$E$14)</f>
        <v>12358</v>
      </c>
      <c r="P528" cm="1">
        <f t="array" ref="P528:U528">_xlfn.XLOOKUP(A528&amp;B528,'[1]2.4自动化报表-8月获客数据-非乱码'!$A:$A&amp;'[1]2.4自动化报表-8月获客数据-非乱码'!$B:$B,'[1]2.4自动化报表-8月获客数据-非乱码'!$C:$H)</f>
        <v>2082</v>
      </c>
      <c r="Q528">
        <v>2033</v>
      </c>
      <c r="R528">
        <v>1942</v>
      </c>
      <c r="S528">
        <v>1232</v>
      </c>
      <c r="T528">
        <v>623</v>
      </c>
      <c r="U528">
        <v>689</v>
      </c>
    </row>
    <row r="529" spans="1:21" x14ac:dyDescent="0.3">
      <c r="A529" s="1">
        <v>44063</v>
      </c>
      <c r="B529" t="s">
        <v>32</v>
      </c>
      <c r="C529" t="s">
        <v>97</v>
      </c>
      <c r="D529" t="s">
        <v>67</v>
      </c>
      <c r="E529" t="s">
        <v>98</v>
      </c>
      <c r="F529" s="2">
        <v>77716</v>
      </c>
      <c r="G529" s="2">
        <v>3645</v>
      </c>
      <c r="H529">
        <v>0</v>
      </c>
      <c r="I529" t="str">
        <f>_xlfn.XLOOKUP($C529,战区信息!$A$1:$A$5,战区信息!$B$1:$B$5)</f>
        <v>003</v>
      </c>
      <c r="J529" t="str">
        <f>_xlfn.XLOOKUP($C529,战区信息!$A$1:$A$5,战区信息!$C$1:$C$5)</f>
        <v>田楠</v>
      </c>
      <c r="K529" t="str">
        <f>_xlfn.XLOOKUP($C529,战区信息!$A$1:$A$5,战区信息!$D$1:$D$5)</f>
        <v>二级战区</v>
      </c>
      <c r="L529" t="str">
        <f>_xlfn.XLOOKUP($D529,城市信息!$B$1:$B$14,城市信息!$A$1:$A$14)</f>
        <v>012</v>
      </c>
      <c r="M529" t="str">
        <f>_xlfn.XLOOKUP($D529,城市信息!$B$1:$B$14,城市信息!$C$1:$C$14)</f>
        <v>于子默</v>
      </c>
      <c r="N529" t="str">
        <f>_xlfn.XLOOKUP($D529,城市信息!$B$1:$B$14,城市信息!$D$1:$D$14)</f>
        <v>二线</v>
      </c>
      <c r="O529">
        <f>_xlfn.XLOOKUP($D529,城市信息!$B$1:$B$14,城市信息!$E$1:$E$14)</f>
        <v>9713</v>
      </c>
      <c r="P529" cm="1">
        <f t="array" ref="P529:U529">_xlfn.XLOOKUP(A529&amp;B529,'[1]2.4自动化报表-8月获客数据-非乱码'!$A:$A&amp;'[1]2.4自动化报表-8月获客数据-非乱码'!$B:$B,'[1]2.4自动化报表-8月获客数据-非乱码'!$C:$H)</f>
        <v>1837</v>
      </c>
      <c r="Q529">
        <v>1813</v>
      </c>
      <c r="R529">
        <v>1754</v>
      </c>
      <c r="S529">
        <v>1068</v>
      </c>
      <c r="T529">
        <v>575</v>
      </c>
      <c r="U529">
        <v>688</v>
      </c>
    </row>
    <row r="530" spans="1:21" x14ac:dyDescent="0.3">
      <c r="A530" s="1">
        <v>44063</v>
      </c>
      <c r="B530" t="s">
        <v>31</v>
      </c>
      <c r="C530" t="s">
        <v>97</v>
      </c>
      <c r="D530" t="s">
        <v>65</v>
      </c>
      <c r="E530" t="s">
        <v>99</v>
      </c>
      <c r="F530" s="2">
        <v>219205</v>
      </c>
      <c r="G530" s="2">
        <v>12463</v>
      </c>
      <c r="H530">
        <v>0</v>
      </c>
      <c r="I530" t="str">
        <f>_xlfn.XLOOKUP($C530,战区信息!$A$1:$A$5,战区信息!$B$1:$B$5)</f>
        <v>003</v>
      </c>
      <c r="J530" t="str">
        <f>_xlfn.XLOOKUP($C530,战区信息!$A$1:$A$5,战区信息!$C$1:$C$5)</f>
        <v>田楠</v>
      </c>
      <c r="K530" t="str">
        <f>_xlfn.XLOOKUP($C530,战区信息!$A$1:$A$5,战区信息!$D$1:$D$5)</f>
        <v>二级战区</v>
      </c>
      <c r="L530" t="str">
        <f>_xlfn.XLOOKUP($D530,城市信息!$B$1:$B$14,城市信息!$A$1:$A$14)</f>
        <v>010</v>
      </c>
      <c r="M530" t="str">
        <f>_xlfn.XLOOKUP($D530,城市信息!$B$1:$B$14,城市信息!$C$1:$C$14)</f>
        <v>黄鹏天</v>
      </c>
      <c r="N530" t="str">
        <f>_xlfn.XLOOKUP($D530,城市信息!$B$1:$B$14,城市信息!$D$1:$D$14)</f>
        <v>二线</v>
      </c>
      <c r="O530">
        <f>_xlfn.XLOOKUP($D530,城市信息!$B$1:$B$14,城市信息!$E$1:$E$14)</f>
        <v>8295</v>
      </c>
      <c r="P530" cm="1">
        <f t="array" ref="P530:U530">_xlfn.XLOOKUP(A530&amp;B530,'[1]2.4自动化报表-8月获客数据-非乱码'!$A:$A&amp;'[1]2.4自动化报表-8月获客数据-非乱码'!$B:$B,'[1]2.4自动化报表-8月获客数据-非乱码'!$C:$H)</f>
        <v>3016</v>
      </c>
      <c r="Q530">
        <v>2962</v>
      </c>
      <c r="R530">
        <v>2862</v>
      </c>
      <c r="S530">
        <v>1722</v>
      </c>
      <c r="T530">
        <v>974</v>
      </c>
      <c r="U530">
        <v>692</v>
      </c>
    </row>
    <row r="531" spans="1:21" x14ac:dyDescent="0.3">
      <c r="A531" s="1">
        <v>44063</v>
      </c>
      <c r="B531" t="s">
        <v>30</v>
      </c>
      <c r="C531" t="s">
        <v>97</v>
      </c>
      <c r="D531" t="s">
        <v>61</v>
      </c>
      <c r="E531" t="s">
        <v>100</v>
      </c>
      <c r="F531" s="2">
        <v>82422</v>
      </c>
      <c r="G531" s="2">
        <v>6899</v>
      </c>
      <c r="H531">
        <v>0</v>
      </c>
      <c r="I531" t="str">
        <f>_xlfn.XLOOKUP($C531,战区信息!$A$1:$A$5,战区信息!$B$1:$B$5)</f>
        <v>003</v>
      </c>
      <c r="J531" t="str">
        <f>_xlfn.XLOOKUP($C531,战区信息!$A$1:$A$5,战区信息!$C$1:$C$5)</f>
        <v>田楠</v>
      </c>
      <c r="K531" t="str">
        <f>_xlfn.XLOOKUP($C531,战区信息!$A$1:$A$5,战区信息!$D$1:$D$5)</f>
        <v>二级战区</v>
      </c>
      <c r="L531" t="str">
        <f>_xlfn.XLOOKUP($D531,城市信息!$B$1:$B$14,城市信息!$A$1:$A$14)</f>
        <v>006</v>
      </c>
      <c r="M531" t="str">
        <f>_xlfn.XLOOKUP($D531,城市信息!$B$1:$B$14,城市信息!$C$1:$C$14)</f>
        <v>王刚</v>
      </c>
      <c r="N531" t="str">
        <f>_xlfn.XLOOKUP($D531,城市信息!$B$1:$B$14,城市信息!$D$1:$D$14)</f>
        <v>二线</v>
      </c>
      <c r="O531">
        <f>_xlfn.XLOOKUP($D531,城市信息!$B$1:$B$14,城市信息!$E$1:$E$14)</f>
        <v>9107</v>
      </c>
      <c r="P531" cm="1">
        <f t="array" ref="P531:U531">_xlfn.XLOOKUP(A531&amp;B531,'[1]2.4自动化报表-8月获客数据-非乱码'!$A:$A&amp;'[1]2.4自动化报表-8月获客数据-非乱码'!$B:$B,'[1]2.4自动化报表-8月获客数据-非乱码'!$C:$H)</f>
        <v>3532</v>
      </c>
      <c r="Q531">
        <v>3457</v>
      </c>
      <c r="R531">
        <v>3327</v>
      </c>
      <c r="S531">
        <v>2068</v>
      </c>
      <c r="T531">
        <v>1108</v>
      </c>
      <c r="U531">
        <v>699</v>
      </c>
    </row>
    <row r="532" spans="1:21" x14ac:dyDescent="0.3">
      <c r="A532" s="1">
        <v>44063</v>
      </c>
      <c r="B532" t="s">
        <v>29</v>
      </c>
      <c r="C532" t="s">
        <v>97</v>
      </c>
      <c r="D532" t="s">
        <v>64</v>
      </c>
      <c r="E532" t="s">
        <v>101</v>
      </c>
      <c r="F532" s="2">
        <v>120589</v>
      </c>
      <c r="G532" s="2">
        <v>6199</v>
      </c>
      <c r="H532">
        <v>0</v>
      </c>
      <c r="I532" t="str">
        <f>_xlfn.XLOOKUP($C532,战区信息!$A$1:$A$5,战区信息!$B$1:$B$5)</f>
        <v>003</v>
      </c>
      <c r="J532" t="str">
        <f>_xlfn.XLOOKUP($C532,战区信息!$A$1:$A$5,战区信息!$C$1:$C$5)</f>
        <v>田楠</v>
      </c>
      <c r="K532" t="str">
        <f>_xlfn.XLOOKUP($C532,战区信息!$A$1:$A$5,战区信息!$D$1:$D$5)</f>
        <v>二级战区</v>
      </c>
      <c r="L532" t="str">
        <f>_xlfn.XLOOKUP($D532,城市信息!$B$1:$B$14,城市信息!$A$1:$A$14)</f>
        <v>009</v>
      </c>
      <c r="M532" t="str">
        <f>_xlfn.XLOOKUP($D532,城市信息!$B$1:$B$14,城市信息!$C$1:$C$14)</f>
        <v>叶超</v>
      </c>
      <c r="N532" t="str">
        <f>_xlfn.XLOOKUP($D532,城市信息!$B$1:$B$14,城市信息!$D$1:$D$14)</f>
        <v>二线</v>
      </c>
      <c r="O532">
        <f>_xlfn.XLOOKUP($D532,城市信息!$B$1:$B$14,城市信息!$E$1:$E$14)</f>
        <v>9016</v>
      </c>
      <c r="P532" cm="1">
        <f t="array" ref="P532:U532">_xlfn.XLOOKUP(A532&amp;B532,'[1]2.4自动化报表-8月获客数据-非乱码'!$A:$A&amp;'[1]2.4自动化报表-8月获客数据-非乱码'!$B:$B,'[1]2.4自动化报表-8月获客数据-非乱码'!$C:$H)</f>
        <v>1946</v>
      </c>
      <c r="Q532">
        <v>1900</v>
      </c>
      <c r="R532">
        <v>1835</v>
      </c>
      <c r="S532">
        <v>1189</v>
      </c>
      <c r="T532">
        <v>695</v>
      </c>
      <c r="U532">
        <v>693</v>
      </c>
    </row>
    <row r="533" spans="1:21" x14ac:dyDescent="0.3">
      <c r="A533" s="1">
        <v>44063</v>
      </c>
      <c r="B533" t="s">
        <v>28</v>
      </c>
      <c r="C533" t="s">
        <v>97</v>
      </c>
      <c r="D533" t="s">
        <v>64</v>
      </c>
      <c r="E533" t="s">
        <v>102</v>
      </c>
      <c r="F533" s="2">
        <v>23001</v>
      </c>
      <c r="G533" s="2">
        <v>1628</v>
      </c>
      <c r="H533">
        <v>0</v>
      </c>
      <c r="I533" t="str">
        <f>_xlfn.XLOOKUP($C533,战区信息!$A$1:$A$5,战区信息!$B$1:$B$5)</f>
        <v>003</v>
      </c>
      <c r="J533" t="str">
        <f>_xlfn.XLOOKUP($C533,战区信息!$A$1:$A$5,战区信息!$C$1:$C$5)</f>
        <v>田楠</v>
      </c>
      <c r="K533" t="str">
        <f>_xlfn.XLOOKUP($C533,战区信息!$A$1:$A$5,战区信息!$D$1:$D$5)</f>
        <v>二级战区</v>
      </c>
      <c r="L533" t="str">
        <f>_xlfn.XLOOKUP($D533,城市信息!$B$1:$B$14,城市信息!$A$1:$A$14)</f>
        <v>009</v>
      </c>
      <c r="M533" t="str">
        <f>_xlfn.XLOOKUP($D533,城市信息!$B$1:$B$14,城市信息!$C$1:$C$14)</f>
        <v>叶超</v>
      </c>
      <c r="N533" t="str">
        <f>_xlfn.XLOOKUP($D533,城市信息!$B$1:$B$14,城市信息!$D$1:$D$14)</f>
        <v>二线</v>
      </c>
      <c r="O533">
        <f>_xlfn.XLOOKUP($D533,城市信息!$B$1:$B$14,城市信息!$E$1:$E$14)</f>
        <v>9016</v>
      </c>
      <c r="P533" cm="1">
        <f t="array" ref="P533:U533">_xlfn.XLOOKUP(A533&amp;B533,'[1]2.4自动化报表-8月获客数据-非乱码'!$A:$A&amp;'[1]2.4自动化报表-8月获客数据-非乱码'!$B:$B,'[1]2.4自动化报表-8月获客数据-非乱码'!$C:$H)</f>
        <v>672</v>
      </c>
      <c r="Q533">
        <v>662</v>
      </c>
      <c r="R533">
        <v>643</v>
      </c>
      <c r="S533">
        <v>443</v>
      </c>
      <c r="T533">
        <v>209</v>
      </c>
      <c r="U533">
        <v>692</v>
      </c>
    </row>
    <row r="534" spans="1:21" x14ac:dyDescent="0.3">
      <c r="A534" s="1">
        <v>44063</v>
      </c>
      <c r="B534" t="s">
        <v>27</v>
      </c>
      <c r="C534" t="s">
        <v>103</v>
      </c>
      <c r="D534" t="s">
        <v>63</v>
      </c>
      <c r="E534" t="s">
        <v>104</v>
      </c>
      <c r="F534" s="2">
        <v>135219</v>
      </c>
      <c r="G534" s="2">
        <v>7834</v>
      </c>
      <c r="H534">
        <v>0</v>
      </c>
      <c r="I534" t="str">
        <f>_xlfn.XLOOKUP($C534,战区信息!$A$1:$A$5,战区信息!$B$1:$B$5)</f>
        <v>002</v>
      </c>
      <c r="J534" t="str">
        <f>_xlfn.XLOOKUP($C534,战区信息!$A$1:$A$5,战区信息!$C$1:$C$5)</f>
        <v>高安平</v>
      </c>
      <c r="K534" t="str">
        <f>_xlfn.XLOOKUP($C534,战区信息!$A$1:$A$5,战区信息!$D$1:$D$5)</f>
        <v>二级战区</v>
      </c>
      <c r="L534" t="str">
        <f>_xlfn.XLOOKUP($D534,城市信息!$B$1:$B$14,城市信息!$A$1:$A$14)</f>
        <v>008</v>
      </c>
      <c r="M534" t="str">
        <f>_xlfn.XLOOKUP($D534,城市信息!$B$1:$B$14,城市信息!$C$1:$C$14)</f>
        <v>高弘壮</v>
      </c>
      <c r="N534" t="str">
        <f>_xlfn.XLOOKUP($D534,城市信息!$B$1:$B$14,城市信息!$D$1:$D$14)</f>
        <v>一线</v>
      </c>
      <c r="O534">
        <f>_xlfn.XLOOKUP($D534,城市信息!$B$1:$B$14,城市信息!$E$1:$E$14)</f>
        <v>11498</v>
      </c>
      <c r="P534" cm="1">
        <f t="array" ref="P534:U534">_xlfn.XLOOKUP(A534&amp;B534,'[1]2.4自动化报表-8月获客数据-非乱码'!$A:$A&amp;'[1]2.4自动化报表-8月获客数据-非乱码'!$B:$B,'[1]2.4自动化报表-8月获客数据-非乱码'!$C:$H)</f>
        <v>3823</v>
      </c>
      <c r="Q534">
        <v>3708</v>
      </c>
      <c r="R534">
        <v>3535</v>
      </c>
      <c r="S534">
        <v>2103</v>
      </c>
      <c r="T534">
        <v>1122</v>
      </c>
      <c r="U534">
        <v>689</v>
      </c>
    </row>
    <row r="535" spans="1:21" x14ac:dyDescent="0.3">
      <c r="A535" s="1">
        <v>44063</v>
      </c>
      <c r="B535" t="s">
        <v>26</v>
      </c>
      <c r="C535" t="s">
        <v>103</v>
      </c>
      <c r="D535" t="s">
        <v>57</v>
      </c>
      <c r="E535" t="s">
        <v>105</v>
      </c>
      <c r="F535" s="2">
        <v>421386</v>
      </c>
      <c r="G535" s="2">
        <v>24584</v>
      </c>
      <c r="H535" s="2">
        <v>18449</v>
      </c>
      <c r="I535" t="str">
        <f>_xlfn.XLOOKUP($C535,战区信息!$A$1:$A$5,战区信息!$B$1:$B$5)</f>
        <v>002</v>
      </c>
      <c r="J535" t="str">
        <f>_xlfn.XLOOKUP($C535,战区信息!$A$1:$A$5,战区信息!$C$1:$C$5)</f>
        <v>高安平</v>
      </c>
      <c r="K535" t="str">
        <f>_xlfn.XLOOKUP($C535,战区信息!$A$1:$A$5,战区信息!$D$1:$D$5)</f>
        <v>二级战区</v>
      </c>
      <c r="L535" t="str">
        <f>_xlfn.XLOOKUP($D535,城市信息!$B$1:$B$14,城市信息!$A$1:$A$14)</f>
        <v>002</v>
      </c>
      <c r="M535" t="str">
        <f>_xlfn.XLOOKUP($D535,城市信息!$B$1:$B$14,城市信息!$C$1:$C$14)</f>
        <v>孙乒</v>
      </c>
      <c r="N535" t="str">
        <f>_xlfn.XLOOKUP($D535,城市信息!$B$1:$B$14,城市信息!$D$1:$D$14)</f>
        <v>一线</v>
      </c>
      <c r="O535">
        <f>_xlfn.XLOOKUP($D535,城市信息!$B$1:$B$14,城市信息!$E$1:$E$14)</f>
        <v>9854</v>
      </c>
      <c r="P535" cm="1">
        <f t="array" ref="P535:U535">_xlfn.XLOOKUP(A535&amp;B535,'[1]2.4自动化报表-8月获客数据-非乱码'!$A:$A&amp;'[1]2.4自动化报表-8月获客数据-非乱码'!$B:$B,'[1]2.4自动化报表-8月获客数据-非乱码'!$C:$H)</f>
        <v>7695</v>
      </c>
      <c r="Q535">
        <v>7512</v>
      </c>
      <c r="R535">
        <v>7209</v>
      </c>
      <c r="S535">
        <v>4452</v>
      </c>
      <c r="T535">
        <v>2457</v>
      </c>
      <c r="U535">
        <v>688</v>
      </c>
    </row>
    <row r="536" spans="1:21" x14ac:dyDescent="0.3">
      <c r="A536" s="1">
        <v>44063</v>
      </c>
      <c r="B536" t="s">
        <v>25</v>
      </c>
      <c r="C536" t="s">
        <v>103</v>
      </c>
      <c r="D536" t="s">
        <v>57</v>
      </c>
      <c r="E536" t="s">
        <v>106</v>
      </c>
      <c r="F536" s="2">
        <v>83370</v>
      </c>
      <c r="G536" s="2">
        <v>4328</v>
      </c>
      <c r="H536" s="2">
        <v>2087</v>
      </c>
      <c r="I536" t="str">
        <f>_xlfn.XLOOKUP($C536,战区信息!$A$1:$A$5,战区信息!$B$1:$B$5)</f>
        <v>002</v>
      </c>
      <c r="J536" t="str">
        <f>_xlfn.XLOOKUP($C536,战区信息!$A$1:$A$5,战区信息!$C$1:$C$5)</f>
        <v>高安平</v>
      </c>
      <c r="K536" t="str">
        <f>_xlfn.XLOOKUP($C536,战区信息!$A$1:$A$5,战区信息!$D$1:$D$5)</f>
        <v>二级战区</v>
      </c>
      <c r="L536" t="str">
        <f>_xlfn.XLOOKUP($D536,城市信息!$B$1:$B$14,城市信息!$A$1:$A$14)</f>
        <v>002</v>
      </c>
      <c r="M536" t="str">
        <f>_xlfn.XLOOKUP($D536,城市信息!$B$1:$B$14,城市信息!$C$1:$C$14)</f>
        <v>孙乒</v>
      </c>
      <c r="N536" t="str">
        <f>_xlfn.XLOOKUP($D536,城市信息!$B$1:$B$14,城市信息!$D$1:$D$14)</f>
        <v>一线</v>
      </c>
      <c r="O536">
        <f>_xlfn.XLOOKUP($D536,城市信息!$B$1:$B$14,城市信息!$E$1:$E$14)</f>
        <v>9854</v>
      </c>
      <c r="P536" cm="1">
        <f t="array" ref="P536:U536">_xlfn.XLOOKUP(A536&amp;B536,'[1]2.4自动化报表-8月获客数据-非乱码'!$A:$A&amp;'[1]2.4自动化报表-8月获客数据-非乱码'!$B:$B,'[1]2.4自动化报表-8月获客数据-非乱码'!$C:$H)</f>
        <v>4052</v>
      </c>
      <c r="Q536">
        <v>3942</v>
      </c>
      <c r="R536">
        <v>3738</v>
      </c>
      <c r="S536">
        <v>2219</v>
      </c>
      <c r="T536">
        <v>1254</v>
      </c>
      <c r="U536">
        <v>689</v>
      </c>
    </row>
    <row r="537" spans="1:21" x14ac:dyDescent="0.3">
      <c r="A537" s="1">
        <v>44063</v>
      </c>
      <c r="B537" t="s">
        <v>24</v>
      </c>
      <c r="C537" t="s">
        <v>103</v>
      </c>
      <c r="D537" t="s">
        <v>57</v>
      </c>
      <c r="E537" t="s">
        <v>107</v>
      </c>
      <c r="F537" s="2">
        <v>144112</v>
      </c>
      <c r="G537" s="2">
        <v>9507</v>
      </c>
      <c r="H537">
        <v>0</v>
      </c>
      <c r="I537" t="str">
        <f>_xlfn.XLOOKUP($C537,战区信息!$A$1:$A$5,战区信息!$B$1:$B$5)</f>
        <v>002</v>
      </c>
      <c r="J537" t="str">
        <f>_xlfn.XLOOKUP($C537,战区信息!$A$1:$A$5,战区信息!$C$1:$C$5)</f>
        <v>高安平</v>
      </c>
      <c r="K537" t="str">
        <f>_xlfn.XLOOKUP($C537,战区信息!$A$1:$A$5,战区信息!$D$1:$D$5)</f>
        <v>二级战区</v>
      </c>
      <c r="L537" t="str">
        <f>_xlfn.XLOOKUP($D537,城市信息!$B$1:$B$14,城市信息!$A$1:$A$14)</f>
        <v>002</v>
      </c>
      <c r="M537" t="str">
        <f>_xlfn.XLOOKUP($D537,城市信息!$B$1:$B$14,城市信息!$C$1:$C$14)</f>
        <v>孙乒</v>
      </c>
      <c r="N537" t="str">
        <f>_xlfn.XLOOKUP($D537,城市信息!$B$1:$B$14,城市信息!$D$1:$D$14)</f>
        <v>一线</v>
      </c>
      <c r="O537">
        <f>_xlfn.XLOOKUP($D537,城市信息!$B$1:$B$14,城市信息!$E$1:$E$14)</f>
        <v>9854</v>
      </c>
      <c r="P537" cm="1">
        <f t="array" ref="P537:U537">_xlfn.XLOOKUP(A537&amp;B537,'[1]2.4自动化报表-8月获客数据-非乱码'!$A:$A&amp;'[1]2.4自动化报表-8月获客数据-非乱码'!$B:$B,'[1]2.4自动化报表-8月获客数据-非乱码'!$C:$H)</f>
        <v>3815</v>
      </c>
      <c r="Q537">
        <v>3753</v>
      </c>
      <c r="R537">
        <v>3594</v>
      </c>
      <c r="S537">
        <v>2217</v>
      </c>
      <c r="T537">
        <v>1296</v>
      </c>
      <c r="U537">
        <v>690</v>
      </c>
    </row>
    <row r="538" spans="1:21" x14ac:dyDescent="0.3">
      <c r="A538" s="1">
        <v>44063</v>
      </c>
      <c r="B538" t="s">
        <v>23</v>
      </c>
      <c r="C538" t="s">
        <v>108</v>
      </c>
      <c r="D538" t="s">
        <v>109</v>
      </c>
      <c r="E538" t="s">
        <v>110</v>
      </c>
      <c r="F538" s="2">
        <v>123129</v>
      </c>
      <c r="G538" s="2">
        <v>5605</v>
      </c>
      <c r="H538">
        <v>0</v>
      </c>
      <c r="I538" t="str">
        <f>_xlfn.XLOOKUP($C538,战区信息!$A$1:$A$5,战区信息!$B$1:$B$5)</f>
        <v>001</v>
      </c>
      <c r="J538" t="str">
        <f>_xlfn.XLOOKUP($C538,战区信息!$A$1:$A$5,战区信息!$C$1:$C$5)</f>
        <v>江永</v>
      </c>
      <c r="K538" t="str">
        <f>_xlfn.XLOOKUP($C538,战区信息!$A$1:$A$5,战区信息!$D$1:$D$5)</f>
        <v>一级战区</v>
      </c>
      <c r="L538" t="str">
        <f>_xlfn.XLOOKUP($D538,城市信息!$B$1:$B$14,城市信息!$A$1:$A$14)</f>
        <v>013</v>
      </c>
      <c r="M538" t="str">
        <f>_xlfn.XLOOKUP($D538,城市信息!$B$1:$B$14,城市信息!$C$1:$C$14)</f>
        <v>张建</v>
      </c>
      <c r="N538" t="str">
        <f>_xlfn.XLOOKUP($D538,城市信息!$B$1:$B$14,城市信息!$D$1:$D$14)</f>
        <v>二线</v>
      </c>
      <c r="O538">
        <f>_xlfn.XLOOKUP($D538,城市信息!$B$1:$B$14,城市信息!$E$1:$E$14)</f>
        <v>8800</v>
      </c>
      <c r="P538" cm="1">
        <f t="array" ref="P538:U538">_xlfn.XLOOKUP(A538&amp;B538,'[1]2.4自动化报表-8月获客数据-非乱码'!$A:$A&amp;'[1]2.4自动化报表-8月获客数据-非乱码'!$B:$B,'[1]2.4自动化报表-8月获客数据-非乱码'!$C:$H)</f>
        <v>4990</v>
      </c>
      <c r="Q538">
        <v>4806</v>
      </c>
      <c r="R538">
        <v>4567</v>
      </c>
      <c r="S538">
        <v>2772</v>
      </c>
      <c r="T538">
        <v>1421</v>
      </c>
      <c r="U538">
        <v>694</v>
      </c>
    </row>
    <row r="539" spans="1:21" x14ac:dyDescent="0.3">
      <c r="A539" s="1">
        <v>44063</v>
      </c>
      <c r="B539" t="s">
        <v>22</v>
      </c>
      <c r="C539" t="s">
        <v>108</v>
      </c>
      <c r="D539" t="s">
        <v>109</v>
      </c>
      <c r="E539" t="s">
        <v>111</v>
      </c>
      <c r="F539" s="2">
        <v>12221</v>
      </c>
      <c r="G539">
        <v>710</v>
      </c>
      <c r="H539">
        <v>0</v>
      </c>
      <c r="I539" t="str">
        <f>_xlfn.XLOOKUP($C539,战区信息!$A$1:$A$5,战区信息!$B$1:$B$5)</f>
        <v>001</v>
      </c>
      <c r="J539" t="str">
        <f>_xlfn.XLOOKUP($C539,战区信息!$A$1:$A$5,战区信息!$C$1:$C$5)</f>
        <v>江永</v>
      </c>
      <c r="K539" t="str">
        <f>_xlfn.XLOOKUP($C539,战区信息!$A$1:$A$5,战区信息!$D$1:$D$5)</f>
        <v>一级战区</v>
      </c>
      <c r="L539" t="str">
        <f>_xlfn.XLOOKUP($D539,城市信息!$B$1:$B$14,城市信息!$A$1:$A$14)</f>
        <v>013</v>
      </c>
      <c r="M539" t="str">
        <f>_xlfn.XLOOKUP($D539,城市信息!$B$1:$B$14,城市信息!$C$1:$C$14)</f>
        <v>张建</v>
      </c>
      <c r="N539" t="str">
        <f>_xlfn.XLOOKUP($D539,城市信息!$B$1:$B$14,城市信息!$D$1:$D$14)</f>
        <v>二线</v>
      </c>
      <c r="O539">
        <f>_xlfn.XLOOKUP($D539,城市信息!$B$1:$B$14,城市信息!$E$1:$E$14)</f>
        <v>8800</v>
      </c>
      <c r="P539" cm="1">
        <f t="array" ref="P539:U539">_xlfn.XLOOKUP(A539&amp;B539,'[1]2.4自动化报表-8月获客数据-非乱码'!$A:$A&amp;'[1]2.4自动化报表-8月获客数据-非乱码'!$B:$B,'[1]2.4自动化报表-8月获客数据-非乱码'!$C:$H)</f>
        <v>295</v>
      </c>
      <c r="Q539">
        <v>289</v>
      </c>
      <c r="R539">
        <v>282</v>
      </c>
      <c r="S539">
        <v>164</v>
      </c>
      <c r="T539">
        <v>110</v>
      </c>
      <c r="U539">
        <v>692</v>
      </c>
    </row>
    <row r="540" spans="1:21" x14ac:dyDescent="0.3">
      <c r="A540" s="1">
        <v>44063</v>
      </c>
      <c r="B540" t="s">
        <v>21</v>
      </c>
      <c r="C540" t="s">
        <v>108</v>
      </c>
      <c r="D540" t="s">
        <v>109</v>
      </c>
      <c r="E540" t="s">
        <v>112</v>
      </c>
      <c r="F540" s="2">
        <v>248777</v>
      </c>
      <c r="G540" s="2">
        <v>11962</v>
      </c>
      <c r="H540">
        <v>0</v>
      </c>
      <c r="I540" t="str">
        <f>_xlfn.XLOOKUP($C540,战区信息!$A$1:$A$5,战区信息!$B$1:$B$5)</f>
        <v>001</v>
      </c>
      <c r="J540" t="str">
        <f>_xlfn.XLOOKUP($C540,战区信息!$A$1:$A$5,战区信息!$C$1:$C$5)</f>
        <v>江永</v>
      </c>
      <c r="K540" t="str">
        <f>_xlfn.XLOOKUP($C540,战区信息!$A$1:$A$5,战区信息!$D$1:$D$5)</f>
        <v>一级战区</v>
      </c>
      <c r="L540" t="str">
        <f>_xlfn.XLOOKUP($D540,城市信息!$B$1:$B$14,城市信息!$A$1:$A$14)</f>
        <v>013</v>
      </c>
      <c r="M540" t="str">
        <f>_xlfn.XLOOKUP($D540,城市信息!$B$1:$B$14,城市信息!$C$1:$C$14)</f>
        <v>张建</v>
      </c>
      <c r="N540" t="str">
        <f>_xlfn.XLOOKUP($D540,城市信息!$B$1:$B$14,城市信息!$D$1:$D$14)</f>
        <v>二线</v>
      </c>
      <c r="O540">
        <f>_xlfn.XLOOKUP($D540,城市信息!$B$1:$B$14,城市信息!$E$1:$E$14)</f>
        <v>8800</v>
      </c>
      <c r="P540" cm="1">
        <f t="array" ref="P540:U540">_xlfn.XLOOKUP(A540&amp;B540,'[1]2.4自动化报表-8月获客数据-非乱码'!$A:$A&amp;'[1]2.4自动化报表-8月获客数据-非乱码'!$B:$B,'[1]2.4自动化报表-8月获客数据-非乱码'!$C:$H)</f>
        <v>5677</v>
      </c>
      <c r="Q540">
        <v>5465</v>
      </c>
      <c r="R540">
        <v>5180</v>
      </c>
      <c r="S540">
        <v>3032</v>
      </c>
      <c r="T540">
        <v>1642</v>
      </c>
      <c r="U540">
        <v>696</v>
      </c>
    </row>
    <row r="541" spans="1:21" x14ac:dyDescent="0.3">
      <c r="A541" s="1">
        <v>44063</v>
      </c>
      <c r="B541" t="s">
        <v>20</v>
      </c>
      <c r="C541" t="s">
        <v>108</v>
      </c>
      <c r="D541" t="s">
        <v>56</v>
      </c>
      <c r="E541" t="s">
        <v>113</v>
      </c>
      <c r="F541" s="2">
        <v>218735</v>
      </c>
      <c r="G541" s="2">
        <v>12124</v>
      </c>
      <c r="H541">
        <v>483</v>
      </c>
      <c r="I541" t="str">
        <f>_xlfn.XLOOKUP($C541,战区信息!$A$1:$A$5,战区信息!$B$1:$B$5)</f>
        <v>001</v>
      </c>
      <c r="J541" t="str">
        <f>_xlfn.XLOOKUP($C541,战区信息!$A$1:$A$5,战区信息!$C$1:$C$5)</f>
        <v>江永</v>
      </c>
      <c r="K541" t="str">
        <f>_xlfn.XLOOKUP($C541,战区信息!$A$1:$A$5,战区信息!$D$1:$D$5)</f>
        <v>一级战区</v>
      </c>
      <c r="L541" t="str">
        <f>_xlfn.XLOOKUP($D541,城市信息!$B$1:$B$14,城市信息!$A$1:$A$14)</f>
        <v>001</v>
      </c>
      <c r="M541" t="str">
        <f>_xlfn.XLOOKUP($D541,城市信息!$B$1:$B$14,城市信息!$C$1:$C$14)</f>
        <v>吴刚</v>
      </c>
      <c r="N541" t="str">
        <f>_xlfn.XLOOKUP($D541,城市信息!$B$1:$B$14,城市信息!$D$1:$D$14)</f>
        <v>一线</v>
      </c>
      <c r="O541">
        <f>_xlfn.XLOOKUP($D541,城市信息!$B$1:$B$14,城市信息!$E$1:$E$14)</f>
        <v>12114</v>
      </c>
      <c r="P541" cm="1">
        <f t="array" ref="P541:U541">_xlfn.XLOOKUP(A541&amp;B541,'[1]2.4自动化报表-8月获客数据-非乱码'!$A:$A&amp;'[1]2.4自动化报表-8月获客数据-非乱码'!$B:$B,'[1]2.4自动化报表-8月获客数据-非乱码'!$C:$H)</f>
        <v>5142</v>
      </c>
      <c r="Q541">
        <v>4962</v>
      </c>
      <c r="R541">
        <v>4756</v>
      </c>
      <c r="S541">
        <v>2860</v>
      </c>
      <c r="T541">
        <v>1612</v>
      </c>
      <c r="U541">
        <v>695</v>
      </c>
    </row>
    <row r="542" spans="1:21" x14ac:dyDescent="0.3">
      <c r="A542" s="1">
        <v>44063</v>
      </c>
      <c r="B542" t="s">
        <v>19</v>
      </c>
      <c r="C542" t="s">
        <v>108</v>
      </c>
      <c r="D542" t="s">
        <v>56</v>
      </c>
      <c r="E542" t="s">
        <v>114</v>
      </c>
      <c r="F542" s="2">
        <v>161249</v>
      </c>
      <c r="G542" s="2">
        <v>7838</v>
      </c>
      <c r="H542" s="2">
        <v>1705</v>
      </c>
      <c r="I542" t="str">
        <f>_xlfn.XLOOKUP($C542,战区信息!$A$1:$A$5,战区信息!$B$1:$B$5)</f>
        <v>001</v>
      </c>
      <c r="J542" t="str">
        <f>_xlfn.XLOOKUP($C542,战区信息!$A$1:$A$5,战区信息!$C$1:$C$5)</f>
        <v>江永</v>
      </c>
      <c r="K542" t="str">
        <f>_xlfn.XLOOKUP($C542,战区信息!$A$1:$A$5,战区信息!$D$1:$D$5)</f>
        <v>一级战区</v>
      </c>
      <c r="L542" t="str">
        <f>_xlfn.XLOOKUP($D542,城市信息!$B$1:$B$14,城市信息!$A$1:$A$14)</f>
        <v>001</v>
      </c>
      <c r="M542" t="str">
        <f>_xlfn.XLOOKUP($D542,城市信息!$B$1:$B$14,城市信息!$C$1:$C$14)</f>
        <v>吴刚</v>
      </c>
      <c r="N542" t="str">
        <f>_xlfn.XLOOKUP($D542,城市信息!$B$1:$B$14,城市信息!$D$1:$D$14)</f>
        <v>一线</v>
      </c>
      <c r="O542">
        <f>_xlfn.XLOOKUP($D542,城市信息!$B$1:$B$14,城市信息!$E$1:$E$14)</f>
        <v>12114</v>
      </c>
      <c r="P542" cm="1">
        <f t="array" ref="P542:U542">_xlfn.XLOOKUP(A542&amp;B542,'[1]2.4自动化报表-8月获客数据-非乱码'!$A:$A&amp;'[1]2.4自动化报表-8月获客数据-非乱码'!$B:$B,'[1]2.4自动化报表-8月获客数据-非乱码'!$C:$H)</f>
        <v>2925</v>
      </c>
      <c r="Q542">
        <v>2858</v>
      </c>
      <c r="R542">
        <v>2747</v>
      </c>
      <c r="S542">
        <v>1612</v>
      </c>
      <c r="T542">
        <v>968</v>
      </c>
      <c r="U542">
        <v>696</v>
      </c>
    </row>
    <row r="543" spans="1:21" x14ac:dyDescent="0.3">
      <c r="A543" s="1">
        <v>44063</v>
      </c>
      <c r="B543" t="s">
        <v>18</v>
      </c>
      <c r="C543" t="s">
        <v>108</v>
      </c>
      <c r="D543" t="s">
        <v>56</v>
      </c>
      <c r="E543" t="s">
        <v>115</v>
      </c>
      <c r="F543" s="2">
        <v>97804</v>
      </c>
      <c r="G543" s="2">
        <v>5145</v>
      </c>
      <c r="H543">
        <v>0</v>
      </c>
      <c r="I543" t="str">
        <f>_xlfn.XLOOKUP($C543,战区信息!$A$1:$A$5,战区信息!$B$1:$B$5)</f>
        <v>001</v>
      </c>
      <c r="J543" t="str">
        <f>_xlfn.XLOOKUP($C543,战区信息!$A$1:$A$5,战区信息!$C$1:$C$5)</f>
        <v>江永</v>
      </c>
      <c r="K543" t="str">
        <f>_xlfn.XLOOKUP($C543,战区信息!$A$1:$A$5,战区信息!$D$1:$D$5)</f>
        <v>一级战区</v>
      </c>
      <c r="L543" t="str">
        <f>_xlfn.XLOOKUP($D543,城市信息!$B$1:$B$14,城市信息!$A$1:$A$14)</f>
        <v>001</v>
      </c>
      <c r="M543" t="str">
        <f>_xlfn.XLOOKUP($D543,城市信息!$B$1:$B$14,城市信息!$C$1:$C$14)</f>
        <v>吴刚</v>
      </c>
      <c r="N543" t="str">
        <f>_xlfn.XLOOKUP($D543,城市信息!$B$1:$B$14,城市信息!$D$1:$D$14)</f>
        <v>一线</v>
      </c>
      <c r="O543">
        <f>_xlfn.XLOOKUP($D543,城市信息!$B$1:$B$14,城市信息!$E$1:$E$14)</f>
        <v>12114</v>
      </c>
      <c r="P543" cm="1">
        <f t="array" ref="P543:U543">_xlfn.XLOOKUP(A543&amp;B543,'[1]2.4自动化报表-8月获客数据-非乱码'!$A:$A&amp;'[1]2.4自动化报表-8月获客数据-非乱码'!$B:$B,'[1]2.4自动化报表-8月获客数据-非乱码'!$C:$H)</f>
        <v>2867</v>
      </c>
      <c r="Q543">
        <v>2817</v>
      </c>
      <c r="R543">
        <v>2695</v>
      </c>
      <c r="S543">
        <v>1635</v>
      </c>
      <c r="T543">
        <v>878</v>
      </c>
      <c r="U543">
        <v>691</v>
      </c>
    </row>
    <row r="544" spans="1:21" x14ac:dyDescent="0.3">
      <c r="A544" s="1">
        <v>44063</v>
      </c>
      <c r="B544" t="s">
        <v>17</v>
      </c>
      <c r="C544" t="s">
        <v>108</v>
      </c>
      <c r="D544" t="s">
        <v>59</v>
      </c>
      <c r="E544" t="s">
        <v>116</v>
      </c>
      <c r="F544" s="2">
        <v>161290</v>
      </c>
      <c r="G544" s="2">
        <v>7438</v>
      </c>
      <c r="H544">
        <v>0</v>
      </c>
      <c r="I544" t="str">
        <f>_xlfn.XLOOKUP($C544,战区信息!$A$1:$A$5,战区信息!$B$1:$B$5)</f>
        <v>001</v>
      </c>
      <c r="J544" t="str">
        <f>_xlfn.XLOOKUP($C544,战区信息!$A$1:$A$5,战区信息!$C$1:$C$5)</f>
        <v>江永</v>
      </c>
      <c r="K544" t="str">
        <f>_xlfn.XLOOKUP($C544,战区信息!$A$1:$A$5,战区信息!$D$1:$D$5)</f>
        <v>一级战区</v>
      </c>
      <c r="L544" t="str">
        <f>_xlfn.XLOOKUP($D544,城市信息!$B$1:$B$14,城市信息!$A$1:$A$14)</f>
        <v>004</v>
      </c>
      <c r="M544" t="str">
        <f>_xlfn.XLOOKUP($D544,城市信息!$B$1:$B$14,城市信息!$C$1:$C$14)</f>
        <v>苏川</v>
      </c>
      <c r="N544" t="str">
        <f>_xlfn.XLOOKUP($D544,城市信息!$B$1:$B$14,城市信息!$D$1:$D$14)</f>
        <v>二线</v>
      </c>
      <c r="O544">
        <f>_xlfn.XLOOKUP($D544,城市信息!$B$1:$B$14,城市信息!$E$1:$E$14)</f>
        <v>9912</v>
      </c>
      <c r="P544" cm="1">
        <f t="array" ref="P544:U544">_xlfn.XLOOKUP(A544&amp;B544,'[1]2.4自动化报表-8月获客数据-非乱码'!$A:$A&amp;'[1]2.4自动化报表-8月获客数据-非乱码'!$B:$B,'[1]2.4自动化报表-8月获客数据-非乱码'!$C:$H)</f>
        <v>3264</v>
      </c>
      <c r="Q544">
        <v>3202</v>
      </c>
      <c r="R544">
        <v>3091</v>
      </c>
      <c r="S544">
        <v>1804</v>
      </c>
      <c r="T544">
        <v>1010</v>
      </c>
      <c r="U544">
        <v>697</v>
      </c>
    </row>
    <row r="545" spans="1:21" x14ac:dyDescent="0.3">
      <c r="A545" s="1">
        <v>44063</v>
      </c>
      <c r="B545" t="s">
        <v>16</v>
      </c>
      <c r="C545" t="s">
        <v>108</v>
      </c>
      <c r="D545" t="s">
        <v>59</v>
      </c>
      <c r="E545" t="s">
        <v>117</v>
      </c>
      <c r="F545" s="2">
        <v>61780</v>
      </c>
      <c r="G545" s="2">
        <v>5195</v>
      </c>
      <c r="H545">
        <v>0</v>
      </c>
      <c r="I545" t="str">
        <f>_xlfn.XLOOKUP($C545,战区信息!$A$1:$A$5,战区信息!$B$1:$B$5)</f>
        <v>001</v>
      </c>
      <c r="J545" t="str">
        <f>_xlfn.XLOOKUP($C545,战区信息!$A$1:$A$5,战区信息!$C$1:$C$5)</f>
        <v>江永</v>
      </c>
      <c r="K545" t="str">
        <f>_xlfn.XLOOKUP($C545,战区信息!$A$1:$A$5,战区信息!$D$1:$D$5)</f>
        <v>一级战区</v>
      </c>
      <c r="L545" t="str">
        <f>_xlfn.XLOOKUP($D545,城市信息!$B$1:$B$14,城市信息!$A$1:$A$14)</f>
        <v>004</v>
      </c>
      <c r="M545" t="str">
        <f>_xlfn.XLOOKUP($D545,城市信息!$B$1:$B$14,城市信息!$C$1:$C$14)</f>
        <v>苏川</v>
      </c>
      <c r="N545" t="str">
        <f>_xlfn.XLOOKUP($D545,城市信息!$B$1:$B$14,城市信息!$D$1:$D$14)</f>
        <v>二线</v>
      </c>
      <c r="O545">
        <f>_xlfn.XLOOKUP($D545,城市信息!$B$1:$B$14,城市信息!$E$1:$E$14)</f>
        <v>9912</v>
      </c>
      <c r="P545" cm="1">
        <f t="array" ref="P545:U545">_xlfn.XLOOKUP(A545&amp;B545,'[1]2.4自动化报表-8月获客数据-非乱码'!$A:$A&amp;'[1]2.4自动化报表-8月获客数据-非乱码'!$B:$B,'[1]2.4自动化报表-8月获客数据-非乱码'!$C:$H)</f>
        <v>2610</v>
      </c>
      <c r="Q545">
        <v>2528</v>
      </c>
      <c r="R545">
        <v>2411</v>
      </c>
      <c r="S545">
        <v>1402</v>
      </c>
      <c r="T545">
        <v>776</v>
      </c>
      <c r="U545">
        <v>696</v>
      </c>
    </row>
    <row r="546" spans="1:21" x14ac:dyDescent="0.3">
      <c r="A546" s="1">
        <v>44063</v>
      </c>
      <c r="B546" t="s">
        <v>15</v>
      </c>
      <c r="C546" t="s">
        <v>108</v>
      </c>
      <c r="D546" t="s">
        <v>59</v>
      </c>
      <c r="E546" t="s">
        <v>118</v>
      </c>
      <c r="F546" s="2">
        <v>72522</v>
      </c>
      <c r="G546" s="2">
        <v>8605</v>
      </c>
      <c r="H546">
        <v>0</v>
      </c>
      <c r="I546" t="str">
        <f>_xlfn.XLOOKUP($C546,战区信息!$A$1:$A$5,战区信息!$B$1:$B$5)</f>
        <v>001</v>
      </c>
      <c r="J546" t="str">
        <f>_xlfn.XLOOKUP($C546,战区信息!$A$1:$A$5,战区信息!$C$1:$C$5)</f>
        <v>江永</v>
      </c>
      <c r="K546" t="str">
        <f>_xlfn.XLOOKUP($C546,战区信息!$A$1:$A$5,战区信息!$D$1:$D$5)</f>
        <v>一级战区</v>
      </c>
      <c r="L546" t="str">
        <f>_xlfn.XLOOKUP($D546,城市信息!$B$1:$B$14,城市信息!$A$1:$A$14)</f>
        <v>004</v>
      </c>
      <c r="M546" t="str">
        <f>_xlfn.XLOOKUP($D546,城市信息!$B$1:$B$14,城市信息!$C$1:$C$14)</f>
        <v>苏川</v>
      </c>
      <c r="N546" t="str">
        <f>_xlfn.XLOOKUP($D546,城市信息!$B$1:$B$14,城市信息!$D$1:$D$14)</f>
        <v>二线</v>
      </c>
      <c r="O546">
        <f>_xlfn.XLOOKUP($D546,城市信息!$B$1:$B$14,城市信息!$E$1:$E$14)</f>
        <v>9912</v>
      </c>
      <c r="P546" cm="1">
        <f t="array" ref="P546:U546">_xlfn.XLOOKUP(A546&amp;B546,'[1]2.4自动化报表-8月获客数据-非乱码'!$A:$A&amp;'[1]2.4自动化报表-8月获客数据-非乱码'!$B:$B,'[1]2.4自动化报表-8月获客数据-非乱码'!$C:$H)</f>
        <v>2133</v>
      </c>
      <c r="Q546">
        <v>2087</v>
      </c>
      <c r="R546">
        <v>2010</v>
      </c>
      <c r="S546">
        <v>1217</v>
      </c>
      <c r="T546">
        <v>581</v>
      </c>
      <c r="U546">
        <v>697</v>
      </c>
    </row>
    <row r="547" spans="1:21" x14ac:dyDescent="0.3">
      <c r="A547" s="1">
        <v>44063</v>
      </c>
      <c r="B547" t="s">
        <v>14</v>
      </c>
      <c r="C547" t="s">
        <v>108</v>
      </c>
      <c r="D547" t="s">
        <v>59</v>
      </c>
      <c r="E547" t="s">
        <v>119</v>
      </c>
      <c r="F547" s="2">
        <v>112782</v>
      </c>
      <c r="G547" s="2">
        <v>5056</v>
      </c>
      <c r="H547">
        <v>0</v>
      </c>
      <c r="I547" t="str">
        <f>_xlfn.XLOOKUP($C547,战区信息!$A$1:$A$5,战区信息!$B$1:$B$5)</f>
        <v>001</v>
      </c>
      <c r="J547" t="str">
        <f>_xlfn.XLOOKUP($C547,战区信息!$A$1:$A$5,战区信息!$C$1:$C$5)</f>
        <v>江永</v>
      </c>
      <c r="K547" t="str">
        <f>_xlfn.XLOOKUP($C547,战区信息!$A$1:$A$5,战区信息!$D$1:$D$5)</f>
        <v>一级战区</v>
      </c>
      <c r="L547" t="str">
        <f>_xlfn.XLOOKUP($D547,城市信息!$B$1:$B$14,城市信息!$A$1:$A$14)</f>
        <v>004</v>
      </c>
      <c r="M547" t="str">
        <f>_xlfn.XLOOKUP($D547,城市信息!$B$1:$B$14,城市信息!$C$1:$C$14)</f>
        <v>苏川</v>
      </c>
      <c r="N547" t="str">
        <f>_xlfn.XLOOKUP($D547,城市信息!$B$1:$B$14,城市信息!$D$1:$D$14)</f>
        <v>二线</v>
      </c>
      <c r="O547">
        <f>_xlfn.XLOOKUP($D547,城市信息!$B$1:$B$14,城市信息!$E$1:$E$14)</f>
        <v>9912</v>
      </c>
      <c r="P547" cm="1">
        <f t="array" ref="P547:U547">_xlfn.XLOOKUP(A547&amp;B547,'[1]2.4自动化报表-8月获客数据-非乱码'!$A:$A&amp;'[1]2.4自动化报表-8月获客数据-非乱码'!$B:$B,'[1]2.4自动化报表-8月获客数据-非乱码'!$C:$H)</f>
        <v>2550</v>
      </c>
      <c r="Q547">
        <v>2470</v>
      </c>
      <c r="R547">
        <v>2366</v>
      </c>
      <c r="S547">
        <v>1476</v>
      </c>
      <c r="T547">
        <v>784</v>
      </c>
      <c r="U547">
        <v>698</v>
      </c>
    </row>
    <row r="548" spans="1:21" x14ac:dyDescent="0.3">
      <c r="A548" s="1">
        <v>44063</v>
      </c>
      <c r="B548" t="s">
        <v>13</v>
      </c>
      <c r="C548" t="s">
        <v>108</v>
      </c>
      <c r="D548" t="s">
        <v>60</v>
      </c>
      <c r="E548" t="s">
        <v>120</v>
      </c>
      <c r="F548" s="2">
        <v>162220</v>
      </c>
      <c r="G548" s="2">
        <v>8484</v>
      </c>
      <c r="H548">
        <v>0</v>
      </c>
      <c r="I548" t="str">
        <f>_xlfn.XLOOKUP($C548,战区信息!$A$1:$A$5,战区信息!$B$1:$B$5)</f>
        <v>001</v>
      </c>
      <c r="J548" t="str">
        <f>_xlfn.XLOOKUP($C548,战区信息!$A$1:$A$5,战区信息!$C$1:$C$5)</f>
        <v>江永</v>
      </c>
      <c r="K548" t="str">
        <f>_xlfn.XLOOKUP($C548,战区信息!$A$1:$A$5,战区信息!$D$1:$D$5)</f>
        <v>一级战区</v>
      </c>
      <c r="L548" t="str">
        <f>_xlfn.XLOOKUP($D548,城市信息!$B$1:$B$14,城市信息!$A$1:$A$14)</f>
        <v>005</v>
      </c>
      <c r="M548" t="str">
        <f>_xlfn.XLOOKUP($D548,城市信息!$B$1:$B$14,城市信息!$C$1:$C$14)</f>
        <v>侯阳冰</v>
      </c>
      <c r="N548" t="str">
        <f>_xlfn.XLOOKUP($D548,城市信息!$B$1:$B$14,城市信息!$D$1:$D$14)</f>
        <v>二线</v>
      </c>
      <c r="O548">
        <f>_xlfn.XLOOKUP($D548,城市信息!$B$1:$B$14,城市信息!$E$1:$E$14)</f>
        <v>8694</v>
      </c>
      <c r="P548" cm="1">
        <f t="array" ref="P548:U548">_xlfn.XLOOKUP(A548&amp;B548,'[1]2.4自动化报表-8月获客数据-非乱码'!$A:$A&amp;'[1]2.4自动化报表-8月获客数据-非乱码'!$B:$B,'[1]2.4自动化报表-8月获客数据-非乱码'!$C:$H)</f>
        <v>4936</v>
      </c>
      <c r="Q548">
        <v>4817</v>
      </c>
      <c r="R548">
        <v>4583</v>
      </c>
      <c r="S548">
        <v>2850</v>
      </c>
      <c r="T548">
        <v>1419</v>
      </c>
      <c r="U548">
        <v>696</v>
      </c>
    </row>
    <row r="549" spans="1:21" x14ac:dyDescent="0.3">
      <c r="A549" s="1">
        <v>44063</v>
      </c>
      <c r="B549" t="s">
        <v>12</v>
      </c>
      <c r="C549" t="s">
        <v>108</v>
      </c>
      <c r="D549" t="s">
        <v>60</v>
      </c>
      <c r="E549" t="s">
        <v>121</v>
      </c>
      <c r="F549" s="2">
        <v>46203</v>
      </c>
      <c r="G549" s="2">
        <v>2659</v>
      </c>
      <c r="H549">
        <v>0</v>
      </c>
      <c r="I549" t="str">
        <f>_xlfn.XLOOKUP($C549,战区信息!$A$1:$A$5,战区信息!$B$1:$B$5)</f>
        <v>001</v>
      </c>
      <c r="J549" t="str">
        <f>_xlfn.XLOOKUP($C549,战区信息!$A$1:$A$5,战区信息!$C$1:$C$5)</f>
        <v>江永</v>
      </c>
      <c r="K549" t="str">
        <f>_xlfn.XLOOKUP($C549,战区信息!$A$1:$A$5,战区信息!$D$1:$D$5)</f>
        <v>一级战区</v>
      </c>
      <c r="L549" t="str">
        <f>_xlfn.XLOOKUP($D549,城市信息!$B$1:$B$14,城市信息!$A$1:$A$14)</f>
        <v>005</v>
      </c>
      <c r="M549" t="str">
        <f>_xlfn.XLOOKUP($D549,城市信息!$B$1:$B$14,城市信息!$C$1:$C$14)</f>
        <v>侯阳冰</v>
      </c>
      <c r="N549" t="str">
        <f>_xlfn.XLOOKUP($D549,城市信息!$B$1:$B$14,城市信息!$D$1:$D$14)</f>
        <v>二线</v>
      </c>
      <c r="O549">
        <f>_xlfn.XLOOKUP($D549,城市信息!$B$1:$B$14,城市信息!$E$1:$E$14)</f>
        <v>8694</v>
      </c>
      <c r="P549" cm="1">
        <f t="array" ref="P549:U549">_xlfn.XLOOKUP(A549&amp;B549,'[1]2.4自动化报表-8月获客数据-非乱码'!$A:$A&amp;'[1]2.4自动化报表-8月获客数据-非乱码'!$B:$B,'[1]2.4自动化报表-8月获客数据-非乱码'!$C:$H)</f>
        <v>866</v>
      </c>
      <c r="Q549">
        <v>853</v>
      </c>
      <c r="R549">
        <v>800</v>
      </c>
      <c r="S549">
        <v>515</v>
      </c>
      <c r="T549">
        <v>245</v>
      </c>
      <c r="U549">
        <v>697</v>
      </c>
    </row>
    <row r="550" spans="1:21" x14ac:dyDescent="0.3">
      <c r="A550" s="1">
        <v>44063</v>
      </c>
      <c r="B550" t="s">
        <v>11</v>
      </c>
      <c r="C550" t="s">
        <v>108</v>
      </c>
      <c r="D550" t="s">
        <v>58</v>
      </c>
      <c r="E550" t="s">
        <v>122</v>
      </c>
      <c r="F550" s="2">
        <v>167796</v>
      </c>
      <c r="G550" s="2">
        <v>8203</v>
      </c>
      <c r="H550">
        <v>0</v>
      </c>
      <c r="I550" t="str">
        <f>_xlfn.XLOOKUP($C550,战区信息!$A$1:$A$5,战区信息!$B$1:$B$5)</f>
        <v>001</v>
      </c>
      <c r="J550" t="str">
        <f>_xlfn.XLOOKUP($C550,战区信息!$A$1:$A$5,战区信息!$C$1:$C$5)</f>
        <v>江永</v>
      </c>
      <c r="K550" t="str">
        <f>_xlfn.XLOOKUP($C550,战区信息!$A$1:$A$5,战区信息!$D$1:$D$5)</f>
        <v>一级战区</v>
      </c>
      <c r="L550" t="str">
        <f>_xlfn.XLOOKUP($D550,城市信息!$B$1:$B$14,城市信息!$A$1:$A$14)</f>
        <v>003</v>
      </c>
      <c r="M550" t="str">
        <f>_xlfn.XLOOKUP($D550,城市信息!$B$1:$B$14,城市信息!$C$1:$C$14)</f>
        <v>杜光亮</v>
      </c>
      <c r="N550" t="str">
        <f>_xlfn.XLOOKUP($D550,城市信息!$B$1:$B$14,城市信息!$D$1:$D$14)</f>
        <v>二线</v>
      </c>
      <c r="O550">
        <f>_xlfn.XLOOKUP($D550,城市信息!$B$1:$B$14,城市信息!$E$1:$E$14)</f>
        <v>10499</v>
      </c>
      <c r="P550" cm="1">
        <f t="array" ref="P550:U550">_xlfn.XLOOKUP(A550&amp;B550,'[1]2.4自动化报表-8月获客数据-非乱码'!$A:$A&amp;'[1]2.4自动化报表-8月获客数据-非乱码'!$B:$B,'[1]2.4自动化报表-8月获客数据-非乱码'!$C:$H)</f>
        <v>6858</v>
      </c>
      <c r="Q550">
        <v>6592</v>
      </c>
      <c r="R550">
        <v>6249</v>
      </c>
      <c r="S550">
        <v>3853</v>
      </c>
      <c r="T550">
        <v>1820</v>
      </c>
      <c r="U550">
        <v>702</v>
      </c>
    </row>
    <row r="551" spans="1:21" x14ac:dyDescent="0.3">
      <c r="A551" s="1">
        <v>44063</v>
      </c>
      <c r="B551" t="s">
        <v>10</v>
      </c>
      <c r="C551" t="s">
        <v>108</v>
      </c>
      <c r="D551" t="s">
        <v>58</v>
      </c>
      <c r="E551" t="s">
        <v>123</v>
      </c>
      <c r="F551" s="2">
        <v>118541</v>
      </c>
      <c r="G551" s="2">
        <v>4936</v>
      </c>
      <c r="H551">
        <v>0</v>
      </c>
      <c r="I551" t="str">
        <f>_xlfn.XLOOKUP($C551,战区信息!$A$1:$A$5,战区信息!$B$1:$B$5)</f>
        <v>001</v>
      </c>
      <c r="J551" t="str">
        <f>_xlfn.XLOOKUP($C551,战区信息!$A$1:$A$5,战区信息!$C$1:$C$5)</f>
        <v>江永</v>
      </c>
      <c r="K551" t="str">
        <f>_xlfn.XLOOKUP($C551,战区信息!$A$1:$A$5,战区信息!$D$1:$D$5)</f>
        <v>一级战区</v>
      </c>
      <c r="L551" t="str">
        <f>_xlfn.XLOOKUP($D551,城市信息!$B$1:$B$14,城市信息!$A$1:$A$14)</f>
        <v>003</v>
      </c>
      <c r="M551" t="str">
        <f>_xlfn.XLOOKUP($D551,城市信息!$B$1:$B$14,城市信息!$C$1:$C$14)</f>
        <v>杜光亮</v>
      </c>
      <c r="N551" t="str">
        <f>_xlfn.XLOOKUP($D551,城市信息!$B$1:$B$14,城市信息!$D$1:$D$14)</f>
        <v>二线</v>
      </c>
      <c r="O551">
        <f>_xlfn.XLOOKUP($D551,城市信息!$B$1:$B$14,城市信息!$E$1:$E$14)</f>
        <v>10499</v>
      </c>
      <c r="P551" cm="1">
        <f t="array" ref="P551:U551">_xlfn.XLOOKUP(A551&amp;B551,'[1]2.4自动化报表-8月获客数据-非乱码'!$A:$A&amp;'[1]2.4自动化报表-8月获客数据-非乱码'!$B:$B,'[1]2.4自动化报表-8月获客数据-非乱码'!$C:$H)</f>
        <v>1773</v>
      </c>
      <c r="Q551">
        <v>1738</v>
      </c>
      <c r="R551">
        <v>1690</v>
      </c>
      <c r="S551">
        <v>1017</v>
      </c>
      <c r="T551">
        <v>614</v>
      </c>
      <c r="U551">
        <v>701</v>
      </c>
    </row>
    <row r="552" spans="1:21" x14ac:dyDescent="0.3">
      <c r="A552" s="1">
        <v>44063</v>
      </c>
      <c r="B552" t="s">
        <v>9</v>
      </c>
      <c r="C552" t="s">
        <v>108</v>
      </c>
      <c r="D552" t="s">
        <v>58</v>
      </c>
      <c r="E552" t="s">
        <v>124</v>
      </c>
      <c r="F552" s="2">
        <v>276252</v>
      </c>
      <c r="G552" s="2">
        <v>16497</v>
      </c>
      <c r="H552">
        <v>911</v>
      </c>
      <c r="I552" t="str">
        <f>_xlfn.XLOOKUP($C552,战区信息!$A$1:$A$5,战区信息!$B$1:$B$5)</f>
        <v>001</v>
      </c>
      <c r="J552" t="str">
        <f>_xlfn.XLOOKUP($C552,战区信息!$A$1:$A$5,战区信息!$C$1:$C$5)</f>
        <v>江永</v>
      </c>
      <c r="K552" t="str">
        <f>_xlfn.XLOOKUP($C552,战区信息!$A$1:$A$5,战区信息!$D$1:$D$5)</f>
        <v>一级战区</v>
      </c>
      <c r="L552" t="str">
        <f>_xlfn.XLOOKUP($D552,城市信息!$B$1:$B$14,城市信息!$A$1:$A$14)</f>
        <v>003</v>
      </c>
      <c r="M552" t="str">
        <f>_xlfn.XLOOKUP($D552,城市信息!$B$1:$B$14,城市信息!$C$1:$C$14)</f>
        <v>杜光亮</v>
      </c>
      <c r="N552" t="str">
        <f>_xlfn.XLOOKUP($D552,城市信息!$B$1:$B$14,城市信息!$D$1:$D$14)</f>
        <v>二线</v>
      </c>
      <c r="O552">
        <f>_xlfn.XLOOKUP($D552,城市信息!$B$1:$B$14,城市信息!$E$1:$E$14)</f>
        <v>10499</v>
      </c>
      <c r="P552" cm="1">
        <f t="array" ref="P552:U552">_xlfn.XLOOKUP(A552&amp;B552,'[1]2.4自动化报表-8月获客数据-非乱码'!$A:$A&amp;'[1]2.4自动化报表-8月获客数据-非乱码'!$B:$B,'[1]2.4自动化报表-8月获客数据-非乱码'!$C:$H)</f>
        <v>5620</v>
      </c>
      <c r="Q552">
        <v>5478</v>
      </c>
      <c r="R552">
        <v>5290</v>
      </c>
      <c r="S552">
        <v>3010</v>
      </c>
      <c r="T552">
        <v>1681</v>
      </c>
      <c r="U552">
        <v>694</v>
      </c>
    </row>
    <row r="553" spans="1:21" x14ac:dyDescent="0.3">
      <c r="A553" s="1">
        <v>44063</v>
      </c>
      <c r="B553" t="s">
        <v>8</v>
      </c>
      <c r="C553" t="s">
        <v>125</v>
      </c>
      <c r="D553" t="s">
        <v>66</v>
      </c>
      <c r="E553" t="s">
        <v>126</v>
      </c>
      <c r="F553" s="2">
        <v>85725</v>
      </c>
      <c r="G553" s="2">
        <v>4165</v>
      </c>
      <c r="H553" s="2">
        <v>2636</v>
      </c>
      <c r="I553" t="str">
        <f>_xlfn.XLOOKUP($C553,战区信息!$A$1:$A$5,战区信息!$B$1:$B$5)</f>
        <v>004</v>
      </c>
      <c r="J553" t="str">
        <f>_xlfn.XLOOKUP($C553,战区信息!$A$1:$A$5,战区信息!$C$1:$C$5)</f>
        <v>沈乐欣</v>
      </c>
      <c r="K553" t="str">
        <f>_xlfn.XLOOKUP($C553,战区信息!$A$1:$A$5,战区信息!$D$1:$D$5)</f>
        <v>三级战区</v>
      </c>
      <c r="L553" t="str">
        <f>_xlfn.XLOOKUP($D553,城市信息!$B$1:$B$14,城市信息!$A$1:$A$14)</f>
        <v>011</v>
      </c>
      <c r="M553" t="str">
        <f>_xlfn.XLOOKUP($D553,城市信息!$B$1:$B$14,城市信息!$C$1:$C$14)</f>
        <v>冯谦</v>
      </c>
      <c r="N553" t="str">
        <f>_xlfn.XLOOKUP($D553,城市信息!$B$1:$B$14,城市信息!$D$1:$D$14)</f>
        <v>一线</v>
      </c>
      <c r="O553">
        <f>_xlfn.XLOOKUP($D553,城市信息!$B$1:$B$14,城市信息!$E$1:$E$14)</f>
        <v>8244</v>
      </c>
      <c r="P553" cm="1">
        <f t="array" ref="P553:U553">_xlfn.XLOOKUP(A553&amp;B553,'[1]2.4自动化报表-8月获客数据-非乱码'!$A:$A&amp;'[1]2.4自动化报表-8月获客数据-非乱码'!$B:$B,'[1]2.4自动化报表-8月获客数据-非乱码'!$C:$H)</f>
        <v>1951</v>
      </c>
      <c r="Q553">
        <v>1930</v>
      </c>
      <c r="R553">
        <v>1873</v>
      </c>
      <c r="S553">
        <v>1053</v>
      </c>
      <c r="T553">
        <v>690</v>
      </c>
      <c r="U553">
        <v>686</v>
      </c>
    </row>
    <row r="554" spans="1:21" x14ac:dyDescent="0.3">
      <c r="A554" s="1">
        <v>44063</v>
      </c>
      <c r="B554" t="s">
        <v>6</v>
      </c>
      <c r="C554" t="s">
        <v>125</v>
      </c>
      <c r="D554" t="s">
        <v>62</v>
      </c>
      <c r="E554" t="s">
        <v>128</v>
      </c>
      <c r="F554" s="2">
        <v>44080</v>
      </c>
      <c r="G554" s="2">
        <v>2268</v>
      </c>
      <c r="H554" s="2">
        <v>1270</v>
      </c>
      <c r="I554" t="str">
        <f>_xlfn.XLOOKUP($C554,战区信息!$A$1:$A$5,战区信息!$B$1:$B$5)</f>
        <v>004</v>
      </c>
      <c r="J554" t="str">
        <f>_xlfn.XLOOKUP($C554,战区信息!$A$1:$A$5,战区信息!$C$1:$C$5)</f>
        <v>沈乐欣</v>
      </c>
      <c r="K554" t="str">
        <f>_xlfn.XLOOKUP($C554,战区信息!$A$1:$A$5,战区信息!$D$1:$D$5)</f>
        <v>三级战区</v>
      </c>
      <c r="L554" t="str">
        <f>_xlfn.XLOOKUP($D554,城市信息!$B$1:$B$14,城市信息!$A$1:$A$14)</f>
        <v>007</v>
      </c>
      <c r="M554" t="str">
        <f>_xlfn.XLOOKUP($D554,城市信息!$B$1:$B$14,城市信息!$C$1:$C$14)</f>
        <v>范俊发</v>
      </c>
      <c r="N554" t="str">
        <f>_xlfn.XLOOKUP($D554,城市信息!$B$1:$B$14,城市信息!$D$1:$D$14)</f>
        <v>一线</v>
      </c>
      <c r="O554">
        <f>_xlfn.XLOOKUP($D554,城市信息!$B$1:$B$14,城市信息!$E$1:$E$14)</f>
        <v>12358</v>
      </c>
      <c r="P554" cm="1">
        <f t="array" ref="P554:U554">_xlfn.XLOOKUP(A554&amp;B554,'[1]2.4自动化报表-8月获客数据-非乱码'!$A:$A&amp;'[1]2.4自动化报表-8月获客数据-非乱码'!$B:$B,'[1]2.4自动化报表-8月获客数据-非乱码'!$C:$H)</f>
        <v>1721</v>
      </c>
      <c r="Q554">
        <v>1698</v>
      </c>
      <c r="R554">
        <v>1663</v>
      </c>
      <c r="S554">
        <v>1003</v>
      </c>
      <c r="T554">
        <v>582</v>
      </c>
      <c r="U554">
        <v>688</v>
      </c>
    </row>
    <row r="555" spans="1:21" x14ac:dyDescent="0.3">
      <c r="A555" s="1">
        <v>44063</v>
      </c>
      <c r="B555" t="s">
        <v>5</v>
      </c>
      <c r="C555" t="s">
        <v>125</v>
      </c>
      <c r="D555" t="s">
        <v>62</v>
      </c>
      <c r="E555" t="s">
        <v>129</v>
      </c>
      <c r="F555" s="2">
        <v>101753</v>
      </c>
      <c r="G555" s="2">
        <v>5180</v>
      </c>
      <c r="H555">
        <v>0</v>
      </c>
      <c r="I555" t="str">
        <f>_xlfn.XLOOKUP($C555,战区信息!$A$1:$A$5,战区信息!$B$1:$B$5)</f>
        <v>004</v>
      </c>
      <c r="J555" t="str">
        <f>_xlfn.XLOOKUP($C555,战区信息!$A$1:$A$5,战区信息!$C$1:$C$5)</f>
        <v>沈乐欣</v>
      </c>
      <c r="K555" t="str">
        <f>_xlfn.XLOOKUP($C555,战区信息!$A$1:$A$5,战区信息!$D$1:$D$5)</f>
        <v>三级战区</v>
      </c>
      <c r="L555" t="str">
        <f>_xlfn.XLOOKUP($D555,城市信息!$B$1:$B$14,城市信息!$A$1:$A$14)</f>
        <v>007</v>
      </c>
      <c r="M555" t="str">
        <f>_xlfn.XLOOKUP($D555,城市信息!$B$1:$B$14,城市信息!$C$1:$C$14)</f>
        <v>范俊发</v>
      </c>
      <c r="N555" t="str">
        <f>_xlfn.XLOOKUP($D555,城市信息!$B$1:$B$14,城市信息!$D$1:$D$14)</f>
        <v>一线</v>
      </c>
      <c r="O555">
        <f>_xlfn.XLOOKUP($D555,城市信息!$B$1:$B$14,城市信息!$E$1:$E$14)</f>
        <v>12358</v>
      </c>
      <c r="P555" cm="1">
        <f t="array" ref="P555:U555">_xlfn.XLOOKUP(A555&amp;B555,'[1]2.4自动化报表-8月获客数据-非乱码'!$A:$A&amp;'[1]2.4自动化报表-8月获客数据-非乱码'!$B:$B,'[1]2.4自动化报表-8月获客数据-非乱码'!$C:$H)</f>
        <v>1971</v>
      </c>
      <c r="Q555">
        <v>1924</v>
      </c>
      <c r="R555">
        <v>1839</v>
      </c>
      <c r="S555">
        <v>1170</v>
      </c>
      <c r="T555">
        <v>594</v>
      </c>
      <c r="U555">
        <v>689</v>
      </c>
    </row>
    <row r="556" spans="1:21" x14ac:dyDescent="0.3">
      <c r="A556" s="1">
        <v>44064</v>
      </c>
      <c r="B556" t="s">
        <v>32</v>
      </c>
      <c r="C556" t="s">
        <v>97</v>
      </c>
      <c r="D556" t="s">
        <v>67</v>
      </c>
      <c r="E556" t="s">
        <v>98</v>
      </c>
      <c r="F556" s="2">
        <v>151637</v>
      </c>
      <c r="G556" s="2">
        <v>7424</v>
      </c>
      <c r="H556">
        <v>0</v>
      </c>
      <c r="I556" t="str">
        <f>_xlfn.XLOOKUP($C556,战区信息!$A$1:$A$5,战区信息!$B$1:$B$5)</f>
        <v>003</v>
      </c>
      <c r="J556" t="str">
        <f>_xlfn.XLOOKUP($C556,战区信息!$A$1:$A$5,战区信息!$C$1:$C$5)</f>
        <v>田楠</v>
      </c>
      <c r="K556" t="str">
        <f>_xlfn.XLOOKUP($C556,战区信息!$A$1:$A$5,战区信息!$D$1:$D$5)</f>
        <v>二级战区</v>
      </c>
      <c r="L556" t="str">
        <f>_xlfn.XLOOKUP($D556,城市信息!$B$1:$B$14,城市信息!$A$1:$A$14)</f>
        <v>012</v>
      </c>
      <c r="M556" t="str">
        <f>_xlfn.XLOOKUP($D556,城市信息!$B$1:$B$14,城市信息!$C$1:$C$14)</f>
        <v>于子默</v>
      </c>
      <c r="N556" t="str">
        <f>_xlfn.XLOOKUP($D556,城市信息!$B$1:$B$14,城市信息!$D$1:$D$14)</f>
        <v>二线</v>
      </c>
      <c r="O556">
        <f>_xlfn.XLOOKUP($D556,城市信息!$B$1:$B$14,城市信息!$E$1:$E$14)</f>
        <v>9713</v>
      </c>
      <c r="P556" cm="1">
        <f t="array" ref="P556:U556">_xlfn.XLOOKUP(A556&amp;B556,'[1]2.4自动化报表-8月获客数据-非乱码'!$A:$A&amp;'[1]2.4自动化报表-8月获客数据-非乱码'!$B:$B,'[1]2.4自动化报表-8月获客数据-非乱码'!$C:$H)</f>
        <v>2133</v>
      </c>
      <c r="Q556">
        <v>2102</v>
      </c>
      <c r="R556">
        <v>2043</v>
      </c>
      <c r="S556">
        <v>1310</v>
      </c>
      <c r="T556">
        <v>719</v>
      </c>
      <c r="U556">
        <v>691</v>
      </c>
    </row>
    <row r="557" spans="1:21" x14ac:dyDescent="0.3">
      <c r="A557" s="1">
        <v>44064</v>
      </c>
      <c r="B557" t="s">
        <v>31</v>
      </c>
      <c r="C557" t="s">
        <v>97</v>
      </c>
      <c r="D557" t="s">
        <v>65</v>
      </c>
      <c r="E557" t="s">
        <v>99</v>
      </c>
      <c r="F557" s="2">
        <v>226272</v>
      </c>
      <c r="G557" s="2">
        <v>12717</v>
      </c>
      <c r="H557">
        <v>0</v>
      </c>
      <c r="I557" t="str">
        <f>_xlfn.XLOOKUP($C557,战区信息!$A$1:$A$5,战区信息!$B$1:$B$5)</f>
        <v>003</v>
      </c>
      <c r="J557" t="str">
        <f>_xlfn.XLOOKUP($C557,战区信息!$A$1:$A$5,战区信息!$C$1:$C$5)</f>
        <v>田楠</v>
      </c>
      <c r="K557" t="str">
        <f>_xlfn.XLOOKUP($C557,战区信息!$A$1:$A$5,战区信息!$D$1:$D$5)</f>
        <v>二级战区</v>
      </c>
      <c r="L557" t="str">
        <f>_xlfn.XLOOKUP($D557,城市信息!$B$1:$B$14,城市信息!$A$1:$A$14)</f>
        <v>010</v>
      </c>
      <c r="M557" t="str">
        <f>_xlfn.XLOOKUP($D557,城市信息!$B$1:$B$14,城市信息!$C$1:$C$14)</f>
        <v>黄鹏天</v>
      </c>
      <c r="N557" t="str">
        <f>_xlfn.XLOOKUP($D557,城市信息!$B$1:$B$14,城市信息!$D$1:$D$14)</f>
        <v>二线</v>
      </c>
      <c r="O557">
        <f>_xlfn.XLOOKUP($D557,城市信息!$B$1:$B$14,城市信息!$E$1:$E$14)</f>
        <v>8295</v>
      </c>
      <c r="P557" cm="1">
        <f t="array" ref="P557:U557">_xlfn.XLOOKUP(A557&amp;B557,'[1]2.4自动化报表-8月获客数据-非乱码'!$A:$A&amp;'[1]2.4自动化报表-8月获客数据-非乱码'!$B:$B,'[1]2.4自动化报表-8月获客数据-非乱码'!$C:$H)</f>
        <v>3717</v>
      </c>
      <c r="Q557">
        <v>3652</v>
      </c>
      <c r="R557">
        <v>3534</v>
      </c>
      <c r="S557">
        <v>2135</v>
      </c>
      <c r="T557">
        <v>1196</v>
      </c>
      <c r="U557">
        <v>691</v>
      </c>
    </row>
    <row r="558" spans="1:21" x14ac:dyDescent="0.3">
      <c r="A558" s="1">
        <v>44064</v>
      </c>
      <c r="B558" t="s">
        <v>30</v>
      </c>
      <c r="C558" t="s">
        <v>97</v>
      </c>
      <c r="D558" t="s">
        <v>61</v>
      </c>
      <c r="E558" t="s">
        <v>100</v>
      </c>
      <c r="F558" s="2">
        <v>111513</v>
      </c>
      <c r="G558" s="2">
        <v>6038</v>
      </c>
      <c r="H558">
        <v>0</v>
      </c>
      <c r="I558" t="str">
        <f>_xlfn.XLOOKUP($C558,战区信息!$A$1:$A$5,战区信息!$B$1:$B$5)</f>
        <v>003</v>
      </c>
      <c r="J558" t="str">
        <f>_xlfn.XLOOKUP($C558,战区信息!$A$1:$A$5,战区信息!$C$1:$C$5)</f>
        <v>田楠</v>
      </c>
      <c r="K558" t="str">
        <f>_xlfn.XLOOKUP($C558,战区信息!$A$1:$A$5,战区信息!$D$1:$D$5)</f>
        <v>二级战区</v>
      </c>
      <c r="L558" t="str">
        <f>_xlfn.XLOOKUP($D558,城市信息!$B$1:$B$14,城市信息!$A$1:$A$14)</f>
        <v>006</v>
      </c>
      <c r="M558" t="str">
        <f>_xlfn.XLOOKUP($D558,城市信息!$B$1:$B$14,城市信息!$C$1:$C$14)</f>
        <v>王刚</v>
      </c>
      <c r="N558" t="str">
        <f>_xlfn.XLOOKUP($D558,城市信息!$B$1:$B$14,城市信息!$D$1:$D$14)</f>
        <v>二线</v>
      </c>
      <c r="O558">
        <f>_xlfn.XLOOKUP($D558,城市信息!$B$1:$B$14,城市信息!$E$1:$E$14)</f>
        <v>9107</v>
      </c>
      <c r="P558" cm="1">
        <f t="array" ref="P558:U558">_xlfn.XLOOKUP(A558&amp;B558,'[1]2.4自动化报表-8月获客数据-非乱码'!$A:$A&amp;'[1]2.4自动化报表-8月获客数据-非乱码'!$B:$B,'[1]2.4自动化报表-8月获客数据-非乱码'!$C:$H)</f>
        <v>2680</v>
      </c>
      <c r="Q558">
        <v>2635</v>
      </c>
      <c r="R558">
        <v>2546</v>
      </c>
      <c r="S558">
        <v>1572</v>
      </c>
      <c r="T558">
        <v>891</v>
      </c>
      <c r="U558">
        <v>699</v>
      </c>
    </row>
    <row r="559" spans="1:21" x14ac:dyDescent="0.3">
      <c r="A559" s="1">
        <v>44064</v>
      </c>
      <c r="B559" t="s">
        <v>29</v>
      </c>
      <c r="C559" t="s">
        <v>97</v>
      </c>
      <c r="D559" t="s">
        <v>64</v>
      </c>
      <c r="E559" t="s">
        <v>101</v>
      </c>
      <c r="F559" s="2">
        <v>136518</v>
      </c>
      <c r="G559" s="2">
        <v>7974</v>
      </c>
      <c r="H559" s="2">
        <v>14302</v>
      </c>
      <c r="I559" t="str">
        <f>_xlfn.XLOOKUP($C559,战区信息!$A$1:$A$5,战区信息!$B$1:$B$5)</f>
        <v>003</v>
      </c>
      <c r="J559" t="str">
        <f>_xlfn.XLOOKUP($C559,战区信息!$A$1:$A$5,战区信息!$C$1:$C$5)</f>
        <v>田楠</v>
      </c>
      <c r="K559" t="str">
        <f>_xlfn.XLOOKUP($C559,战区信息!$A$1:$A$5,战区信息!$D$1:$D$5)</f>
        <v>二级战区</v>
      </c>
      <c r="L559" t="str">
        <f>_xlfn.XLOOKUP($D559,城市信息!$B$1:$B$14,城市信息!$A$1:$A$14)</f>
        <v>009</v>
      </c>
      <c r="M559" t="str">
        <f>_xlfn.XLOOKUP($D559,城市信息!$B$1:$B$14,城市信息!$C$1:$C$14)</f>
        <v>叶超</v>
      </c>
      <c r="N559" t="str">
        <f>_xlfn.XLOOKUP($D559,城市信息!$B$1:$B$14,城市信息!$D$1:$D$14)</f>
        <v>二线</v>
      </c>
      <c r="O559">
        <f>_xlfn.XLOOKUP($D559,城市信息!$B$1:$B$14,城市信息!$E$1:$E$14)</f>
        <v>9016</v>
      </c>
      <c r="P559" cm="1">
        <f t="array" ref="P559:U559">_xlfn.XLOOKUP(A559&amp;B559,'[1]2.4自动化报表-8月获客数据-非乱码'!$A:$A&amp;'[1]2.4自动化报表-8月获客数据-非乱码'!$B:$B,'[1]2.4自动化报表-8月获客数据-非乱码'!$C:$H)</f>
        <v>2510</v>
      </c>
      <c r="Q559">
        <v>2447</v>
      </c>
      <c r="R559">
        <v>2363</v>
      </c>
      <c r="S559">
        <v>1514</v>
      </c>
      <c r="T559">
        <v>841</v>
      </c>
      <c r="U559">
        <v>692</v>
      </c>
    </row>
    <row r="560" spans="1:21" x14ac:dyDescent="0.3">
      <c r="A560" s="1">
        <v>44064</v>
      </c>
      <c r="B560" t="s">
        <v>28</v>
      </c>
      <c r="C560" t="s">
        <v>97</v>
      </c>
      <c r="D560" t="s">
        <v>64</v>
      </c>
      <c r="E560" t="s">
        <v>102</v>
      </c>
      <c r="F560">
        <v>9</v>
      </c>
      <c r="G560">
        <v>0</v>
      </c>
      <c r="H560">
        <v>0</v>
      </c>
      <c r="I560" t="str">
        <f>_xlfn.XLOOKUP($C560,战区信息!$A$1:$A$5,战区信息!$B$1:$B$5)</f>
        <v>003</v>
      </c>
      <c r="J560" t="str">
        <f>_xlfn.XLOOKUP($C560,战区信息!$A$1:$A$5,战区信息!$C$1:$C$5)</f>
        <v>田楠</v>
      </c>
      <c r="K560" t="str">
        <f>_xlfn.XLOOKUP($C560,战区信息!$A$1:$A$5,战区信息!$D$1:$D$5)</f>
        <v>二级战区</v>
      </c>
      <c r="L560" t="str">
        <f>_xlfn.XLOOKUP($D560,城市信息!$B$1:$B$14,城市信息!$A$1:$A$14)</f>
        <v>009</v>
      </c>
      <c r="M560" t="str">
        <f>_xlfn.XLOOKUP($D560,城市信息!$B$1:$B$14,城市信息!$C$1:$C$14)</f>
        <v>叶超</v>
      </c>
      <c r="N560" t="str">
        <f>_xlfn.XLOOKUP($D560,城市信息!$B$1:$B$14,城市信息!$D$1:$D$14)</f>
        <v>二线</v>
      </c>
      <c r="O560">
        <f>_xlfn.XLOOKUP($D560,城市信息!$B$1:$B$14,城市信息!$E$1:$E$14)</f>
        <v>9016</v>
      </c>
      <c r="P560" cm="1">
        <f t="array" ref="P560:U560">_xlfn.XLOOKUP(A560&amp;B560,'[1]2.4自动化报表-8月获客数据-非乱码'!$A:$A&amp;'[1]2.4自动化报表-8月获客数据-非乱码'!$B:$B,'[1]2.4自动化报表-8月获客数据-非乱码'!$C:$H)</f>
        <v>672</v>
      </c>
      <c r="Q560">
        <v>662</v>
      </c>
      <c r="R560">
        <v>643</v>
      </c>
      <c r="S560">
        <v>443</v>
      </c>
      <c r="T560">
        <v>209</v>
      </c>
      <c r="U560">
        <v>692</v>
      </c>
    </row>
    <row r="561" spans="1:21" x14ac:dyDescent="0.3">
      <c r="A561" s="1">
        <v>44064</v>
      </c>
      <c r="B561" t="s">
        <v>27</v>
      </c>
      <c r="C561" t="s">
        <v>103</v>
      </c>
      <c r="D561" t="s">
        <v>63</v>
      </c>
      <c r="E561" t="s">
        <v>104</v>
      </c>
      <c r="F561" s="2">
        <v>175617</v>
      </c>
      <c r="G561" s="2">
        <v>9495</v>
      </c>
      <c r="H561">
        <v>0</v>
      </c>
      <c r="I561" t="str">
        <f>_xlfn.XLOOKUP($C561,战区信息!$A$1:$A$5,战区信息!$B$1:$B$5)</f>
        <v>002</v>
      </c>
      <c r="J561" t="str">
        <f>_xlfn.XLOOKUP($C561,战区信息!$A$1:$A$5,战区信息!$C$1:$C$5)</f>
        <v>高安平</v>
      </c>
      <c r="K561" t="str">
        <f>_xlfn.XLOOKUP($C561,战区信息!$A$1:$A$5,战区信息!$D$1:$D$5)</f>
        <v>二级战区</v>
      </c>
      <c r="L561" t="str">
        <f>_xlfn.XLOOKUP($D561,城市信息!$B$1:$B$14,城市信息!$A$1:$A$14)</f>
        <v>008</v>
      </c>
      <c r="M561" t="str">
        <f>_xlfn.XLOOKUP($D561,城市信息!$B$1:$B$14,城市信息!$C$1:$C$14)</f>
        <v>高弘壮</v>
      </c>
      <c r="N561" t="str">
        <f>_xlfn.XLOOKUP($D561,城市信息!$B$1:$B$14,城市信息!$D$1:$D$14)</f>
        <v>一线</v>
      </c>
      <c r="O561">
        <f>_xlfn.XLOOKUP($D561,城市信息!$B$1:$B$14,城市信息!$E$1:$E$14)</f>
        <v>11498</v>
      </c>
      <c r="P561" cm="1">
        <f t="array" ref="P561:U561">_xlfn.XLOOKUP(A561&amp;B561,'[1]2.4自动化报表-8月获客数据-非乱码'!$A:$A&amp;'[1]2.4自动化报表-8月获客数据-非乱码'!$B:$B,'[1]2.4自动化报表-8月获客数据-非乱码'!$C:$H)</f>
        <v>3823</v>
      </c>
      <c r="Q561">
        <v>3708</v>
      </c>
      <c r="R561">
        <v>3535</v>
      </c>
      <c r="S561">
        <v>2103</v>
      </c>
      <c r="T561">
        <v>1122</v>
      </c>
      <c r="U561">
        <v>689</v>
      </c>
    </row>
    <row r="562" spans="1:21" x14ac:dyDescent="0.3">
      <c r="A562" s="1">
        <v>44064</v>
      </c>
      <c r="B562" t="s">
        <v>26</v>
      </c>
      <c r="C562" t="s">
        <v>103</v>
      </c>
      <c r="D562" t="s">
        <v>57</v>
      </c>
      <c r="E562" t="s">
        <v>105</v>
      </c>
      <c r="F562" s="2">
        <v>329350</v>
      </c>
      <c r="G562" s="2">
        <v>20177</v>
      </c>
      <c r="H562" s="2">
        <v>4889</v>
      </c>
      <c r="I562" t="str">
        <f>_xlfn.XLOOKUP($C562,战区信息!$A$1:$A$5,战区信息!$B$1:$B$5)</f>
        <v>002</v>
      </c>
      <c r="J562" t="str">
        <f>_xlfn.XLOOKUP($C562,战区信息!$A$1:$A$5,战区信息!$C$1:$C$5)</f>
        <v>高安平</v>
      </c>
      <c r="K562" t="str">
        <f>_xlfn.XLOOKUP($C562,战区信息!$A$1:$A$5,战区信息!$D$1:$D$5)</f>
        <v>二级战区</v>
      </c>
      <c r="L562" t="str">
        <f>_xlfn.XLOOKUP($D562,城市信息!$B$1:$B$14,城市信息!$A$1:$A$14)</f>
        <v>002</v>
      </c>
      <c r="M562" t="str">
        <f>_xlfn.XLOOKUP($D562,城市信息!$B$1:$B$14,城市信息!$C$1:$C$14)</f>
        <v>孙乒</v>
      </c>
      <c r="N562" t="str">
        <f>_xlfn.XLOOKUP($D562,城市信息!$B$1:$B$14,城市信息!$D$1:$D$14)</f>
        <v>一线</v>
      </c>
      <c r="O562">
        <f>_xlfn.XLOOKUP($D562,城市信息!$B$1:$B$14,城市信息!$E$1:$E$14)</f>
        <v>9854</v>
      </c>
      <c r="P562" cm="1">
        <f t="array" ref="P562:U562">_xlfn.XLOOKUP(A562&amp;B562,'[1]2.4自动化报表-8月获客数据-非乱码'!$A:$A&amp;'[1]2.4自动化报表-8月获客数据-非乱码'!$B:$B,'[1]2.4自动化报表-8月获客数据-非乱码'!$C:$H)</f>
        <v>7503</v>
      </c>
      <c r="Q562">
        <v>7322</v>
      </c>
      <c r="R562">
        <v>7026</v>
      </c>
      <c r="S562">
        <v>4356</v>
      </c>
      <c r="T562">
        <v>2396</v>
      </c>
      <c r="U562">
        <v>688</v>
      </c>
    </row>
    <row r="563" spans="1:21" x14ac:dyDescent="0.3">
      <c r="A563" s="1">
        <v>44064</v>
      </c>
      <c r="B563" t="s">
        <v>25</v>
      </c>
      <c r="C563" t="s">
        <v>103</v>
      </c>
      <c r="D563" t="s">
        <v>57</v>
      </c>
      <c r="E563" t="s">
        <v>106</v>
      </c>
      <c r="F563" s="2">
        <v>209722</v>
      </c>
      <c r="G563" s="2">
        <v>11277</v>
      </c>
      <c r="H563" s="2">
        <v>39285</v>
      </c>
      <c r="I563" t="str">
        <f>_xlfn.XLOOKUP($C563,战区信息!$A$1:$A$5,战区信息!$B$1:$B$5)</f>
        <v>002</v>
      </c>
      <c r="J563" t="str">
        <f>_xlfn.XLOOKUP($C563,战区信息!$A$1:$A$5,战区信息!$C$1:$C$5)</f>
        <v>高安平</v>
      </c>
      <c r="K563" t="str">
        <f>_xlfn.XLOOKUP($C563,战区信息!$A$1:$A$5,战区信息!$D$1:$D$5)</f>
        <v>二级战区</v>
      </c>
      <c r="L563" t="str">
        <f>_xlfn.XLOOKUP($D563,城市信息!$B$1:$B$14,城市信息!$A$1:$A$14)</f>
        <v>002</v>
      </c>
      <c r="M563" t="str">
        <f>_xlfn.XLOOKUP($D563,城市信息!$B$1:$B$14,城市信息!$C$1:$C$14)</f>
        <v>孙乒</v>
      </c>
      <c r="N563" t="str">
        <f>_xlfn.XLOOKUP($D563,城市信息!$B$1:$B$14,城市信息!$D$1:$D$14)</f>
        <v>一线</v>
      </c>
      <c r="O563">
        <f>_xlfn.XLOOKUP($D563,城市信息!$B$1:$B$14,城市信息!$E$1:$E$14)</f>
        <v>9854</v>
      </c>
      <c r="P563" cm="1">
        <f t="array" ref="P563:U563">_xlfn.XLOOKUP(A563&amp;B563,'[1]2.4自动化报表-8月获客数据-非乱码'!$A:$A&amp;'[1]2.4自动化报表-8月获客数据-非乱码'!$B:$B,'[1]2.4自动化报表-8月获客数据-非乱码'!$C:$H)</f>
        <v>3263</v>
      </c>
      <c r="Q563">
        <v>3171</v>
      </c>
      <c r="R563">
        <v>3006</v>
      </c>
      <c r="S563">
        <v>1816</v>
      </c>
      <c r="T563">
        <v>1028</v>
      </c>
      <c r="U563">
        <v>690</v>
      </c>
    </row>
    <row r="564" spans="1:21" x14ac:dyDescent="0.3">
      <c r="A564" s="1">
        <v>44064</v>
      </c>
      <c r="B564" t="s">
        <v>24</v>
      </c>
      <c r="C564" t="s">
        <v>103</v>
      </c>
      <c r="D564" t="s">
        <v>57</v>
      </c>
      <c r="E564" t="s">
        <v>107</v>
      </c>
      <c r="F564" s="2">
        <v>140671</v>
      </c>
      <c r="G564" s="2">
        <v>7586</v>
      </c>
      <c r="H564">
        <v>0</v>
      </c>
      <c r="I564" t="str">
        <f>_xlfn.XLOOKUP($C564,战区信息!$A$1:$A$5,战区信息!$B$1:$B$5)</f>
        <v>002</v>
      </c>
      <c r="J564" t="str">
        <f>_xlfn.XLOOKUP($C564,战区信息!$A$1:$A$5,战区信息!$C$1:$C$5)</f>
        <v>高安平</v>
      </c>
      <c r="K564" t="str">
        <f>_xlfn.XLOOKUP($C564,战区信息!$A$1:$A$5,战区信息!$D$1:$D$5)</f>
        <v>二级战区</v>
      </c>
      <c r="L564" t="str">
        <f>_xlfn.XLOOKUP($D564,城市信息!$B$1:$B$14,城市信息!$A$1:$A$14)</f>
        <v>002</v>
      </c>
      <c r="M564" t="str">
        <f>_xlfn.XLOOKUP($D564,城市信息!$B$1:$B$14,城市信息!$C$1:$C$14)</f>
        <v>孙乒</v>
      </c>
      <c r="N564" t="str">
        <f>_xlfn.XLOOKUP($D564,城市信息!$B$1:$B$14,城市信息!$D$1:$D$14)</f>
        <v>一线</v>
      </c>
      <c r="O564">
        <f>_xlfn.XLOOKUP($D564,城市信息!$B$1:$B$14,城市信息!$E$1:$E$14)</f>
        <v>9854</v>
      </c>
      <c r="P564" cm="1">
        <f t="array" ref="P564:U564">_xlfn.XLOOKUP(A564&amp;B564,'[1]2.4自动化报表-8月获客数据-非乱码'!$A:$A&amp;'[1]2.4自动化报表-8月获客数据-非乱码'!$B:$B,'[1]2.4自动化报表-8月获客数据-非乱码'!$C:$H)</f>
        <v>4484</v>
      </c>
      <c r="Q564">
        <v>4394</v>
      </c>
      <c r="R564">
        <v>4200</v>
      </c>
      <c r="S564">
        <v>2583</v>
      </c>
      <c r="T564">
        <v>1493</v>
      </c>
      <c r="U564">
        <v>691</v>
      </c>
    </row>
    <row r="565" spans="1:21" x14ac:dyDescent="0.3">
      <c r="A565" s="1">
        <v>44064</v>
      </c>
      <c r="B565" t="s">
        <v>23</v>
      </c>
      <c r="C565" t="s">
        <v>108</v>
      </c>
      <c r="D565" t="s">
        <v>109</v>
      </c>
      <c r="E565" t="s">
        <v>110</v>
      </c>
      <c r="F565" s="2">
        <v>237133</v>
      </c>
      <c r="G565" s="2">
        <v>14973</v>
      </c>
      <c r="H565" s="2">
        <v>4899</v>
      </c>
      <c r="I565" t="str">
        <f>_xlfn.XLOOKUP($C565,战区信息!$A$1:$A$5,战区信息!$B$1:$B$5)</f>
        <v>001</v>
      </c>
      <c r="J565" t="str">
        <f>_xlfn.XLOOKUP($C565,战区信息!$A$1:$A$5,战区信息!$C$1:$C$5)</f>
        <v>江永</v>
      </c>
      <c r="K565" t="str">
        <f>_xlfn.XLOOKUP($C565,战区信息!$A$1:$A$5,战区信息!$D$1:$D$5)</f>
        <v>一级战区</v>
      </c>
      <c r="L565" t="str">
        <f>_xlfn.XLOOKUP($D565,城市信息!$B$1:$B$14,城市信息!$A$1:$A$14)</f>
        <v>013</v>
      </c>
      <c r="M565" t="str">
        <f>_xlfn.XLOOKUP($D565,城市信息!$B$1:$B$14,城市信息!$C$1:$C$14)</f>
        <v>张建</v>
      </c>
      <c r="N565" t="str">
        <f>_xlfn.XLOOKUP($D565,城市信息!$B$1:$B$14,城市信息!$D$1:$D$14)</f>
        <v>二线</v>
      </c>
      <c r="O565">
        <f>_xlfn.XLOOKUP($D565,城市信息!$B$1:$B$14,城市信息!$E$1:$E$14)</f>
        <v>8800</v>
      </c>
      <c r="P565" cm="1">
        <f t="array" ref="P565:U565">_xlfn.XLOOKUP(A565&amp;B565,'[1]2.4自动化报表-8月获客数据-非乱码'!$A:$A&amp;'[1]2.4自动化报表-8月获客数据-非乱码'!$B:$B,'[1]2.4自动化报表-8月获客数据-非乱码'!$C:$H)</f>
        <v>7187</v>
      </c>
      <c r="Q565">
        <v>6928</v>
      </c>
      <c r="R565">
        <v>6595</v>
      </c>
      <c r="S565">
        <v>3995</v>
      </c>
      <c r="T565">
        <v>2060</v>
      </c>
      <c r="U565">
        <v>695</v>
      </c>
    </row>
    <row r="566" spans="1:21" x14ac:dyDescent="0.3">
      <c r="A566" s="1">
        <v>44064</v>
      </c>
      <c r="B566" t="s">
        <v>22</v>
      </c>
      <c r="C566" t="s">
        <v>108</v>
      </c>
      <c r="D566" t="s">
        <v>109</v>
      </c>
      <c r="E566" t="s">
        <v>111</v>
      </c>
      <c r="F566" s="2">
        <v>15192</v>
      </c>
      <c r="G566">
        <v>868</v>
      </c>
      <c r="H566">
        <v>0</v>
      </c>
      <c r="I566" t="str">
        <f>_xlfn.XLOOKUP($C566,战区信息!$A$1:$A$5,战区信息!$B$1:$B$5)</f>
        <v>001</v>
      </c>
      <c r="J566" t="str">
        <f>_xlfn.XLOOKUP($C566,战区信息!$A$1:$A$5,战区信息!$C$1:$C$5)</f>
        <v>江永</v>
      </c>
      <c r="K566" t="str">
        <f>_xlfn.XLOOKUP($C566,战区信息!$A$1:$A$5,战区信息!$D$1:$D$5)</f>
        <v>一级战区</v>
      </c>
      <c r="L566" t="str">
        <f>_xlfn.XLOOKUP($D566,城市信息!$B$1:$B$14,城市信息!$A$1:$A$14)</f>
        <v>013</v>
      </c>
      <c r="M566" t="str">
        <f>_xlfn.XLOOKUP($D566,城市信息!$B$1:$B$14,城市信息!$C$1:$C$14)</f>
        <v>张建</v>
      </c>
      <c r="N566" t="str">
        <f>_xlfn.XLOOKUP($D566,城市信息!$B$1:$B$14,城市信息!$D$1:$D$14)</f>
        <v>二线</v>
      </c>
      <c r="O566">
        <f>_xlfn.XLOOKUP($D566,城市信息!$B$1:$B$14,城市信息!$E$1:$E$14)</f>
        <v>8800</v>
      </c>
      <c r="P566" cm="1">
        <f t="array" ref="P566:U566">_xlfn.XLOOKUP(A566&amp;B566,'[1]2.4自动化报表-8月获客数据-非乱码'!$A:$A&amp;'[1]2.4自动化报表-8月获客数据-非乱码'!$B:$B,'[1]2.4自动化报表-8月获客数据-非乱码'!$C:$H)</f>
        <v>188</v>
      </c>
      <c r="Q566">
        <v>184</v>
      </c>
      <c r="R566">
        <v>163</v>
      </c>
      <c r="S566">
        <v>77</v>
      </c>
      <c r="T566">
        <v>42</v>
      </c>
      <c r="U566">
        <v>692</v>
      </c>
    </row>
    <row r="567" spans="1:21" x14ac:dyDescent="0.3">
      <c r="A567" s="1">
        <v>44064</v>
      </c>
      <c r="B567" t="s">
        <v>21</v>
      </c>
      <c r="C567" t="s">
        <v>108</v>
      </c>
      <c r="D567" t="s">
        <v>109</v>
      </c>
      <c r="E567" t="s">
        <v>112</v>
      </c>
      <c r="F567" s="2">
        <v>247871</v>
      </c>
      <c r="G567" s="2">
        <v>15942</v>
      </c>
      <c r="H567">
        <v>0</v>
      </c>
      <c r="I567" t="str">
        <f>_xlfn.XLOOKUP($C567,战区信息!$A$1:$A$5,战区信息!$B$1:$B$5)</f>
        <v>001</v>
      </c>
      <c r="J567" t="str">
        <f>_xlfn.XLOOKUP($C567,战区信息!$A$1:$A$5,战区信息!$C$1:$C$5)</f>
        <v>江永</v>
      </c>
      <c r="K567" t="str">
        <f>_xlfn.XLOOKUP($C567,战区信息!$A$1:$A$5,战区信息!$D$1:$D$5)</f>
        <v>一级战区</v>
      </c>
      <c r="L567" t="str">
        <f>_xlfn.XLOOKUP($D567,城市信息!$B$1:$B$14,城市信息!$A$1:$A$14)</f>
        <v>013</v>
      </c>
      <c r="M567" t="str">
        <f>_xlfn.XLOOKUP($D567,城市信息!$B$1:$B$14,城市信息!$C$1:$C$14)</f>
        <v>张建</v>
      </c>
      <c r="N567" t="str">
        <f>_xlfn.XLOOKUP($D567,城市信息!$B$1:$B$14,城市信息!$D$1:$D$14)</f>
        <v>二线</v>
      </c>
      <c r="O567">
        <f>_xlfn.XLOOKUP($D567,城市信息!$B$1:$B$14,城市信息!$E$1:$E$14)</f>
        <v>8800</v>
      </c>
      <c r="P567" cm="1">
        <f t="array" ref="P567:U567">_xlfn.XLOOKUP(A567&amp;B567,'[1]2.4自动化报表-8月获客数据-非乱码'!$A:$A&amp;'[1]2.4自动化报表-8月获客数据-非乱码'!$B:$B,'[1]2.4自动化报表-8月获客数据-非乱码'!$C:$H)</f>
        <v>4903</v>
      </c>
      <c r="Q567">
        <v>4725</v>
      </c>
      <c r="R567">
        <v>4504</v>
      </c>
      <c r="S567">
        <v>2588</v>
      </c>
      <c r="T567">
        <v>1480</v>
      </c>
      <c r="U567">
        <v>695</v>
      </c>
    </row>
    <row r="568" spans="1:21" x14ac:dyDescent="0.3">
      <c r="A568" s="1">
        <v>44064</v>
      </c>
      <c r="B568" t="s">
        <v>20</v>
      </c>
      <c r="C568" t="s">
        <v>108</v>
      </c>
      <c r="D568" t="s">
        <v>56</v>
      </c>
      <c r="E568" t="s">
        <v>113</v>
      </c>
      <c r="F568" s="2">
        <v>217474</v>
      </c>
      <c r="G568" s="2">
        <v>10577</v>
      </c>
      <c r="H568">
        <v>768</v>
      </c>
      <c r="I568" t="str">
        <f>_xlfn.XLOOKUP($C568,战区信息!$A$1:$A$5,战区信息!$B$1:$B$5)</f>
        <v>001</v>
      </c>
      <c r="J568" t="str">
        <f>_xlfn.XLOOKUP($C568,战区信息!$A$1:$A$5,战区信息!$C$1:$C$5)</f>
        <v>江永</v>
      </c>
      <c r="K568" t="str">
        <f>_xlfn.XLOOKUP($C568,战区信息!$A$1:$A$5,战区信息!$D$1:$D$5)</f>
        <v>一级战区</v>
      </c>
      <c r="L568" t="str">
        <f>_xlfn.XLOOKUP($D568,城市信息!$B$1:$B$14,城市信息!$A$1:$A$14)</f>
        <v>001</v>
      </c>
      <c r="M568" t="str">
        <f>_xlfn.XLOOKUP($D568,城市信息!$B$1:$B$14,城市信息!$C$1:$C$14)</f>
        <v>吴刚</v>
      </c>
      <c r="N568" t="str">
        <f>_xlfn.XLOOKUP($D568,城市信息!$B$1:$B$14,城市信息!$D$1:$D$14)</f>
        <v>一线</v>
      </c>
      <c r="O568">
        <f>_xlfn.XLOOKUP($D568,城市信息!$B$1:$B$14,城市信息!$E$1:$E$14)</f>
        <v>12114</v>
      </c>
      <c r="P568" cm="1">
        <f t="array" ref="P568:U568">_xlfn.XLOOKUP(A568&amp;B568,'[1]2.4自动化报表-8月获客数据-非乱码'!$A:$A&amp;'[1]2.4自动化报表-8月获客数据-非乱码'!$B:$B,'[1]2.4自动化报表-8月获客数据-非乱码'!$C:$H)</f>
        <v>5414</v>
      </c>
      <c r="Q568">
        <v>5247</v>
      </c>
      <c r="R568">
        <v>5042</v>
      </c>
      <c r="S568">
        <v>3050</v>
      </c>
      <c r="T568">
        <v>1729</v>
      </c>
      <c r="U568">
        <v>695</v>
      </c>
    </row>
    <row r="569" spans="1:21" x14ac:dyDescent="0.3">
      <c r="A569" s="1">
        <v>44064</v>
      </c>
      <c r="B569" t="s">
        <v>19</v>
      </c>
      <c r="C569" t="s">
        <v>108</v>
      </c>
      <c r="D569" t="s">
        <v>56</v>
      </c>
      <c r="E569" t="s">
        <v>114</v>
      </c>
      <c r="F569" s="2">
        <v>159966</v>
      </c>
      <c r="G569" s="2">
        <v>7297</v>
      </c>
      <c r="H569">
        <v>0</v>
      </c>
      <c r="I569" t="str">
        <f>_xlfn.XLOOKUP($C569,战区信息!$A$1:$A$5,战区信息!$B$1:$B$5)</f>
        <v>001</v>
      </c>
      <c r="J569" t="str">
        <f>_xlfn.XLOOKUP($C569,战区信息!$A$1:$A$5,战区信息!$C$1:$C$5)</f>
        <v>江永</v>
      </c>
      <c r="K569" t="str">
        <f>_xlfn.XLOOKUP($C569,战区信息!$A$1:$A$5,战区信息!$D$1:$D$5)</f>
        <v>一级战区</v>
      </c>
      <c r="L569" t="str">
        <f>_xlfn.XLOOKUP($D569,城市信息!$B$1:$B$14,城市信息!$A$1:$A$14)</f>
        <v>001</v>
      </c>
      <c r="M569" t="str">
        <f>_xlfn.XLOOKUP($D569,城市信息!$B$1:$B$14,城市信息!$C$1:$C$14)</f>
        <v>吴刚</v>
      </c>
      <c r="N569" t="str">
        <f>_xlfn.XLOOKUP($D569,城市信息!$B$1:$B$14,城市信息!$D$1:$D$14)</f>
        <v>一线</v>
      </c>
      <c r="O569">
        <f>_xlfn.XLOOKUP($D569,城市信息!$B$1:$B$14,城市信息!$E$1:$E$14)</f>
        <v>12114</v>
      </c>
      <c r="P569" cm="1">
        <f t="array" ref="P569:U569">_xlfn.XLOOKUP(A569&amp;B569,'[1]2.4自动化报表-8月获客数据-非乱码'!$A:$A&amp;'[1]2.4自动化报表-8月获客数据-非乱码'!$B:$B,'[1]2.4自动化报表-8月获客数据-非乱码'!$C:$H)</f>
        <v>3281</v>
      </c>
      <c r="Q569">
        <v>3198</v>
      </c>
      <c r="R569">
        <v>3076</v>
      </c>
      <c r="S569">
        <v>1800</v>
      </c>
      <c r="T569">
        <v>1083</v>
      </c>
      <c r="U569">
        <v>696</v>
      </c>
    </row>
    <row r="570" spans="1:21" x14ac:dyDescent="0.3">
      <c r="A570" s="1">
        <v>44064</v>
      </c>
      <c r="B570" t="s">
        <v>18</v>
      </c>
      <c r="C570" t="s">
        <v>108</v>
      </c>
      <c r="D570" t="s">
        <v>56</v>
      </c>
      <c r="E570" t="s">
        <v>115</v>
      </c>
      <c r="F570" s="2">
        <v>200571</v>
      </c>
      <c r="G570" s="2">
        <v>9442</v>
      </c>
      <c r="H570">
        <v>0</v>
      </c>
      <c r="I570" t="str">
        <f>_xlfn.XLOOKUP($C570,战区信息!$A$1:$A$5,战区信息!$B$1:$B$5)</f>
        <v>001</v>
      </c>
      <c r="J570" t="str">
        <f>_xlfn.XLOOKUP($C570,战区信息!$A$1:$A$5,战区信息!$C$1:$C$5)</f>
        <v>江永</v>
      </c>
      <c r="K570" t="str">
        <f>_xlfn.XLOOKUP($C570,战区信息!$A$1:$A$5,战区信息!$D$1:$D$5)</f>
        <v>一级战区</v>
      </c>
      <c r="L570" t="str">
        <f>_xlfn.XLOOKUP($D570,城市信息!$B$1:$B$14,城市信息!$A$1:$A$14)</f>
        <v>001</v>
      </c>
      <c r="M570" t="str">
        <f>_xlfn.XLOOKUP($D570,城市信息!$B$1:$B$14,城市信息!$C$1:$C$14)</f>
        <v>吴刚</v>
      </c>
      <c r="N570" t="str">
        <f>_xlfn.XLOOKUP($D570,城市信息!$B$1:$B$14,城市信息!$D$1:$D$14)</f>
        <v>一线</v>
      </c>
      <c r="O570">
        <f>_xlfn.XLOOKUP($D570,城市信息!$B$1:$B$14,城市信息!$E$1:$E$14)</f>
        <v>12114</v>
      </c>
      <c r="P570" cm="1">
        <f t="array" ref="P570:U570">_xlfn.XLOOKUP(A570&amp;B570,'[1]2.4自动化报表-8月获客数据-非乱码'!$A:$A&amp;'[1]2.4自动化报表-8月获客数据-非乱码'!$B:$B,'[1]2.4自动化报表-8月获客数据-非乱码'!$C:$H)</f>
        <v>2890</v>
      </c>
      <c r="Q570">
        <v>2844</v>
      </c>
      <c r="R570">
        <v>2721</v>
      </c>
      <c r="S570">
        <v>1622</v>
      </c>
      <c r="T570">
        <v>873</v>
      </c>
      <c r="U570">
        <v>690</v>
      </c>
    </row>
    <row r="571" spans="1:21" x14ac:dyDescent="0.3">
      <c r="A571" s="1">
        <v>44064</v>
      </c>
      <c r="B571" t="s">
        <v>17</v>
      </c>
      <c r="C571" t="s">
        <v>108</v>
      </c>
      <c r="D571" t="s">
        <v>59</v>
      </c>
      <c r="E571" t="s">
        <v>116</v>
      </c>
      <c r="F571" s="2">
        <v>199143</v>
      </c>
      <c r="G571" s="2">
        <v>10253</v>
      </c>
      <c r="H571">
        <v>0</v>
      </c>
      <c r="I571" t="str">
        <f>_xlfn.XLOOKUP($C571,战区信息!$A$1:$A$5,战区信息!$B$1:$B$5)</f>
        <v>001</v>
      </c>
      <c r="J571" t="str">
        <f>_xlfn.XLOOKUP($C571,战区信息!$A$1:$A$5,战区信息!$C$1:$C$5)</f>
        <v>江永</v>
      </c>
      <c r="K571" t="str">
        <f>_xlfn.XLOOKUP($C571,战区信息!$A$1:$A$5,战区信息!$D$1:$D$5)</f>
        <v>一级战区</v>
      </c>
      <c r="L571" t="str">
        <f>_xlfn.XLOOKUP($D571,城市信息!$B$1:$B$14,城市信息!$A$1:$A$14)</f>
        <v>004</v>
      </c>
      <c r="M571" t="str">
        <f>_xlfn.XLOOKUP($D571,城市信息!$B$1:$B$14,城市信息!$C$1:$C$14)</f>
        <v>苏川</v>
      </c>
      <c r="N571" t="str">
        <f>_xlfn.XLOOKUP($D571,城市信息!$B$1:$B$14,城市信息!$D$1:$D$14)</f>
        <v>二线</v>
      </c>
      <c r="O571">
        <f>_xlfn.XLOOKUP($D571,城市信息!$B$1:$B$14,城市信息!$E$1:$E$14)</f>
        <v>9912</v>
      </c>
      <c r="P571" cm="1">
        <f t="array" ref="P571:U571">_xlfn.XLOOKUP(A571&amp;B571,'[1]2.4自动化报表-8月获客数据-非乱码'!$A:$A&amp;'[1]2.4自动化报表-8月获客数据-非乱码'!$B:$B,'[1]2.4自动化报表-8月获客数据-非乱码'!$C:$H)</f>
        <v>3667</v>
      </c>
      <c r="Q571">
        <v>3586</v>
      </c>
      <c r="R571">
        <v>3458</v>
      </c>
      <c r="S571">
        <v>2010</v>
      </c>
      <c r="T571">
        <v>1112</v>
      </c>
      <c r="U571">
        <v>697</v>
      </c>
    </row>
    <row r="572" spans="1:21" x14ac:dyDescent="0.3">
      <c r="A572" s="1">
        <v>44064</v>
      </c>
      <c r="B572" t="s">
        <v>16</v>
      </c>
      <c r="C572" t="s">
        <v>108</v>
      </c>
      <c r="D572" t="s">
        <v>59</v>
      </c>
      <c r="E572" t="s">
        <v>117</v>
      </c>
      <c r="F572" s="2">
        <v>73661</v>
      </c>
      <c r="G572" s="2">
        <v>3377</v>
      </c>
      <c r="H572" s="2">
        <v>18867</v>
      </c>
      <c r="I572" t="str">
        <f>_xlfn.XLOOKUP($C572,战区信息!$A$1:$A$5,战区信息!$B$1:$B$5)</f>
        <v>001</v>
      </c>
      <c r="J572" t="str">
        <f>_xlfn.XLOOKUP($C572,战区信息!$A$1:$A$5,战区信息!$C$1:$C$5)</f>
        <v>江永</v>
      </c>
      <c r="K572" t="str">
        <f>_xlfn.XLOOKUP($C572,战区信息!$A$1:$A$5,战区信息!$D$1:$D$5)</f>
        <v>一级战区</v>
      </c>
      <c r="L572" t="str">
        <f>_xlfn.XLOOKUP($D572,城市信息!$B$1:$B$14,城市信息!$A$1:$A$14)</f>
        <v>004</v>
      </c>
      <c r="M572" t="str">
        <f>_xlfn.XLOOKUP($D572,城市信息!$B$1:$B$14,城市信息!$C$1:$C$14)</f>
        <v>苏川</v>
      </c>
      <c r="N572" t="str">
        <f>_xlfn.XLOOKUP($D572,城市信息!$B$1:$B$14,城市信息!$D$1:$D$14)</f>
        <v>二线</v>
      </c>
      <c r="O572">
        <f>_xlfn.XLOOKUP($D572,城市信息!$B$1:$B$14,城市信息!$E$1:$E$14)</f>
        <v>9912</v>
      </c>
      <c r="P572" cm="1">
        <f t="array" ref="P572:U572">_xlfn.XLOOKUP(A572&amp;B572,'[1]2.4自动化报表-8月获客数据-非乱码'!$A:$A&amp;'[1]2.4自动化报表-8月获客数据-非乱码'!$B:$B,'[1]2.4自动化报表-8月获客数据-非乱码'!$C:$H)</f>
        <v>1907</v>
      </c>
      <c r="Q572">
        <v>1854</v>
      </c>
      <c r="R572">
        <v>1776</v>
      </c>
      <c r="S572">
        <v>1048</v>
      </c>
      <c r="T572">
        <v>592</v>
      </c>
      <c r="U572">
        <v>696</v>
      </c>
    </row>
    <row r="573" spans="1:21" x14ac:dyDescent="0.3">
      <c r="A573" s="1">
        <v>44064</v>
      </c>
      <c r="B573" t="s">
        <v>15</v>
      </c>
      <c r="C573" t="s">
        <v>108</v>
      </c>
      <c r="D573" t="s">
        <v>59</v>
      </c>
      <c r="E573" t="s">
        <v>118</v>
      </c>
      <c r="F573" s="2">
        <v>107106</v>
      </c>
      <c r="G573" s="2">
        <v>4991</v>
      </c>
      <c r="H573">
        <v>0</v>
      </c>
      <c r="I573" t="str">
        <f>_xlfn.XLOOKUP($C573,战区信息!$A$1:$A$5,战区信息!$B$1:$B$5)</f>
        <v>001</v>
      </c>
      <c r="J573" t="str">
        <f>_xlfn.XLOOKUP($C573,战区信息!$A$1:$A$5,战区信息!$C$1:$C$5)</f>
        <v>江永</v>
      </c>
      <c r="K573" t="str">
        <f>_xlfn.XLOOKUP($C573,战区信息!$A$1:$A$5,战区信息!$D$1:$D$5)</f>
        <v>一级战区</v>
      </c>
      <c r="L573" t="str">
        <f>_xlfn.XLOOKUP($D573,城市信息!$B$1:$B$14,城市信息!$A$1:$A$14)</f>
        <v>004</v>
      </c>
      <c r="M573" t="str">
        <f>_xlfn.XLOOKUP($D573,城市信息!$B$1:$B$14,城市信息!$C$1:$C$14)</f>
        <v>苏川</v>
      </c>
      <c r="N573" t="str">
        <f>_xlfn.XLOOKUP($D573,城市信息!$B$1:$B$14,城市信息!$D$1:$D$14)</f>
        <v>二线</v>
      </c>
      <c r="O573">
        <f>_xlfn.XLOOKUP($D573,城市信息!$B$1:$B$14,城市信息!$E$1:$E$14)</f>
        <v>9912</v>
      </c>
      <c r="P573" cm="1">
        <f t="array" ref="P573:U573">_xlfn.XLOOKUP(A573&amp;B573,'[1]2.4自动化报表-8月获客数据-非乱码'!$A:$A&amp;'[1]2.4自动化报表-8月获客数据-非乱码'!$B:$B,'[1]2.4自动化报表-8月获客数据-非乱码'!$C:$H)</f>
        <v>2869</v>
      </c>
      <c r="Q573">
        <v>2815</v>
      </c>
      <c r="R573">
        <v>2713</v>
      </c>
      <c r="S573">
        <v>1648</v>
      </c>
      <c r="T573">
        <v>829</v>
      </c>
      <c r="U573">
        <v>698</v>
      </c>
    </row>
    <row r="574" spans="1:21" x14ac:dyDescent="0.3">
      <c r="A574" s="1">
        <v>44064</v>
      </c>
      <c r="B574" t="s">
        <v>14</v>
      </c>
      <c r="C574" t="s">
        <v>108</v>
      </c>
      <c r="D574" t="s">
        <v>59</v>
      </c>
      <c r="E574" t="s">
        <v>119</v>
      </c>
      <c r="F574" s="2">
        <v>73472</v>
      </c>
      <c r="G574" s="2">
        <v>3041</v>
      </c>
      <c r="H574">
        <v>0</v>
      </c>
      <c r="I574" t="str">
        <f>_xlfn.XLOOKUP($C574,战区信息!$A$1:$A$5,战区信息!$B$1:$B$5)</f>
        <v>001</v>
      </c>
      <c r="J574" t="str">
        <f>_xlfn.XLOOKUP($C574,战区信息!$A$1:$A$5,战区信息!$C$1:$C$5)</f>
        <v>江永</v>
      </c>
      <c r="K574" t="str">
        <f>_xlfn.XLOOKUP($C574,战区信息!$A$1:$A$5,战区信息!$D$1:$D$5)</f>
        <v>一级战区</v>
      </c>
      <c r="L574" t="str">
        <f>_xlfn.XLOOKUP($D574,城市信息!$B$1:$B$14,城市信息!$A$1:$A$14)</f>
        <v>004</v>
      </c>
      <c r="M574" t="str">
        <f>_xlfn.XLOOKUP($D574,城市信息!$B$1:$B$14,城市信息!$C$1:$C$14)</f>
        <v>苏川</v>
      </c>
      <c r="N574" t="str">
        <f>_xlfn.XLOOKUP($D574,城市信息!$B$1:$B$14,城市信息!$D$1:$D$14)</f>
        <v>二线</v>
      </c>
      <c r="O574">
        <f>_xlfn.XLOOKUP($D574,城市信息!$B$1:$B$14,城市信息!$E$1:$E$14)</f>
        <v>9912</v>
      </c>
      <c r="P574" cm="1">
        <f t="array" ref="P574:U574">_xlfn.XLOOKUP(A574&amp;B574,'[1]2.4自动化报表-8月获客数据-非乱码'!$A:$A&amp;'[1]2.4自动化报表-8月获客数据-非乱码'!$B:$B,'[1]2.4自动化报表-8月获客数据-非乱码'!$C:$H)</f>
        <v>2415</v>
      </c>
      <c r="Q574">
        <v>2320</v>
      </c>
      <c r="R574">
        <v>2220</v>
      </c>
      <c r="S574">
        <v>1381</v>
      </c>
      <c r="T574">
        <v>711</v>
      </c>
      <c r="U574">
        <v>699</v>
      </c>
    </row>
    <row r="575" spans="1:21" x14ac:dyDescent="0.3">
      <c r="A575" s="1">
        <v>44064</v>
      </c>
      <c r="B575" t="s">
        <v>13</v>
      </c>
      <c r="C575" t="s">
        <v>108</v>
      </c>
      <c r="D575" t="s">
        <v>60</v>
      </c>
      <c r="E575" t="s">
        <v>120</v>
      </c>
      <c r="F575" s="2">
        <v>304273</v>
      </c>
      <c r="G575" s="2">
        <v>14770</v>
      </c>
      <c r="H575" s="2">
        <v>1364</v>
      </c>
      <c r="I575" t="str">
        <f>_xlfn.XLOOKUP($C575,战区信息!$A$1:$A$5,战区信息!$B$1:$B$5)</f>
        <v>001</v>
      </c>
      <c r="J575" t="str">
        <f>_xlfn.XLOOKUP($C575,战区信息!$A$1:$A$5,战区信息!$C$1:$C$5)</f>
        <v>江永</v>
      </c>
      <c r="K575" t="str">
        <f>_xlfn.XLOOKUP($C575,战区信息!$A$1:$A$5,战区信息!$D$1:$D$5)</f>
        <v>一级战区</v>
      </c>
      <c r="L575" t="str">
        <f>_xlfn.XLOOKUP($D575,城市信息!$B$1:$B$14,城市信息!$A$1:$A$14)</f>
        <v>005</v>
      </c>
      <c r="M575" t="str">
        <f>_xlfn.XLOOKUP($D575,城市信息!$B$1:$B$14,城市信息!$C$1:$C$14)</f>
        <v>侯阳冰</v>
      </c>
      <c r="N575" t="str">
        <f>_xlfn.XLOOKUP($D575,城市信息!$B$1:$B$14,城市信息!$D$1:$D$14)</f>
        <v>二线</v>
      </c>
      <c r="O575">
        <f>_xlfn.XLOOKUP($D575,城市信息!$B$1:$B$14,城市信息!$E$1:$E$14)</f>
        <v>8694</v>
      </c>
      <c r="P575" cm="1">
        <f t="array" ref="P575:U575">_xlfn.XLOOKUP(A575&amp;B575,'[1]2.4自动化报表-8月获客数据-非乱码'!$A:$A&amp;'[1]2.4自动化报表-8月获客数据-非乱码'!$B:$B,'[1]2.4自动化报表-8月获客数据-非乱码'!$C:$H)</f>
        <v>5792</v>
      </c>
      <c r="Q575">
        <v>5650</v>
      </c>
      <c r="R575">
        <v>5386</v>
      </c>
      <c r="S575">
        <v>3392</v>
      </c>
      <c r="T575">
        <v>1647</v>
      </c>
      <c r="U575">
        <v>697</v>
      </c>
    </row>
    <row r="576" spans="1:21" x14ac:dyDescent="0.3">
      <c r="A576" s="1">
        <v>44064</v>
      </c>
      <c r="B576" t="s">
        <v>12</v>
      </c>
      <c r="C576" t="s">
        <v>108</v>
      </c>
      <c r="D576" t="s">
        <v>60</v>
      </c>
      <c r="E576" t="s">
        <v>121</v>
      </c>
      <c r="F576" s="2">
        <v>63711</v>
      </c>
      <c r="G576" s="2">
        <v>2897</v>
      </c>
      <c r="H576">
        <v>0</v>
      </c>
      <c r="I576" t="str">
        <f>_xlfn.XLOOKUP($C576,战区信息!$A$1:$A$5,战区信息!$B$1:$B$5)</f>
        <v>001</v>
      </c>
      <c r="J576" t="str">
        <f>_xlfn.XLOOKUP($C576,战区信息!$A$1:$A$5,战区信息!$C$1:$C$5)</f>
        <v>江永</v>
      </c>
      <c r="K576" t="str">
        <f>_xlfn.XLOOKUP($C576,战区信息!$A$1:$A$5,战区信息!$D$1:$D$5)</f>
        <v>一级战区</v>
      </c>
      <c r="L576" t="str">
        <f>_xlfn.XLOOKUP($D576,城市信息!$B$1:$B$14,城市信息!$A$1:$A$14)</f>
        <v>005</v>
      </c>
      <c r="M576" t="str">
        <f>_xlfn.XLOOKUP($D576,城市信息!$B$1:$B$14,城市信息!$C$1:$C$14)</f>
        <v>侯阳冰</v>
      </c>
      <c r="N576" t="str">
        <f>_xlfn.XLOOKUP($D576,城市信息!$B$1:$B$14,城市信息!$D$1:$D$14)</f>
        <v>二线</v>
      </c>
      <c r="O576">
        <f>_xlfn.XLOOKUP($D576,城市信息!$B$1:$B$14,城市信息!$E$1:$E$14)</f>
        <v>8694</v>
      </c>
      <c r="P576" cm="1">
        <f t="array" ref="P576:U576">_xlfn.XLOOKUP(A576&amp;B576,'[1]2.4自动化报表-8月获客数据-非乱码'!$A:$A&amp;'[1]2.4自动化报表-8月获客数据-非乱码'!$B:$B,'[1]2.4自动化报表-8月获客数据-非乱码'!$C:$H)</f>
        <v>922</v>
      </c>
      <c r="Q576">
        <v>907</v>
      </c>
      <c r="R576">
        <v>847</v>
      </c>
      <c r="S576">
        <v>540</v>
      </c>
      <c r="T576">
        <v>255</v>
      </c>
      <c r="U576">
        <v>697</v>
      </c>
    </row>
    <row r="577" spans="1:21" x14ac:dyDescent="0.3">
      <c r="A577" s="1">
        <v>44064</v>
      </c>
      <c r="B577" t="s">
        <v>11</v>
      </c>
      <c r="C577" t="s">
        <v>108</v>
      </c>
      <c r="D577" t="s">
        <v>58</v>
      </c>
      <c r="E577" t="s">
        <v>122</v>
      </c>
      <c r="F577" s="2">
        <v>117589</v>
      </c>
      <c r="G577" s="2">
        <v>6223</v>
      </c>
      <c r="H577">
        <v>0</v>
      </c>
      <c r="I577" t="str">
        <f>_xlfn.XLOOKUP($C577,战区信息!$A$1:$A$5,战区信息!$B$1:$B$5)</f>
        <v>001</v>
      </c>
      <c r="J577" t="str">
        <f>_xlfn.XLOOKUP($C577,战区信息!$A$1:$A$5,战区信息!$C$1:$C$5)</f>
        <v>江永</v>
      </c>
      <c r="K577" t="str">
        <f>_xlfn.XLOOKUP($C577,战区信息!$A$1:$A$5,战区信息!$D$1:$D$5)</f>
        <v>一级战区</v>
      </c>
      <c r="L577" t="str">
        <f>_xlfn.XLOOKUP($D577,城市信息!$B$1:$B$14,城市信息!$A$1:$A$14)</f>
        <v>003</v>
      </c>
      <c r="M577" t="str">
        <f>_xlfn.XLOOKUP($D577,城市信息!$B$1:$B$14,城市信息!$C$1:$C$14)</f>
        <v>杜光亮</v>
      </c>
      <c r="N577" t="str">
        <f>_xlfn.XLOOKUP($D577,城市信息!$B$1:$B$14,城市信息!$D$1:$D$14)</f>
        <v>二线</v>
      </c>
      <c r="O577">
        <f>_xlfn.XLOOKUP($D577,城市信息!$B$1:$B$14,城市信息!$E$1:$E$14)</f>
        <v>10499</v>
      </c>
      <c r="P577" cm="1">
        <f t="array" ref="P577:U577">_xlfn.XLOOKUP(A577&amp;B577,'[1]2.4自动化报表-8月获客数据-非乱码'!$A:$A&amp;'[1]2.4自动化报表-8月获客数据-非乱码'!$B:$B,'[1]2.4自动化报表-8月获客数据-非乱码'!$C:$H)</f>
        <v>4907</v>
      </c>
      <c r="Q577">
        <v>4727</v>
      </c>
      <c r="R577">
        <v>4491</v>
      </c>
      <c r="S577">
        <v>2756</v>
      </c>
      <c r="T577">
        <v>1298</v>
      </c>
      <c r="U577">
        <v>701</v>
      </c>
    </row>
    <row r="578" spans="1:21" x14ac:dyDescent="0.3">
      <c r="A578" s="1">
        <v>44064</v>
      </c>
      <c r="B578" t="s">
        <v>10</v>
      </c>
      <c r="C578" t="s">
        <v>108</v>
      </c>
      <c r="D578" t="s">
        <v>58</v>
      </c>
      <c r="E578" t="s">
        <v>123</v>
      </c>
      <c r="F578" s="2">
        <v>91508</v>
      </c>
      <c r="G578" s="2">
        <v>5132</v>
      </c>
      <c r="H578">
        <v>598</v>
      </c>
      <c r="I578" t="str">
        <f>_xlfn.XLOOKUP($C578,战区信息!$A$1:$A$5,战区信息!$B$1:$B$5)</f>
        <v>001</v>
      </c>
      <c r="J578" t="str">
        <f>_xlfn.XLOOKUP($C578,战区信息!$A$1:$A$5,战区信息!$C$1:$C$5)</f>
        <v>江永</v>
      </c>
      <c r="K578" t="str">
        <f>_xlfn.XLOOKUP($C578,战区信息!$A$1:$A$5,战区信息!$D$1:$D$5)</f>
        <v>一级战区</v>
      </c>
      <c r="L578" t="str">
        <f>_xlfn.XLOOKUP($D578,城市信息!$B$1:$B$14,城市信息!$A$1:$A$14)</f>
        <v>003</v>
      </c>
      <c r="M578" t="str">
        <f>_xlfn.XLOOKUP($D578,城市信息!$B$1:$B$14,城市信息!$C$1:$C$14)</f>
        <v>杜光亮</v>
      </c>
      <c r="N578" t="str">
        <f>_xlfn.XLOOKUP($D578,城市信息!$B$1:$B$14,城市信息!$D$1:$D$14)</f>
        <v>二线</v>
      </c>
      <c r="O578">
        <f>_xlfn.XLOOKUP($D578,城市信息!$B$1:$B$14,城市信息!$E$1:$E$14)</f>
        <v>10499</v>
      </c>
      <c r="P578" cm="1">
        <f t="array" ref="P578:U578">_xlfn.XLOOKUP(A578&amp;B578,'[1]2.4自动化报表-8月获客数据-非乱码'!$A:$A&amp;'[1]2.4自动化报表-8月获客数据-非乱码'!$B:$B,'[1]2.4自动化报表-8月获客数据-非乱码'!$C:$H)</f>
        <v>1773</v>
      </c>
      <c r="Q578">
        <v>1738</v>
      </c>
      <c r="R578">
        <v>1690</v>
      </c>
      <c r="S578">
        <v>1017</v>
      </c>
      <c r="T578">
        <v>614</v>
      </c>
      <c r="U578">
        <v>701</v>
      </c>
    </row>
    <row r="579" spans="1:21" x14ac:dyDescent="0.3">
      <c r="A579" s="1">
        <v>44064</v>
      </c>
      <c r="B579" t="s">
        <v>9</v>
      </c>
      <c r="C579" t="s">
        <v>108</v>
      </c>
      <c r="D579" t="s">
        <v>58</v>
      </c>
      <c r="E579" t="s">
        <v>124</v>
      </c>
      <c r="F579" s="2">
        <v>260641</v>
      </c>
      <c r="G579" s="2">
        <v>12118</v>
      </c>
      <c r="H579" s="2">
        <v>1805</v>
      </c>
      <c r="I579" t="str">
        <f>_xlfn.XLOOKUP($C579,战区信息!$A$1:$A$5,战区信息!$B$1:$B$5)</f>
        <v>001</v>
      </c>
      <c r="J579" t="str">
        <f>_xlfn.XLOOKUP($C579,战区信息!$A$1:$A$5,战区信息!$C$1:$C$5)</f>
        <v>江永</v>
      </c>
      <c r="K579" t="str">
        <f>_xlfn.XLOOKUP($C579,战区信息!$A$1:$A$5,战区信息!$D$1:$D$5)</f>
        <v>一级战区</v>
      </c>
      <c r="L579" t="str">
        <f>_xlfn.XLOOKUP($D579,城市信息!$B$1:$B$14,城市信息!$A$1:$A$14)</f>
        <v>003</v>
      </c>
      <c r="M579" t="str">
        <f>_xlfn.XLOOKUP($D579,城市信息!$B$1:$B$14,城市信息!$C$1:$C$14)</f>
        <v>杜光亮</v>
      </c>
      <c r="N579" t="str">
        <f>_xlfn.XLOOKUP($D579,城市信息!$B$1:$B$14,城市信息!$D$1:$D$14)</f>
        <v>二线</v>
      </c>
      <c r="O579">
        <f>_xlfn.XLOOKUP($D579,城市信息!$B$1:$B$14,城市信息!$E$1:$E$14)</f>
        <v>10499</v>
      </c>
      <c r="P579" cm="1">
        <f t="array" ref="P579:U579">_xlfn.XLOOKUP(A579&amp;B579,'[1]2.4自动化报表-8月获客数据-非乱码'!$A:$A&amp;'[1]2.4自动化报表-8月获客数据-非乱码'!$B:$B,'[1]2.4自动化报表-8月获客数据-非乱码'!$C:$H)</f>
        <v>4855</v>
      </c>
      <c r="Q579">
        <v>4730</v>
      </c>
      <c r="R579">
        <v>4572</v>
      </c>
      <c r="S579">
        <v>2574</v>
      </c>
      <c r="T579">
        <v>1447</v>
      </c>
      <c r="U579">
        <v>694</v>
      </c>
    </row>
    <row r="580" spans="1:21" x14ac:dyDescent="0.3">
      <c r="A580" s="1">
        <v>44064</v>
      </c>
      <c r="B580" t="s">
        <v>8</v>
      </c>
      <c r="C580" t="s">
        <v>125</v>
      </c>
      <c r="D580" t="s">
        <v>66</v>
      </c>
      <c r="E580" t="s">
        <v>126</v>
      </c>
      <c r="F580" s="2">
        <v>123455</v>
      </c>
      <c r="G580" s="2">
        <v>7144</v>
      </c>
      <c r="H580" s="2">
        <v>5737</v>
      </c>
      <c r="I580" t="str">
        <f>_xlfn.XLOOKUP($C580,战区信息!$A$1:$A$5,战区信息!$B$1:$B$5)</f>
        <v>004</v>
      </c>
      <c r="J580" t="str">
        <f>_xlfn.XLOOKUP($C580,战区信息!$A$1:$A$5,战区信息!$C$1:$C$5)</f>
        <v>沈乐欣</v>
      </c>
      <c r="K580" t="str">
        <f>_xlfn.XLOOKUP($C580,战区信息!$A$1:$A$5,战区信息!$D$1:$D$5)</f>
        <v>三级战区</v>
      </c>
      <c r="L580" t="str">
        <f>_xlfn.XLOOKUP($D580,城市信息!$B$1:$B$14,城市信息!$A$1:$A$14)</f>
        <v>011</v>
      </c>
      <c r="M580" t="str">
        <f>_xlfn.XLOOKUP($D580,城市信息!$B$1:$B$14,城市信息!$C$1:$C$14)</f>
        <v>冯谦</v>
      </c>
      <c r="N580" t="str">
        <f>_xlfn.XLOOKUP($D580,城市信息!$B$1:$B$14,城市信息!$D$1:$D$14)</f>
        <v>一线</v>
      </c>
      <c r="O580">
        <f>_xlfn.XLOOKUP($D580,城市信息!$B$1:$B$14,城市信息!$E$1:$E$14)</f>
        <v>8244</v>
      </c>
      <c r="P580" cm="1">
        <f t="array" ref="P580:U580">_xlfn.XLOOKUP(A580&amp;B580,'[1]2.4自动化报表-8月获客数据-非乱码'!$A:$A&amp;'[1]2.4自动化报表-8月获客数据-非乱码'!$B:$B,'[1]2.4自动化报表-8月获客数据-非乱码'!$C:$H)</f>
        <v>1859</v>
      </c>
      <c r="Q580">
        <v>1838</v>
      </c>
      <c r="R580">
        <v>1777</v>
      </c>
      <c r="S580">
        <v>1003</v>
      </c>
      <c r="T580">
        <v>632</v>
      </c>
      <c r="U580">
        <v>686</v>
      </c>
    </row>
    <row r="581" spans="1:21" x14ac:dyDescent="0.3">
      <c r="A581" s="1">
        <v>44064</v>
      </c>
      <c r="B581" t="s">
        <v>6</v>
      </c>
      <c r="C581" t="s">
        <v>125</v>
      </c>
      <c r="D581" t="s">
        <v>62</v>
      </c>
      <c r="E581" t="s">
        <v>128</v>
      </c>
      <c r="F581" s="2">
        <v>39255</v>
      </c>
      <c r="G581" s="2">
        <v>1545</v>
      </c>
      <c r="H581" s="2">
        <v>3494</v>
      </c>
      <c r="I581" t="str">
        <f>_xlfn.XLOOKUP($C581,战区信息!$A$1:$A$5,战区信息!$B$1:$B$5)</f>
        <v>004</v>
      </c>
      <c r="J581" t="str">
        <f>_xlfn.XLOOKUP($C581,战区信息!$A$1:$A$5,战区信息!$C$1:$C$5)</f>
        <v>沈乐欣</v>
      </c>
      <c r="K581" t="str">
        <f>_xlfn.XLOOKUP($C581,战区信息!$A$1:$A$5,战区信息!$D$1:$D$5)</f>
        <v>三级战区</v>
      </c>
      <c r="L581" t="str">
        <f>_xlfn.XLOOKUP($D581,城市信息!$B$1:$B$14,城市信息!$A$1:$A$14)</f>
        <v>007</v>
      </c>
      <c r="M581" t="str">
        <f>_xlfn.XLOOKUP($D581,城市信息!$B$1:$B$14,城市信息!$C$1:$C$14)</f>
        <v>范俊发</v>
      </c>
      <c r="N581" t="str">
        <f>_xlfn.XLOOKUP($D581,城市信息!$B$1:$B$14,城市信息!$D$1:$D$14)</f>
        <v>一线</v>
      </c>
      <c r="O581">
        <f>_xlfn.XLOOKUP($D581,城市信息!$B$1:$B$14,城市信息!$E$1:$E$14)</f>
        <v>12358</v>
      </c>
      <c r="P581" cm="1">
        <f t="array" ref="P581:U581">_xlfn.XLOOKUP(A581&amp;B581,'[1]2.4自动化报表-8月获客数据-非乱码'!$A:$A&amp;'[1]2.4自动化报表-8月获客数据-非乱码'!$B:$B,'[1]2.4自动化报表-8月获客数据-非乱码'!$C:$H)</f>
        <v>1721</v>
      </c>
      <c r="Q581">
        <v>1698</v>
      </c>
      <c r="R581">
        <v>1663</v>
      </c>
      <c r="S581">
        <v>1003</v>
      </c>
      <c r="T581">
        <v>582</v>
      </c>
      <c r="U581">
        <v>688</v>
      </c>
    </row>
    <row r="582" spans="1:21" x14ac:dyDescent="0.3">
      <c r="A582" s="1">
        <v>44064</v>
      </c>
      <c r="B582" t="s">
        <v>5</v>
      </c>
      <c r="C582" t="s">
        <v>125</v>
      </c>
      <c r="D582" t="s">
        <v>62</v>
      </c>
      <c r="E582" t="s">
        <v>129</v>
      </c>
      <c r="F582" s="2">
        <v>101227</v>
      </c>
      <c r="G582" s="2">
        <v>6502</v>
      </c>
      <c r="H582">
        <v>0</v>
      </c>
      <c r="I582" t="str">
        <f>_xlfn.XLOOKUP($C582,战区信息!$A$1:$A$5,战区信息!$B$1:$B$5)</f>
        <v>004</v>
      </c>
      <c r="J582" t="str">
        <f>_xlfn.XLOOKUP($C582,战区信息!$A$1:$A$5,战区信息!$C$1:$C$5)</f>
        <v>沈乐欣</v>
      </c>
      <c r="K582" t="str">
        <f>_xlfn.XLOOKUP($C582,战区信息!$A$1:$A$5,战区信息!$D$1:$D$5)</f>
        <v>三级战区</v>
      </c>
      <c r="L582" t="str">
        <f>_xlfn.XLOOKUP($D582,城市信息!$B$1:$B$14,城市信息!$A$1:$A$14)</f>
        <v>007</v>
      </c>
      <c r="M582" t="str">
        <f>_xlfn.XLOOKUP($D582,城市信息!$B$1:$B$14,城市信息!$C$1:$C$14)</f>
        <v>范俊发</v>
      </c>
      <c r="N582" t="str">
        <f>_xlfn.XLOOKUP($D582,城市信息!$B$1:$B$14,城市信息!$D$1:$D$14)</f>
        <v>一线</v>
      </c>
      <c r="O582">
        <f>_xlfn.XLOOKUP($D582,城市信息!$B$1:$B$14,城市信息!$E$1:$E$14)</f>
        <v>12358</v>
      </c>
      <c r="P582" cm="1">
        <f t="array" ref="P582:U582">_xlfn.XLOOKUP(A582&amp;B582,'[1]2.4自动化报表-8月获客数据-非乱码'!$A:$A&amp;'[1]2.4自动化报表-8月获客数据-非乱码'!$B:$B,'[1]2.4自动化报表-8月获客数据-非乱码'!$C:$H)</f>
        <v>2664</v>
      </c>
      <c r="Q582">
        <v>2615</v>
      </c>
      <c r="R582">
        <v>2503</v>
      </c>
      <c r="S582">
        <v>1543</v>
      </c>
      <c r="T582">
        <v>780</v>
      </c>
      <c r="U582">
        <v>690</v>
      </c>
    </row>
    <row r="583" spans="1:21" x14ac:dyDescent="0.3">
      <c r="A583" s="1">
        <v>44065</v>
      </c>
      <c r="B583" t="s">
        <v>32</v>
      </c>
      <c r="C583" t="s">
        <v>97</v>
      </c>
      <c r="D583" t="s">
        <v>67</v>
      </c>
      <c r="E583" t="s">
        <v>98</v>
      </c>
      <c r="F583" s="2">
        <v>145342</v>
      </c>
      <c r="G583" s="2">
        <v>9850</v>
      </c>
      <c r="H583">
        <v>0</v>
      </c>
      <c r="I583" t="str">
        <f>_xlfn.XLOOKUP($C583,战区信息!$A$1:$A$5,战区信息!$B$1:$B$5)</f>
        <v>003</v>
      </c>
      <c r="J583" t="str">
        <f>_xlfn.XLOOKUP($C583,战区信息!$A$1:$A$5,战区信息!$C$1:$C$5)</f>
        <v>田楠</v>
      </c>
      <c r="K583" t="str">
        <f>_xlfn.XLOOKUP($C583,战区信息!$A$1:$A$5,战区信息!$D$1:$D$5)</f>
        <v>二级战区</v>
      </c>
      <c r="L583" t="str">
        <f>_xlfn.XLOOKUP($D583,城市信息!$B$1:$B$14,城市信息!$A$1:$A$14)</f>
        <v>012</v>
      </c>
      <c r="M583" t="str">
        <f>_xlfn.XLOOKUP($D583,城市信息!$B$1:$B$14,城市信息!$C$1:$C$14)</f>
        <v>于子默</v>
      </c>
      <c r="N583" t="str">
        <f>_xlfn.XLOOKUP($D583,城市信息!$B$1:$B$14,城市信息!$D$1:$D$14)</f>
        <v>二线</v>
      </c>
      <c r="O583">
        <f>_xlfn.XLOOKUP($D583,城市信息!$B$1:$B$14,城市信息!$E$1:$E$14)</f>
        <v>9713</v>
      </c>
      <c r="P583" cm="1">
        <f t="array" ref="P583:U583">_xlfn.XLOOKUP(A583&amp;B583,'[1]2.4自动化报表-8月获客数据-非乱码'!$A:$A&amp;'[1]2.4自动化报表-8月获客数据-非乱码'!$B:$B,'[1]2.4自动化报表-8月获客数据-非乱码'!$C:$H)</f>
        <v>2583</v>
      </c>
      <c r="Q583">
        <v>2540</v>
      </c>
      <c r="R583">
        <v>2470</v>
      </c>
      <c r="S583">
        <v>1542</v>
      </c>
      <c r="T583">
        <v>855</v>
      </c>
      <c r="U583">
        <v>690</v>
      </c>
    </row>
    <row r="584" spans="1:21" x14ac:dyDescent="0.3">
      <c r="A584" s="1">
        <v>44065</v>
      </c>
      <c r="B584" t="s">
        <v>31</v>
      </c>
      <c r="C584" t="s">
        <v>97</v>
      </c>
      <c r="D584" t="s">
        <v>65</v>
      </c>
      <c r="E584" t="s">
        <v>99</v>
      </c>
      <c r="F584" s="2">
        <v>52906</v>
      </c>
      <c r="G584" s="2">
        <v>2596</v>
      </c>
      <c r="H584" s="2">
        <v>6709</v>
      </c>
      <c r="I584" t="str">
        <f>_xlfn.XLOOKUP($C584,战区信息!$A$1:$A$5,战区信息!$B$1:$B$5)</f>
        <v>003</v>
      </c>
      <c r="J584" t="str">
        <f>_xlfn.XLOOKUP($C584,战区信息!$A$1:$A$5,战区信息!$C$1:$C$5)</f>
        <v>田楠</v>
      </c>
      <c r="K584" t="str">
        <f>_xlfn.XLOOKUP($C584,战区信息!$A$1:$A$5,战区信息!$D$1:$D$5)</f>
        <v>二级战区</v>
      </c>
      <c r="L584" t="str">
        <f>_xlfn.XLOOKUP($D584,城市信息!$B$1:$B$14,城市信息!$A$1:$A$14)</f>
        <v>010</v>
      </c>
      <c r="M584" t="str">
        <f>_xlfn.XLOOKUP($D584,城市信息!$B$1:$B$14,城市信息!$C$1:$C$14)</f>
        <v>黄鹏天</v>
      </c>
      <c r="N584" t="str">
        <f>_xlfn.XLOOKUP($D584,城市信息!$B$1:$B$14,城市信息!$D$1:$D$14)</f>
        <v>二线</v>
      </c>
      <c r="O584">
        <f>_xlfn.XLOOKUP($D584,城市信息!$B$1:$B$14,城市信息!$E$1:$E$14)</f>
        <v>8295</v>
      </c>
      <c r="P584" cm="1">
        <f t="array" ref="P584:U584">_xlfn.XLOOKUP(A584&amp;B584,'[1]2.4自动化报表-8月获客数据-非乱码'!$A:$A&amp;'[1]2.4自动化报表-8月获客数据-非乱码'!$B:$B,'[1]2.4自动化报表-8月获客数据-非乱码'!$C:$H)</f>
        <v>2311</v>
      </c>
      <c r="Q584">
        <v>2270</v>
      </c>
      <c r="R584">
        <v>2211</v>
      </c>
      <c r="S584">
        <v>1329</v>
      </c>
      <c r="T584">
        <v>788</v>
      </c>
      <c r="U584">
        <v>692</v>
      </c>
    </row>
    <row r="585" spans="1:21" x14ac:dyDescent="0.3">
      <c r="A585" s="1">
        <v>44065</v>
      </c>
      <c r="B585" t="s">
        <v>30</v>
      </c>
      <c r="C585" t="s">
        <v>97</v>
      </c>
      <c r="D585" t="s">
        <v>61</v>
      </c>
      <c r="E585" t="s">
        <v>100</v>
      </c>
      <c r="F585" s="2">
        <v>247757</v>
      </c>
      <c r="G585" s="2">
        <v>14345</v>
      </c>
      <c r="H585">
        <v>0</v>
      </c>
      <c r="I585" t="str">
        <f>_xlfn.XLOOKUP($C585,战区信息!$A$1:$A$5,战区信息!$B$1:$B$5)</f>
        <v>003</v>
      </c>
      <c r="J585" t="str">
        <f>_xlfn.XLOOKUP($C585,战区信息!$A$1:$A$5,战区信息!$C$1:$C$5)</f>
        <v>田楠</v>
      </c>
      <c r="K585" t="str">
        <f>_xlfn.XLOOKUP($C585,战区信息!$A$1:$A$5,战区信息!$D$1:$D$5)</f>
        <v>二级战区</v>
      </c>
      <c r="L585" t="str">
        <f>_xlfn.XLOOKUP($D585,城市信息!$B$1:$B$14,城市信息!$A$1:$A$14)</f>
        <v>006</v>
      </c>
      <c r="M585" t="str">
        <f>_xlfn.XLOOKUP($D585,城市信息!$B$1:$B$14,城市信息!$C$1:$C$14)</f>
        <v>王刚</v>
      </c>
      <c r="N585" t="str">
        <f>_xlfn.XLOOKUP($D585,城市信息!$B$1:$B$14,城市信息!$D$1:$D$14)</f>
        <v>二线</v>
      </c>
      <c r="O585">
        <f>_xlfn.XLOOKUP($D585,城市信息!$B$1:$B$14,城市信息!$E$1:$E$14)</f>
        <v>9107</v>
      </c>
      <c r="P585" cm="1">
        <f t="array" ref="P585:U585">_xlfn.XLOOKUP(A585&amp;B585,'[1]2.4自动化报表-8月获客数据-非乱码'!$A:$A&amp;'[1]2.4自动化报表-8月获客数据-非乱码'!$B:$B,'[1]2.4自动化报表-8月获客数据-非乱码'!$C:$H)</f>
        <v>3896</v>
      </c>
      <c r="Q585">
        <v>3798</v>
      </c>
      <c r="R585">
        <v>3648</v>
      </c>
      <c r="S585">
        <v>2289</v>
      </c>
      <c r="T585">
        <v>1183</v>
      </c>
      <c r="U585">
        <v>699</v>
      </c>
    </row>
    <row r="586" spans="1:21" x14ac:dyDescent="0.3">
      <c r="A586" s="1">
        <v>44065</v>
      </c>
      <c r="B586" t="s">
        <v>29</v>
      </c>
      <c r="C586" t="s">
        <v>97</v>
      </c>
      <c r="D586" t="s">
        <v>64</v>
      </c>
      <c r="E586" t="s">
        <v>101</v>
      </c>
      <c r="F586" s="2">
        <v>82325</v>
      </c>
      <c r="G586" s="2">
        <v>5282</v>
      </c>
      <c r="H586" s="2">
        <v>3083</v>
      </c>
      <c r="I586" t="str">
        <f>_xlfn.XLOOKUP($C586,战区信息!$A$1:$A$5,战区信息!$B$1:$B$5)</f>
        <v>003</v>
      </c>
      <c r="J586" t="str">
        <f>_xlfn.XLOOKUP($C586,战区信息!$A$1:$A$5,战区信息!$C$1:$C$5)</f>
        <v>田楠</v>
      </c>
      <c r="K586" t="str">
        <f>_xlfn.XLOOKUP($C586,战区信息!$A$1:$A$5,战区信息!$D$1:$D$5)</f>
        <v>二级战区</v>
      </c>
      <c r="L586" t="str">
        <f>_xlfn.XLOOKUP($D586,城市信息!$B$1:$B$14,城市信息!$A$1:$A$14)</f>
        <v>009</v>
      </c>
      <c r="M586" t="str">
        <f>_xlfn.XLOOKUP($D586,城市信息!$B$1:$B$14,城市信息!$C$1:$C$14)</f>
        <v>叶超</v>
      </c>
      <c r="N586" t="str">
        <f>_xlfn.XLOOKUP($D586,城市信息!$B$1:$B$14,城市信息!$D$1:$D$14)</f>
        <v>二线</v>
      </c>
      <c r="O586">
        <f>_xlfn.XLOOKUP($D586,城市信息!$B$1:$B$14,城市信息!$E$1:$E$14)</f>
        <v>9016</v>
      </c>
      <c r="P586" cm="1">
        <f t="array" ref="P586:U586">_xlfn.XLOOKUP(A586&amp;B586,'[1]2.4自动化报表-8月获客数据-非乱码'!$A:$A&amp;'[1]2.4自动化报表-8月获客数据-非乱码'!$B:$B,'[1]2.4自动化报表-8月获客数据-非乱码'!$C:$H)</f>
        <v>2202</v>
      </c>
      <c r="Q586">
        <v>2144</v>
      </c>
      <c r="R586">
        <v>2062</v>
      </c>
      <c r="S586">
        <v>1333</v>
      </c>
      <c r="T586">
        <v>727</v>
      </c>
      <c r="U586">
        <v>691</v>
      </c>
    </row>
    <row r="587" spans="1:21" x14ac:dyDescent="0.3">
      <c r="A587" s="1">
        <v>44065</v>
      </c>
      <c r="B587" t="s">
        <v>28</v>
      </c>
      <c r="C587" t="s">
        <v>97</v>
      </c>
      <c r="D587" t="s">
        <v>64</v>
      </c>
      <c r="E587" t="s">
        <v>102</v>
      </c>
      <c r="F587" s="2">
        <v>27501</v>
      </c>
      <c r="G587" s="2">
        <v>1362</v>
      </c>
      <c r="H587">
        <v>0</v>
      </c>
      <c r="I587" t="str">
        <f>_xlfn.XLOOKUP($C587,战区信息!$A$1:$A$5,战区信息!$B$1:$B$5)</f>
        <v>003</v>
      </c>
      <c r="J587" t="str">
        <f>_xlfn.XLOOKUP($C587,战区信息!$A$1:$A$5,战区信息!$C$1:$C$5)</f>
        <v>田楠</v>
      </c>
      <c r="K587" t="str">
        <f>_xlfn.XLOOKUP($C587,战区信息!$A$1:$A$5,战区信息!$D$1:$D$5)</f>
        <v>二级战区</v>
      </c>
      <c r="L587" t="str">
        <f>_xlfn.XLOOKUP($D587,城市信息!$B$1:$B$14,城市信息!$A$1:$A$14)</f>
        <v>009</v>
      </c>
      <c r="M587" t="str">
        <f>_xlfn.XLOOKUP($D587,城市信息!$B$1:$B$14,城市信息!$C$1:$C$14)</f>
        <v>叶超</v>
      </c>
      <c r="N587" t="str">
        <f>_xlfn.XLOOKUP($D587,城市信息!$B$1:$B$14,城市信息!$D$1:$D$14)</f>
        <v>二线</v>
      </c>
      <c r="O587">
        <f>_xlfn.XLOOKUP($D587,城市信息!$B$1:$B$14,城市信息!$E$1:$E$14)</f>
        <v>9016</v>
      </c>
      <c r="P587" cm="1">
        <f t="array" ref="P587:U587">_xlfn.XLOOKUP(A587&amp;B587,'[1]2.4自动化报表-8月获客数据-非乱码'!$A:$A&amp;'[1]2.4自动化报表-8月获客数据-非乱码'!$B:$B,'[1]2.4自动化报表-8月获客数据-非乱码'!$C:$H)</f>
        <v>672</v>
      </c>
      <c r="Q587">
        <v>662</v>
      </c>
      <c r="R587">
        <v>643</v>
      </c>
      <c r="S587">
        <v>443</v>
      </c>
      <c r="T587">
        <v>209</v>
      </c>
      <c r="U587">
        <v>692</v>
      </c>
    </row>
    <row r="588" spans="1:21" x14ac:dyDescent="0.3">
      <c r="A588" s="1">
        <v>44065</v>
      </c>
      <c r="B588" t="s">
        <v>27</v>
      </c>
      <c r="C588" t="s">
        <v>103</v>
      </c>
      <c r="D588" t="s">
        <v>63</v>
      </c>
      <c r="E588" t="s">
        <v>104</v>
      </c>
      <c r="F588" s="2">
        <v>82294</v>
      </c>
      <c r="G588" s="2">
        <v>5534</v>
      </c>
      <c r="H588">
        <v>0</v>
      </c>
      <c r="I588" t="str">
        <f>_xlfn.XLOOKUP($C588,战区信息!$A$1:$A$5,战区信息!$B$1:$B$5)</f>
        <v>002</v>
      </c>
      <c r="J588" t="str">
        <f>_xlfn.XLOOKUP($C588,战区信息!$A$1:$A$5,战区信息!$C$1:$C$5)</f>
        <v>高安平</v>
      </c>
      <c r="K588" t="str">
        <f>_xlfn.XLOOKUP($C588,战区信息!$A$1:$A$5,战区信息!$D$1:$D$5)</f>
        <v>二级战区</v>
      </c>
      <c r="L588" t="str">
        <f>_xlfn.XLOOKUP($D588,城市信息!$B$1:$B$14,城市信息!$A$1:$A$14)</f>
        <v>008</v>
      </c>
      <c r="M588" t="str">
        <f>_xlfn.XLOOKUP($D588,城市信息!$B$1:$B$14,城市信息!$C$1:$C$14)</f>
        <v>高弘壮</v>
      </c>
      <c r="N588" t="str">
        <f>_xlfn.XLOOKUP($D588,城市信息!$B$1:$B$14,城市信息!$D$1:$D$14)</f>
        <v>一线</v>
      </c>
      <c r="O588">
        <f>_xlfn.XLOOKUP($D588,城市信息!$B$1:$B$14,城市信息!$E$1:$E$14)</f>
        <v>11498</v>
      </c>
      <c r="P588" cm="1">
        <f t="array" ref="P588:U588">_xlfn.XLOOKUP(A588&amp;B588,'[1]2.4自动化报表-8月获客数据-非乱码'!$A:$A&amp;'[1]2.4自动化报表-8月获客数据-非乱码'!$B:$B,'[1]2.4自动化报表-8月获客数据-非乱码'!$C:$H)</f>
        <v>2598</v>
      </c>
      <c r="Q588">
        <v>2529</v>
      </c>
      <c r="R588">
        <v>2420</v>
      </c>
      <c r="S588">
        <v>1406</v>
      </c>
      <c r="T588">
        <v>800</v>
      </c>
      <c r="U588">
        <v>688</v>
      </c>
    </row>
    <row r="589" spans="1:21" x14ac:dyDescent="0.3">
      <c r="A589" s="1">
        <v>44065</v>
      </c>
      <c r="B589" t="s">
        <v>26</v>
      </c>
      <c r="C589" t="s">
        <v>103</v>
      </c>
      <c r="D589" t="s">
        <v>57</v>
      </c>
      <c r="E589" t="s">
        <v>105</v>
      </c>
      <c r="F589" s="2">
        <v>374707</v>
      </c>
      <c r="G589" s="2">
        <v>24322</v>
      </c>
      <c r="H589" s="2">
        <v>12317</v>
      </c>
      <c r="I589" t="str">
        <f>_xlfn.XLOOKUP($C589,战区信息!$A$1:$A$5,战区信息!$B$1:$B$5)</f>
        <v>002</v>
      </c>
      <c r="J589" t="str">
        <f>_xlfn.XLOOKUP($C589,战区信息!$A$1:$A$5,战区信息!$C$1:$C$5)</f>
        <v>高安平</v>
      </c>
      <c r="K589" t="str">
        <f>_xlfn.XLOOKUP($C589,战区信息!$A$1:$A$5,战区信息!$D$1:$D$5)</f>
        <v>二级战区</v>
      </c>
      <c r="L589" t="str">
        <f>_xlfn.XLOOKUP($D589,城市信息!$B$1:$B$14,城市信息!$A$1:$A$14)</f>
        <v>002</v>
      </c>
      <c r="M589" t="str">
        <f>_xlfn.XLOOKUP($D589,城市信息!$B$1:$B$14,城市信息!$C$1:$C$14)</f>
        <v>孙乒</v>
      </c>
      <c r="N589" t="str">
        <f>_xlfn.XLOOKUP($D589,城市信息!$B$1:$B$14,城市信息!$D$1:$D$14)</f>
        <v>一线</v>
      </c>
      <c r="O589">
        <f>_xlfn.XLOOKUP($D589,城市信息!$B$1:$B$14,城市信息!$E$1:$E$14)</f>
        <v>9854</v>
      </c>
      <c r="P589" cm="1">
        <f t="array" ref="P589:U589">_xlfn.XLOOKUP(A589&amp;B589,'[1]2.4自动化报表-8月获客数据-非乱码'!$A:$A&amp;'[1]2.4自动化报表-8月获客数据-非乱码'!$B:$B,'[1]2.4自动化报表-8月获客数据-非乱码'!$C:$H)</f>
        <v>7766</v>
      </c>
      <c r="Q589">
        <v>7581</v>
      </c>
      <c r="R589">
        <v>7277</v>
      </c>
      <c r="S589">
        <v>4488</v>
      </c>
      <c r="T589">
        <v>2479</v>
      </c>
      <c r="U589">
        <v>688</v>
      </c>
    </row>
    <row r="590" spans="1:21" x14ac:dyDescent="0.3">
      <c r="A590" s="1">
        <v>44065</v>
      </c>
      <c r="B590" t="s">
        <v>25</v>
      </c>
      <c r="C590" t="s">
        <v>103</v>
      </c>
      <c r="D590" t="s">
        <v>57</v>
      </c>
      <c r="E590" t="s">
        <v>106</v>
      </c>
      <c r="F590" s="2">
        <v>67341</v>
      </c>
      <c r="G590" s="2">
        <v>4040</v>
      </c>
      <c r="H590">
        <v>783</v>
      </c>
      <c r="I590" t="str">
        <f>_xlfn.XLOOKUP($C590,战区信息!$A$1:$A$5,战区信息!$B$1:$B$5)</f>
        <v>002</v>
      </c>
      <c r="J590" t="str">
        <f>_xlfn.XLOOKUP($C590,战区信息!$A$1:$A$5,战区信息!$C$1:$C$5)</f>
        <v>高安平</v>
      </c>
      <c r="K590" t="str">
        <f>_xlfn.XLOOKUP($C590,战区信息!$A$1:$A$5,战区信息!$D$1:$D$5)</f>
        <v>二级战区</v>
      </c>
      <c r="L590" t="str">
        <f>_xlfn.XLOOKUP($D590,城市信息!$B$1:$B$14,城市信息!$A$1:$A$14)</f>
        <v>002</v>
      </c>
      <c r="M590" t="str">
        <f>_xlfn.XLOOKUP($D590,城市信息!$B$1:$B$14,城市信息!$C$1:$C$14)</f>
        <v>孙乒</v>
      </c>
      <c r="N590" t="str">
        <f>_xlfn.XLOOKUP($D590,城市信息!$B$1:$B$14,城市信息!$D$1:$D$14)</f>
        <v>一线</v>
      </c>
      <c r="O590">
        <f>_xlfn.XLOOKUP($D590,城市信息!$B$1:$B$14,城市信息!$E$1:$E$14)</f>
        <v>9854</v>
      </c>
      <c r="P590" cm="1">
        <f t="array" ref="P590:U590">_xlfn.XLOOKUP(A590&amp;B590,'[1]2.4自动化报表-8月获客数据-非乱码'!$A:$A&amp;'[1]2.4自动化报表-8月获客数据-非乱码'!$B:$B,'[1]2.4自动化报表-8月获客数据-非乱码'!$C:$H)</f>
        <v>4097</v>
      </c>
      <c r="Q590">
        <v>3980</v>
      </c>
      <c r="R590">
        <v>3782</v>
      </c>
      <c r="S590">
        <v>2266</v>
      </c>
      <c r="T590">
        <v>1304</v>
      </c>
      <c r="U590">
        <v>689</v>
      </c>
    </row>
    <row r="591" spans="1:21" x14ac:dyDescent="0.3">
      <c r="A591" s="1">
        <v>44065</v>
      </c>
      <c r="B591" t="s">
        <v>24</v>
      </c>
      <c r="C591" t="s">
        <v>103</v>
      </c>
      <c r="D591" t="s">
        <v>57</v>
      </c>
      <c r="E591" t="s">
        <v>107</v>
      </c>
      <c r="F591" s="2">
        <v>133661</v>
      </c>
      <c r="G591" s="2">
        <v>7924</v>
      </c>
      <c r="H591" s="2">
        <v>14000</v>
      </c>
      <c r="I591" t="str">
        <f>_xlfn.XLOOKUP($C591,战区信息!$A$1:$A$5,战区信息!$B$1:$B$5)</f>
        <v>002</v>
      </c>
      <c r="J591" t="str">
        <f>_xlfn.XLOOKUP($C591,战区信息!$A$1:$A$5,战区信息!$C$1:$C$5)</f>
        <v>高安平</v>
      </c>
      <c r="K591" t="str">
        <f>_xlfn.XLOOKUP($C591,战区信息!$A$1:$A$5,战区信息!$D$1:$D$5)</f>
        <v>二级战区</v>
      </c>
      <c r="L591" t="str">
        <f>_xlfn.XLOOKUP($D591,城市信息!$B$1:$B$14,城市信息!$A$1:$A$14)</f>
        <v>002</v>
      </c>
      <c r="M591" t="str">
        <f>_xlfn.XLOOKUP($D591,城市信息!$B$1:$B$14,城市信息!$C$1:$C$14)</f>
        <v>孙乒</v>
      </c>
      <c r="N591" t="str">
        <f>_xlfn.XLOOKUP($D591,城市信息!$B$1:$B$14,城市信息!$D$1:$D$14)</f>
        <v>一线</v>
      </c>
      <c r="O591">
        <f>_xlfn.XLOOKUP($D591,城市信息!$B$1:$B$14,城市信息!$E$1:$E$14)</f>
        <v>9854</v>
      </c>
      <c r="P591" cm="1">
        <f t="array" ref="P591:U591">_xlfn.XLOOKUP(A591&amp;B591,'[1]2.4自动化报表-8月获客数据-非乱码'!$A:$A&amp;'[1]2.4自动化报表-8月获客数据-非乱码'!$B:$B,'[1]2.4自动化报表-8月获客数据-非乱码'!$C:$H)</f>
        <v>4769</v>
      </c>
      <c r="Q591">
        <v>4672</v>
      </c>
      <c r="R591">
        <v>4468</v>
      </c>
      <c r="S591">
        <v>2745</v>
      </c>
      <c r="T591">
        <v>1595</v>
      </c>
      <c r="U591">
        <v>691</v>
      </c>
    </row>
    <row r="592" spans="1:21" x14ac:dyDescent="0.3">
      <c r="A592" s="1">
        <v>44065</v>
      </c>
      <c r="B592" t="s">
        <v>23</v>
      </c>
      <c r="C592" t="s">
        <v>108</v>
      </c>
      <c r="D592" t="s">
        <v>109</v>
      </c>
      <c r="E592" t="s">
        <v>110</v>
      </c>
      <c r="F592" s="2">
        <v>144183</v>
      </c>
      <c r="G592" s="2">
        <v>8835</v>
      </c>
      <c r="H592">
        <v>0</v>
      </c>
      <c r="I592" t="str">
        <f>_xlfn.XLOOKUP($C592,战区信息!$A$1:$A$5,战区信息!$B$1:$B$5)</f>
        <v>001</v>
      </c>
      <c r="J592" t="str">
        <f>_xlfn.XLOOKUP($C592,战区信息!$A$1:$A$5,战区信息!$C$1:$C$5)</f>
        <v>江永</v>
      </c>
      <c r="K592" t="str">
        <f>_xlfn.XLOOKUP($C592,战区信息!$A$1:$A$5,战区信息!$D$1:$D$5)</f>
        <v>一级战区</v>
      </c>
      <c r="L592" t="str">
        <f>_xlfn.XLOOKUP($D592,城市信息!$B$1:$B$14,城市信息!$A$1:$A$14)</f>
        <v>013</v>
      </c>
      <c r="M592" t="str">
        <f>_xlfn.XLOOKUP($D592,城市信息!$B$1:$B$14,城市信息!$C$1:$C$14)</f>
        <v>张建</v>
      </c>
      <c r="N592" t="str">
        <f>_xlfn.XLOOKUP($D592,城市信息!$B$1:$B$14,城市信息!$D$1:$D$14)</f>
        <v>二线</v>
      </c>
      <c r="O592">
        <f>_xlfn.XLOOKUP($D592,城市信息!$B$1:$B$14,城市信息!$E$1:$E$14)</f>
        <v>8800</v>
      </c>
      <c r="P592" cm="1">
        <f t="array" ref="P592:U592">_xlfn.XLOOKUP(A592&amp;B592,'[1]2.4自动化报表-8月获客数据-非乱码'!$A:$A&amp;'[1]2.4自动化报表-8月获客数据-非乱码'!$B:$B,'[1]2.4自动化报表-8月获客数据-非乱码'!$C:$H)</f>
        <v>6033</v>
      </c>
      <c r="Q592">
        <v>5812</v>
      </c>
      <c r="R592">
        <v>5537</v>
      </c>
      <c r="S592">
        <v>3379</v>
      </c>
      <c r="T592">
        <v>1748</v>
      </c>
      <c r="U592">
        <v>694</v>
      </c>
    </row>
    <row r="593" spans="1:21" x14ac:dyDescent="0.3">
      <c r="A593" s="1">
        <v>44065</v>
      </c>
      <c r="B593" t="s">
        <v>22</v>
      </c>
      <c r="C593" t="s">
        <v>108</v>
      </c>
      <c r="D593" t="s">
        <v>109</v>
      </c>
      <c r="E593" t="s">
        <v>111</v>
      </c>
      <c r="F593" s="2">
        <v>9121</v>
      </c>
      <c r="G593">
        <v>469</v>
      </c>
      <c r="H593">
        <v>0</v>
      </c>
      <c r="I593" t="str">
        <f>_xlfn.XLOOKUP($C593,战区信息!$A$1:$A$5,战区信息!$B$1:$B$5)</f>
        <v>001</v>
      </c>
      <c r="J593" t="str">
        <f>_xlfn.XLOOKUP($C593,战区信息!$A$1:$A$5,战区信息!$C$1:$C$5)</f>
        <v>江永</v>
      </c>
      <c r="K593" t="str">
        <f>_xlfn.XLOOKUP($C593,战区信息!$A$1:$A$5,战区信息!$D$1:$D$5)</f>
        <v>一级战区</v>
      </c>
      <c r="L593" t="str">
        <f>_xlfn.XLOOKUP($D593,城市信息!$B$1:$B$14,城市信息!$A$1:$A$14)</f>
        <v>013</v>
      </c>
      <c r="M593" t="str">
        <f>_xlfn.XLOOKUP($D593,城市信息!$B$1:$B$14,城市信息!$C$1:$C$14)</f>
        <v>张建</v>
      </c>
      <c r="N593" t="str">
        <f>_xlfn.XLOOKUP($D593,城市信息!$B$1:$B$14,城市信息!$D$1:$D$14)</f>
        <v>二线</v>
      </c>
      <c r="O593">
        <f>_xlfn.XLOOKUP($D593,城市信息!$B$1:$B$14,城市信息!$E$1:$E$14)</f>
        <v>8800</v>
      </c>
      <c r="P593" cm="1">
        <f t="array" ref="P593:U593">_xlfn.XLOOKUP(A593&amp;B593,'[1]2.4自动化报表-8月获客数据-非乱码'!$A:$A&amp;'[1]2.4自动化报表-8月获客数据-非乱码'!$B:$B,'[1]2.4自动化报表-8月获客数据-非乱码'!$C:$H)</f>
        <v>179</v>
      </c>
      <c r="Q593">
        <v>176</v>
      </c>
      <c r="R593">
        <v>172</v>
      </c>
      <c r="S593">
        <v>104</v>
      </c>
      <c r="T593">
        <v>76</v>
      </c>
      <c r="U593">
        <v>694</v>
      </c>
    </row>
    <row r="594" spans="1:21" x14ac:dyDescent="0.3">
      <c r="A594" s="1">
        <v>44065</v>
      </c>
      <c r="B594" t="s">
        <v>21</v>
      </c>
      <c r="C594" t="s">
        <v>108</v>
      </c>
      <c r="D594" t="s">
        <v>109</v>
      </c>
      <c r="E594" t="s">
        <v>112</v>
      </c>
      <c r="F594" s="2">
        <v>310860</v>
      </c>
      <c r="G594" s="2">
        <v>21199</v>
      </c>
      <c r="H594">
        <v>752</v>
      </c>
      <c r="I594" t="str">
        <f>_xlfn.XLOOKUP($C594,战区信息!$A$1:$A$5,战区信息!$B$1:$B$5)</f>
        <v>001</v>
      </c>
      <c r="J594" t="str">
        <f>_xlfn.XLOOKUP($C594,战区信息!$A$1:$A$5,战区信息!$C$1:$C$5)</f>
        <v>江永</v>
      </c>
      <c r="K594" t="str">
        <f>_xlfn.XLOOKUP($C594,战区信息!$A$1:$A$5,战区信息!$D$1:$D$5)</f>
        <v>一级战区</v>
      </c>
      <c r="L594" t="str">
        <f>_xlfn.XLOOKUP($D594,城市信息!$B$1:$B$14,城市信息!$A$1:$A$14)</f>
        <v>013</v>
      </c>
      <c r="M594" t="str">
        <f>_xlfn.XLOOKUP($D594,城市信息!$B$1:$B$14,城市信息!$C$1:$C$14)</f>
        <v>张建</v>
      </c>
      <c r="N594" t="str">
        <f>_xlfn.XLOOKUP($D594,城市信息!$B$1:$B$14,城市信息!$D$1:$D$14)</f>
        <v>二线</v>
      </c>
      <c r="O594">
        <f>_xlfn.XLOOKUP($D594,城市信息!$B$1:$B$14,城市信息!$E$1:$E$14)</f>
        <v>8800</v>
      </c>
      <c r="P594" cm="1">
        <f t="array" ref="P594:U594">_xlfn.XLOOKUP(A594&amp;B594,'[1]2.4自动化报表-8月获客数据-非乱码'!$A:$A&amp;'[1]2.4自动化报表-8月获客数据-非乱码'!$B:$B,'[1]2.4自动化报表-8月获客数据-非乱码'!$C:$H)</f>
        <v>6079</v>
      </c>
      <c r="Q594">
        <v>5836</v>
      </c>
      <c r="R594">
        <v>5560</v>
      </c>
      <c r="S594">
        <v>3247</v>
      </c>
      <c r="T594">
        <v>1767</v>
      </c>
      <c r="U594">
        <v>696</v>
      </c>
    </row>
    <row r="595" spans="1:21" x14ac:dyDescent="0.3">
      <c r="A595" s="1">
        <v>44065</v>
      </c>
      <c r="B595" t="s">
        <v>20</v>
      </c>
      <c r="C595" t="s">
        <v>108</v>
      </c>
      <c r="D595" t="s">
        <v>56</v>
      </c>
      <c r="E595" t="s">
        <v>113</v>
      </c>
      <c r="F595" s="2">
        <v>181246</v>
      </c>
      <c r="G595" s="2">
        <v>12955</v>
      </c>
      <c r="H595">
        <v>0</v>
      </c>
      <c r="I595" t="str">
        <f>_xlfn.XLOOKUP($C595,战区信息!$A$1:$A$5,战区信息!$B$1:$B$5)</f>
        <v>001</v>
      </c>
      <c r="J595" t="str">
        <f>_xlfn.XLOOKUP($C595,战区信息!$A$1:$A$5,战区信息!$C$1:$C$5)</f>
        <v>江永</v>
      </c>
      <c r="K595" t="str">
        <f>_xlfn.XLOOKUP($C595,战区信息!$A$1:$A$5,战区信息!$D$1:$D$5)</f>
        <v>一级战区</v>
      </c>
      <c r="L595" t="str">
        <f>_xlfn.XLOOKUP($D595,城市信息!$B$1:$B$14,城市信息!$A$1:$A$14)</f>
        <v>001</v>
      </c>
      <c r="M595" t="str">
        <f>_xlfn.XLOOKUP($D595,城市信息!$B$1:$B$14,城市信息!$C$1:$C$14)</f>
        <v>吴刚</v>
      </c>
      <c r="N595" t="str">
        <f>_xlfn.XLOOKUP($D595,城市信息!$B$1:$B$14,城市信息!$D$1:$D$14)</f>
        <v>一线</v>
      </c>
      <c r="O595">
        <f>_xlfn.XLOOKUP($D595,城市信息!$B$1:$B$14,城市信息!$E$1:$E$14)</f>
        <v>12114</v>
      </c>
      <c r="P595" cm="1">
        <f t="array" ref="P595:U595">_xlfn.XLOOKUP(A595&amp;B595,'[1]2.4自动化报表-8月获客数据-非乱码'!$A:$A&amp;'[1]2.4自动化报表-8月获客数据-非乱码'!$B:$B,'[1]2.4自动化报表-8月获客数据-非乱码'!$C:$H)</f>
        <v>5142</v>
      </c>
      <c r="Q595">
        <v>4962</v>
      </c>
      <c r="R595">
        <v>4756</v>
      </c>
      <c r="S595">
        <v>2860</v>
      </c>
      <c r="T595">
        <v>1612</v>
      </c>
      <c r="U595">
        <v>695</v>
      </c>
    </row>
    <row r="596" spans="1:21" x14ac:dyDescent="0.3">
      <c r="A596" s="1">
        <v>44065</v>
      </c>
      <c r="B596" t="s">
        <v>19</v>
      </c>
      <c r="C596" t="s">
        <v>108</v>
      </c>
      <c r="D596" t="s">
        <v>56</v>
      </c>
      <c r="E596" t="s">
        <v>114</v>
      </c>
      <c r="F596" s="2">
        <v>126588</v>
      </c>
      <c r="G596" s="2">
        <v>8809</v>
      </c>
      <c r="H596">
        <v>426</v>
      </c>
      <c r="I596" t="str">
        <f>_xlfn.XLOOKUP($C596,战区信息!$A$1:$A$5,战区信息!$B$1:$B$5)</f>
        <v>001</v>
      </c>
      <c r="J596" t="str">
        <f>_xlfn.XLOOKUP($C596,战区信息!$A$1:$A$5,战区信息!$C$1:$C$5)</f>
        <v>江永</v>
      </c>
      <c r="K596" t="str">
        <f>_xlfn.XLOOKUP($C596,战区信息!$A$1:$A$5,战区信息!$D$1:$D$5)</f>
        <v>一级战区</v>
      </c>
      <c r="L596" t="str">
        <f>_xlfn.XLOOKUP($D596,城市信息!$B$1:$B$14,城市信息!$A$1:$A$14)</f>
        <v>001</v>
      </c>
      <c r="M596" t="str">
        <f>_xlfn.XLOOKUP($D596,城市信息!$B$1:$B$14,城市信息!$C$1:$C$14)</f>
        <v>吴刚</v>
      </c>
      <c r="N596" t="str">
        <f>_xlfn.XLOOKUP($D596,城市信息!$B$1:$B$14,城市信息!$D$1:$D$14)</f>
        <v>一线</v>
      </c>
      <c r="O596">
        <f>_xlfn.XLOOKUP($D596,城市信息!$B$1:$B$14,城市信息!$E$1:$E$14)</f>
        <v>12114</v>
      </c>
      <c r="P596" cm="1">
        <f t="array" ref="P596:U596">_xlfn.XLOOKUP(A596&amp;B596,'[1]2.4自动化报表-8月获客数据-非乱码'!$A:$A&amp;'[1]2.4自动化报表-8月获客数据-非乱码'!$B:$B,'[1]2.4自动化报表-8月获客数据-非乱码'!$C:$H)</f>
        <v>3281</v>
      </c>
      <c r="Q596">
        <v>3198</v>
      </c>
      <c r="R596">
        <v>3076</v>
      </c>
      <c r="S596">
        <v>1800</v>
      </c>
      <c r="T596">
        <v>1083</v>
      </c>
      <c r="U596">
        <v>696</v>
      </c>
    </row>
    <row r="597" spans="1:21" x14ac:dyDescent="0.3">
      <c r="A597" s="1">
        <v>44065</v>
      </c>
      <c r="B597" t="s">
        <v>18</v>
      </c>
      <c r="C597" t="s">
        <v>108</v>
      </c>
      <c r="D597" t="s">
        <v>56</v>
      </c>
      <c r="E597" t="s">
        <v>115</v>
      </c>
      <c r="F597" s="2">
        <v>81453</v>
      </c>
      <c r="G597" s="2">
        <v>4162</v>
      </c>
      <c r="H597">
        <v>0</v>
      </c>
      <c r="I597" t="str">
        <f>_xlfn.XLOOKUP($C597,战区信息!$A$1:$A$5,战区信息!$B$1:$B$5)</f>
        <v>001</v>
      </c>
      <c r="J597" t="str">
        <f>_xlfn.XLOOKUP($C597,战区信息!$A$1:$A$5,战区信息!$C$1:$C$5)</f>
        <v>江永</v>
      </c>
      <c r="K597" t="str">
        <f>_xlfn.XLOOKUP($C597,战区信息!$A$1:$A$5,战区信息!$D$1:$D$5)</f>
        <v>一级战区</v>
      </c>
      <c r="L597" t="str">
        <f>_xlfn.XLOOKUP($D597,城市信息!$B$1:$B$14,城市信息!$A$1:$A$14)</f>
        <v>001</v>
      </c>
      <c r="M597" t="str">
        <f>_xlfn.XLOOKUP($D597,城市信息!$B$1:$B$14,城市信息!$C$1:$C$14)</f>
        <v>吴刚</v>
      </c>
      <c r="N597" t="str">
        <f>_xlfn.XLOOKUP($D597,城市信息!$B$1:$B$14,城市信息!$D$1:$D$14)</f>
        <v>一线</v>
      </c>
      <c r="O597">
        <f>_xlfn.XLOOKUP($D597,城市信息!$B$1:$B$14,城市信息!$E$1:$E$14)</f>
        <v>12114</v>
      </c>
      <c r="P597" cm="1">
        <f t="array" ref="P597:U597">_xlfn.XLOOKUP(A597&amp;B597,'[1]2.4自动化报表-8月获客数据-非乱码'!$A:$A&amp;'[1]2.4自动化报表-8月获客数据-非乱码'!$B:$B,'[1]2.4自动化报表-8月获客数据-非乱码'!$C:$H)</f>
        <v>1983</v>
      </c>
      <c r="Q597">
        <v>1948</v>
      </c>
      <c r="R597">
        <v>1872</v>
      </c>
      <c r="S597">
        <v>1134</v>
      </c>
      <c r="T597">
        <v>599</v>
      </c>
      <c r="U597">
        <v>689</v>
      </c>
    </row>
    <row r="598" spans="1:21" x14ac:dyDescent="0.3">
      <c r="A598" s="1">
        <v>44065</v>
      </c>
      <c r="B598" t="s">
        <v>17</v>
      </c>
      <c r="C598" t="s">
        <v>108</v>
      </c>
      <c r="D598" t="s">
        <v>59</v>
      </c>
      <c r="E598" t="s">
        <v>116</v>
      </c>
      <c r="F598" s="2">
        <v>103304</v>
      </c>
      <c r="G598" s="2">
        <v>9194</v>
      </c>
      <c r="H598">
        <v>0</v>
      </c>
      <c r="I598" t="str">
        <f>_xlfn.XLOOKUP($C598,战区信息!$A$1:$A$5,战区信息!$B$1:$B$5)</f>
        <v>001</v>
      </c>
      <c r="J598" t="str">
        <f>_xlfn.XLOOKUP($C598,战区信息!$A$1:$A$5,战区信息!$C$1:$C$5)</f>
        <v>江永</v>
      </c>
      <c r="K598" t="str">
        <f>_xlfn.XLOOKUP($C598,战区信息!$A$1:$A$5,战区信息!$D$1:$D$5)</f>
        <v>一级战区</v>
      </c>
      <c r="L598" t="str">
        <f>_xlfn.XLOOKUP($D598,城市信息!$B$1:$B$14,城市信息!$A$1:$A$14)</f>
        <v>004</v>
      </c>
      <c r="M598" t="str">
        <f>_xlfn.XLOOKUP($D598,城市信息!$B$1:$B$14,城市信息!$C$1:$C$14)</f>
        <v>苏川</v>
      </c>
      <c r="N598" t="str">
        <f>_xlfn.XLOOKUP($D598,城市信息!$B$1:$B$14,城市信息!$D$1:$D$14)</f>
        <v>二线</v>
      </c>
      <c r="O598">
        <f>_xlfn.XLOOKUP($D598,城市信息!$B$1:$B$14,城市信息!$E$1:$E$14)</f>
        <v>9912</v>
      </c>
      <c r="P598" cm="1">
        <f t="array" ref="P598:U598">_xlfn.XLOOKUP(A598&amp;B598,'[1]2.4自动化报表-8月获客数据-非乱码'!$A:$A&amp;'[1]2.4自动化报表-8月获客数据-非乱码'!$B:$B,'[1]2.4自动化报表-8月获客数据-非乱码'!$C:$H)</f>
        <v>3071</v>
      </c>
      <c r="Q598">
        <v>3008</v>
      </c>
      <c r="R598">
        <v>2915</v>
      </c>
      <c r="S598">
        <v>1674</v>
      </c>
      <c r="T598">
        <v>966</v>
      </c>
      <c r="U598">
        <v>696</v>
      </c>
    </row>
    <row r="599" spans="1:21" x14ac:dyDescent="0.3">
      <c r="A599" s="1">
        <v>44065</v>
      </c>
      <c r="B599" t="s">
        <v>16</v>
      </c>
      <c r="C599" t="s">
        <v>108</v>
      </c>
      <c r="D599" t="s">
        <v>59</v>
      </c>
      <c r="E599" t="s">
        <v>117</v>
      </c>
      <c r="F599" s="2">
        <v>59020</v>
      </c>
      <c r="G599" s="2">
        <v>3596</v>
      </c>
      <c r="H599">
        <v>0</v>
      </c>
      <c r="I599" t="str">
        <f>_xlfn.XLOOKUP($C599,战区信息!$A$1:$A$5,战区信息!$B$1:$B$5)</f>
        <v>001</v>
      </c>
      <c r="J599" t="str">
        <f>_xlfn.XLOOKUP($C599,战区信息!$A$1:$A$5,战区信息!$C$1:$C$5)</f>
        <v>江永</v>
      </c>
      <c r="K599" t="str">
        <f>_xlfn.XLOOKUP($C599,战区信息!$A$1:$A$5,战区信息!$D$1:$D$5)</f>
        <v>一级战区</v>
      </c>
      <c r="L599" t="str">
        <f>_xlfn.XLOOKUP($D599,城市信息!$B$1:$B$14,城市信息!$A$1:$A$14)</f>
        <v>004</v>
      </c>
      <c r="M599" t="str">
        <f>_xlfn.XLOOKUP($D599,城市信息!$B$1:$B$14,城市信息!$C$1:$C$14)</f>
        <v>苏川</v>
      </c>
      <c r="N599" t="str">
        <f>_xlfn.XLOOKUP($D599,城市信息!$B$1:$B$14,城市信息!$D$1:$D$14)</f>
        <v>二线</v>
      </c>
      <c r="O599">
        <f>_xlfn.XLOOKUP($D599,城市信息!$B$1:$B$14,城市信息!$E$1:$E$14)</f>
        <v>9912</v>
      </c>
      <c r="P599" cm="1">
        <f t="array" ref="P599:U599">_xlfn.XLOOKUP(A599&amp;B599,'[1]2.4自动化报表-8月获客数据-非乱码'!$A:$A&amp;'[1]2.4自动化报表-8月获客数据-非乱码'!$B:$B,'[1]2.4自动化报表-8月获客数据-非乱码'!$C:$H)</f>
        <v>2105</v>
      </c>
      <c r="Q599">
        <v>2042</v>
      </c>
      <c r="R599">
        <v>1946</v>
      </c>
      <c r="S599">
        <v>1120</v>
      </c>
      <c r="T599">
        <v>651</v>
      </c>
      <c r="U599">
        <v>696</v>
      </c>
    </row>
    <row r="600" spans="1:21" x14ac:dyDescent="0.3">
      <c r="A600" s="1">
        <v>44065</v>
      </c>
      <c r="B600" t="s">
        <v>15</v>
      </c>
      <c r="C600" t="s">
        <v>108</v>
      </c>
      <c r="D600" t="s">
        <v>59</v>
      </c>
      <c r="E600" t="s">
        <v>118</v>
      </c>
      <c r="F600" s="2">
        <v>55511</v>
      </c>
      <c r="G600" s="2">
        <v>4417</v>
      </c>
      <c r="H600">
        <v>0</v>
      </c>
      <c r="I600" t="str">
        <f>_xlfn.XLOOKUP($C600,战区信息!$A$1:$A$5,战区信息!$B$1:$B$5)</f>
        <v>001</v>
      </c>
      <c r="J600" t="str">
        <f>_xlfn.XLOOKUP($C600,战区信息!$A$1:$A$5,战区信息!$C$1:$C$5)</f>
        <v>江永</v>
      </c>
      <c r="K600" t="str">
        <f>_xlfn.XLOOKUP($C600,战区信息!$A$1:$A$5,战区信息!$D$1:$D$5)</f>
        <v>一级战区</v>
      </c>
      <c r="L600" t="str">
        <f>_xlfn.XLOOKUP($D600,城市信息!$B$1:$B$14,城市信息!$A$1:$A$14)</f>
        <v>004</v>
      </c>
      <c r="M600" t="str">
        <f>_xlfn.XLOOKUP($D600,城市信息!$B$1:$B$14,城市信息!$C$1:$C$14)</f>
        <v>苏川</v>
      </c>
      <c r="N600" t="str">
        <f>_xlfn.XLOOKUP($D600,城市信息!$B$1:$B$14,城市信息!$D$1:$D$14)</f>
        <v>二线</v>
      </c>
      <c r="O600">
        <f>_xlfn.XLOOKUP($D600,城市信息!$B$1:$B$14,城市信息!$E$1:$E$14)</f>
        <v>9912</v>
      </c>
      <c r="P600" cm="1">
        <f t="array" ref="P600:U600">_xlfn.XLOOKUP(A600&amp;B600,'[1]2.4自动化报表-8月获客数据-非乱码'!$A:$A&amp;'[1]2.4自动化报表-8月获客数据-非乱码'!$B:$B,'[1]2.4自动化报表-8月获客数据-非乱码'!$C:$H)</f>
        <v>2869</v>
      </c>
      <c r="Q600">
        <v>2815</v>
      </c>
      <c r="R600">
        <v>2713</v>
      </c>
      <c r="S600">
        <v>1648</v>
      </c>
      <c r="T600">
        <v>829</v>
      </c>
      <c r="U600">
        <v>698</v>
      </c>
    </row>
    <row r="601" spans="1:21" x14ac:dyDescent="0.3">
      <c r="A601" s="1">
        <v>44065</v>
      </c>
      <c r="B601" t="s">
        <v>14</v>
      </c>
      <c r="C601" t="s">
        <v>108</v>
      </c>
      <c r="D601" t="s">
        <v>59</v>
      </c>
      <c r="E601" t="s">
        <v>119</v>
      </c>
      <c r="F601" s="2">
        <v>184216</v>
      </c>
      <c r="G601" s="2">
        <v>10331</v>
      </c>
      <c r="H601">
        <v>0</v>
      </c>
      <c r="I601" t="str">
        <f>_xlfn.XLOOKUP($C601,战区信息!$A$1:$A$5,战区信息!$B$1:$B$5)</f>
        <v>001</v>
      </c>
      <c r="J601" t="str">
        <f>_xlfn.XLOOKUP($C601,战区信息!$A$1:$A$5,战区信息!$C$1:$C$5)</f>
        <v>江永</v>
      </c>
      <c r="K601" t="str">
        <f>_xlfn.XLOOKUP($C601,战区信息!$A$1:$A$5,战区信息!$D$1:$D$5)</f>
        <v>一级战区</v>
      </c>
      <c r="L601" t="str">
        <f>_xlfn.XLOOKUP($D601,城市信息!$B$1:$B$14,城市信息!$A$1:$A$14)</f>
        <v>004</v>
      </c>
      <c r="M601" t="str">
        <f>_xlfn.XLOOKUP($D601,城市信息!$B$1:$B$14,城市信息!$C$1:$C$14)</f>
        <v>苏川</v>
      </c>
      <c r="N601" t="str">
        <f>_xlfn.XLOOKUP($D601,城市信息!$B$1:$B$14,城市信息!$D$1:$D$14)</f>
        <v>二线</v>
      </c>
      <c r="O601">
        <f>_xlfn.XLOOKUP($D601,城市信息!$B$1:$B$14,城市信息!$E$1:$E$14)</f>
        <v>9912</v>
      </c>
      <c r="P601" cm="1">
        <f t="array" ref="P601:U601">_xlfn.XLOOKUP(A601&amp;B601,'[1]2.4自动化报表-8月获客数据-非乱码'!$A:$A&amp;'[1]2.4自动化报表-8月获客数据-非乱码'!$B:$B,'[1]2.4自动化报表-8月获客数据-非乱码'!$C:$H)</f>
        <v>2451</v>
      </c>
      <c r="Q601">
        <v>2373</v>
      </c>
      <c r="R601">
        <v>2267</v>
      </c>
      <c r="S601">
        <v>1428</v>
      </c>
      <c r="T601">
        <v>706</v>
      </c>
      <c r="U601">
        <v>699</v>
      </c>
    </row>
    <row r="602" spans="1:21" x14ac:dyDescent="0.3">
      <c r="A602" s="1">
        <v>44065</v>
      </c>
      <c r="B602" t="s">
        <v>13</v>
      </c>
      <c r="C602" t="s">
        <v>108</v>
      </c>
      <c r="D602" t="s">
        <v>60</v>
      </c>
      <c r="E602" t="s">
        <v>120</v>
      </c>
      <c r="F602" s="2">
        <v>361132</v>
      </c>
      <c r="G602" s="2">
        <v>20130</v>
      </c>
      <c r="H602" s="2">
        <v>16720</v>
      </c>
      <c r="I602" t="str">
        <f>_xlfn.XLOOKUP($C602,战区信息!$A$1:$A$5,战区信息!$B$1:$B$5)</f>
        <v>001</v>
      </c>
      <c r="J602" t="str">
        <f>_xlfn.XLOOKUP($C602,战区信息!$A$1:$A$5,战区信息!$C$1:$C$5)</f>
        <v>江永</v>
      </c>
      <c r="K602" t="str">
        <f>_xlfn.XLOOKUP($C602,战区信息!$A$1:$A$5,战区信息!$D$1:$D$5)</f>
        <v>一级战区</v>
      </c>
      <c r="L602" t="str">
        <f>_xlfn.XLOOKUP($D602,城市信息!$B$1:$B$14,城市信息!$A$1:$A$14)</f>
        <v>005</v>
      </c>
      <c r="M602" t="str">
        <f>_xlfn.XLOOKUP($D602,城市信息!$B$1:$B$14,城市信息!$C$1:$C$14)</f>
        <v>侯阳冰</v>
      </c>
      <c r="N602" t="str">
        <f>_xlfn.XLOOKUP($D602,城市信息!$B$1:$B$14,城市信息!$D$1:$D$14)</f>
        <v>二线</v>
      </c>
      <c r="O602">
        <f>_xlfn.XLOOKUP($D602,城市信息!$B$1:$B$14,城市信息!$E$1:$E$14)</f>
        <v>8694</v>
      </c>
      <c r="P602" cm="1">
        <f t="array" ref="P602:U602">_xlfn.XLOOKUP(A602&amp;B602,'[1]2.4自动化报表-8月获客数据-非乱码'!$A:$A&amp;'[1]2.4自动化报表-8月获客数据-非乱码'!$B:$B,'[1]2.4自动化报表-8月获客数据-非乱码'!$C:$H)</f>
        <v>6233</v>
      </c>
      <c r="Q602">
        <v>6075</v>
      </c>
      <c r="R602">
        <v>5786</v>
      </c>
      <c r="S602">
        <v>3616</v>
      </c>
      <c r="T602">
        <v>1752</v>
      </c>
      <c r="U602">
        <v>696</v>
      </c>
    </row>
    <row r="603" spans="1:21" x14ac:dyDescent="0.3">
      <c r="A603" s="1">
        <v>44065</v>
      </c>
      <c r="B603" t="s">
        <v>12</v>
      </c>
      <c r="C603" t="s">
        <v>108</v>
      </c>
      <c r="D603" t="s">
        <v>60</v>
      </c>
      <c r="E603" t="s">
        <v>121</v>
      </c>
      <c r="F603" s="2">
        <v>108898</v>
      </c>
      <c r="G603" s="2">
        <v>11184</v>
      </c>
      <c r="H603" s="2">
        <v>33939</v>
      </c>
      <c r="I603" t="str">
        <f>_xlfn.XLOOKUP($C603,战区信息!$A$1:$A$5,战区信息!$B$1:$B$5)</f>
        <v>001</v>
      </c>
      <c r="J603" t="str">
        <f>_xlfn.XLOOKUP($C603,战区信息!$A$1:$A$5,战区信息!$C$1:$C$5)</f>
        <v>江永</v>
      </c>
      <c r="K603" t="str">
        <f>_xlfn.XLOOKUP($C603,战区信息!$A$1:$A$5,战区信息!$D$1:$D$5)</f>
        <v>一级战区</v>
      </c>
      <c r="L603" t="str">
        <f>_xlfn.XLOOKUP($D603,城市信息!$B$1:$B$14,城市信息!$A$1:$A$14)</f>
        <v>005</v>
      </c>
      <c r="M603" t="str">
        <f>_xlfn.XLOOKUP($D603,城市信息!$B$1:$B$14,城市信息!$C$1:$C$14)</f>
        <v>侯阳冰</v>
      </c>
      <c r="N603" t="str">
        <f>_xlfn.XLOOKUP($D603,城市信息!$B$1:$B$14,城市信息!$D$1:$D$14)</f>
        <v>二线</v>
      </c>
      <c r="O603">
        <f>_xlfn.XLOOKUP($D603,城市信息!$B$1:$B$14,城市信息!$E$1:$E$14)</f>
        <v>8694</v>
      </c>
      <c r="P603" cm="1">
        <f t="array" ref="P603:U603">_xlfn.XLOOKUP(A603&amp;B603,'[1]2.4自动化报表-8月获客数据-非乱码'!$A:$A&amp;'[1]2.4自动化报表-8月获客数据-非乱码'!$B:$B,'[1]2.4自动化报表-8月获客数据-非乱码'!$C:$H)</f>
        <v>1209</v>
      </c>
      <c r="Q603">
        <v>1193</v>
      </c>
      <c r="R603">
        <v>1135</v>
      </c>
      <c r="S603">
        <v>724</v>
      </c>
      <c r="T603">
        <v>372</v>
      </c>
      <c r="U603">
        <v>697</v>
      </c>
    </row>
    <row r="604" spans="1:21" x14ac:dyDescent="0.3">
      <c r="A604" s="1">
        <v>44065</v>
      </c>
      <c r="B604" t="s">
        <v>11</v>
      </c>
      <c r="C604" t="s">
        <v>108</v>
      </c>
      <c r="D604" t="s">
        <v>58</v>
      </c>
      <c r="E604" t="s">
        <v>122</v>
      </c>
      <c r="F604" s="2">
        <v>283592</v>
      </c>
      <c r="G604" s="2">
        <v>15106</v>
      </c>
      <c r="H604">
        <v>0</v>
      </c>
      <c r="I604" t="str">
        <f>_xlfn.XLOOKUP($C604,战区信息!$A$1:$A$5,战区信息!$B$1:$B$5)</f>
        <v>001</v>
      </c>
      <c r="J604" t="str">
        <f>_xlfn.XLOOKUP($C604,战区信息!$A$1:$A$5,战区信息!$C$1:$C$5)</f>
        <v>江永</v>
      </c>
      <c r="K604" t="str">
        <f>_xlfn.XLOOKUP($C604,战区信息!$A$1:$A$5,战区信息!$D$1:$D$5)</f>
        <v>一级战区</v>
      </c>
      <c r="L604" t="str">
        <f>_xlfn.XLOOKUP($D604,城市信息!$B$1:$B$14,城市信息!$A$1:$A$14)</f>
        <v>003</v>
      </c>
      <c r="M604" t="str">
        <f>_xlfn.XLOOKUP($D604,城市信息!$B$1:$B$14,城市信息!$C$1:$C$14)</f>
        <v>杜光亮</v>
      </c>
      <c r="N604" t="str">
        <f>_xlfn.XLOOKUP($D604,城市信息!$B$1:$B$14,城市信息!$D$1:$D$14)</f>
        <v>二线</v>
      </c>
      <c r="O604">
        <f>_xlfn.XLOOKUP($D604,城市信息!$B$1:$B$14,城市信息!$E$1:$E$14)</f>
        <v>10499</v>
      </c>
      <c r="P604" cm="1">
        <f t="array" ref="P604:U604">_xlfn.XLOOKUP(A604&amp;B604,'[1]2.4自动化报表-8月获客数据-非乱码'!$A:$A&amp;'[1]2.4自动化报表-8月获客数据-非乱码'!$B:$B,'[1]2.4自动化报表-8月获客数据-非乱码'!$C:$H)</f>
        <v>6742</v>
      </c>
      <c r="Q604">
        <v>6482</v>
      </c>
      <c r="R604">
        <v>6142</v>
      </c>
      <c r="S604">
        <v>3799</v>
      </c>
      <c r="T604">
        <v>1789</v>
      </c>
      <c r="U604">
        <v>702</v>
      </c>
    </row>
    <row r="605" spans="1:21" x14ac:dyDescent="0.3">
      <c r="A605" s="1">
        <v>44065</v>
      </c>
      <c r="B605" t="s">
        <v>10</v>
      </c>
      <c r="C605" t="s">
        <v>108</v>
      </c>
      <c r="D605" t="s">
        <v>58</v>
      </c>
      <c r="E605" t="s">
        <v>123</v>
      </c>
      <c r="F605" s="2">
        <v>112727</v>
      </c>
      <c r="G605" s="2">
        <v>6790</v>
      </c>
      <c r="H605">
        <v>322</v>
      </c>
      <c r="I605" t="str">
        <f>_xlfn.XLOOKUP($C605,战区信息!$A$1:$A$5,战区信息!$B$1:$B$5)</f>
        <v>001</v>
      </c>
      <c r="J605" t="str">
        <f>_xlfn.XLOOKUP($C605,战区信息!$A$1:$A$5,战区信息!$C$1:$C$5)</f>
        <v>江永</v>
      </c>
      <c r="K605" t="str">
        <f>_xlfn.XLOOKUP($C605,战区信息!$A$1:$A$5,战区信息!$D$1:$D$5)</f>
        <v>一级战区</v>
      </c>
      <c r="L605" t="str">
        <f>_xlfn.XLOOKUP($D605,城市信息!$B$1:$B$14,城市信息!$A$1:$A$14)</f>
        <v>003</v>
      </c>
      <c r="M605" t="str">
        <f>_xlfn.XLOOKUP($D605,城市信息!$B$1:$B$14,城市信息!$C$1:$C$14)</f>
        <v>杜光亮</v>
      </c>
      <c r="N605" t="str">
        <f>_xlfn.XLOOKUP($D605,城市信息!$B$1:$B$14,城市信息!$D$1:$D$14)</f>
        <v>二线</v>
      </c>
      <c r="O605">
        <f>_xlfn.XLOOKUP($D605,城市信息!$B$1:$B$14,城市信息!$E$1:$E$14)</f>
        <v>10499</v>
      </c>
      <c r="P605" cm="1">
        <f t="array" ref="P605:U605">_xlfn.XLOOKUP(A605&amp;B605,'[1]2.4自动化报表-8月获客数据-非乱码'!$A:$A&amp;'[1]2.4自动化报表-8月获客数据-非乱码'!$B:$B,'[1]2.4自动化报表-8月获客数据-非乱码'!$C:$H)</f>
        <v>1773</v>
      </c>
      <c r="Q605">
        <v>1738</v>
      </c>
      <c r="R605">
        <v>1690</v>
      </c>
      <c r="S605">
        <v>1017</v>
      </c>
      <c r="T605">
        <v>614</v>
      </c>
      <c r="U605">
        <v>701</v>
      </c>
    </row>
    <row r="606" spans="1:21" x14ac:dyDescent="0.3">
      <c r="A606" s="1">
        <v>44065</v>
      </c>
      <c r="B606" t="s">
        <v>9</v>
      </c>
      <c r="C606" t="s">
        <v>108</v>
      </c>
      <c r="D606" t="s">
        <v>58</v>
      </c>
      <c r="E606" t="s">
        <v>124</v>
      </c>
      <c r="F606" s="2">
        <v>116114</v>
      </c>
      <c r="G606" s="2">
        <v>6969</v>
      </c>
      <c r="H606" s="2">
        <v>4894</v>
      </c>
      <c r="I606" t="str">
        <f>_xlfn.XLOOKUP($C606,战区信息!$A$1:$A$5,战区信息!$B$1:$B$5)</f>
        <v>001</v>
      </c>
      <c r="J606" t="str">
        <f>_xlfn.XLOOKUP($C606,战区信息!$A$1:$A$5,战区信息!$C$1:$C$5)</f>
        <v>江永</v>
      </c>
      <c r="K606" t="str">
        <f>_xlfn.XLOOKUP($C606,战区信息!$A$1:$A$5,战区信息!$D$1:$D$5)</f>
        <v>一级战区</v>
      </c>
      <c r="L606" t="str">
        <f>_xlfn.XLOOKUP($D606,城市信息!$B$1:$B$14,城市信息!$A$1:$A$14)</f>
        <v>003</v>
      </c>
      <c r="M606" t="str">
        <f>_xlfn.XLOOKUP($D606,城市信息!$B$1:$B$14,城市信息!$C$1:$C$14)</f>
        <v>杜光亮</v>
      </c>
      <c r="N606" t="str">
        <f>_xlfn.XLOOKUP($D606,城市信息!$B$1:$B$14,城市信息!$D$1:$D$14)</f>
        <v>二线</v>
      </c>
      <c r="O606">
        <f>_xlfn.XLOOKUP($D606,城市信息!$B$1:$B$14,城市信息!$E$1:$E$14)</f>
        <v>10499</v>
      </c>
      <c r="P606" cm="1">
        <f t="array" ref="P606:U606">_xlfn.XLOOKUP(A606&amp;B606,'[1]2.4自动化报表-8月获客数据-非乱码'!$A:$A&amp;'[1]2.4自动化报表-8月获客数据-非乱码'!$B:$B,'[1]2.4自动化报表-8月获客数据-非乱码'!$C:$H)</f>
        <v>4490</v>
      </c>
      <c r="Q606">
        <v>4371</v>
      </c>
      <c r="R606">
        <v>4218</v>
      </c>
      <c r="S606">
        <v>2378</v>
      </c>
      <c r="T606">
        <v>1333</v>
      </c>
      <c r="U606">
        <v>694</v>
      </c>
    </row>
    <row r="607" spans="1:21" x14ac:dyDescent="0.3">
      <c r="A607" s="1">
        <v>44065</v>
      </c>
      <c r="B607" t="s">
        <v>8</v>
      </c>
      <c r="C607" t="s">
        <v>125</v>
      </c>
      <c r="D607" t="s">
        <v>66</v>
      </c>
      <c r="E607" t="s">
        <v>126</v>
      </c>
      <c r="F607" s="2">
        <v>57639</v>
      </c>
      <c r="G607" s="2">
        <v>2867</v>
      </c>
      <c r="H607">
        <v>0</v>
      </c>
      <c r="I607" t="str">
        <f>_xlfn.XLOOKUP($C607,战区信息!$A$1:$A$5,战区信息!$B$1:$B$5)</f>
        <v>004</v>
      </c>
      <c r="J607" t="str">
        <f>_xlfn.XLOOKUP($C607,战区信息!$A$1:$A$5,战区信息!$C$1:$C$5)</f>
        <v>沈乐欣</v>
      </c>
      <c r="K607" t="str">
        <f>_xlfn.XLOOKUP($C607,战区信息!$A$1:$A$5,战区信息!$D$1:$D$5)</f>
        <v>三级战区</v>
      </c>
      <c r="L607" t="str">
        <f>_xlfn.XLOOKUP($D607,城市信息!$B$1:$B$14,城市信息!$A$1:$A$14)</f>
        <v>011</v>
      </c>
      <c r="M607" t="str">
        <f>_xlfn.XLOOKUP($D607,城市信息!$B$1:$B$14,城市信息!$C$1:$C$14)</f>
        <v>冯谦</v>
      </c>
      <c r="N607" t="str">
        <f>_xlfn.XLOOKUP($D607,城市信息!$B$1:$B$14,城市信息!$D$1:$D$14)</f>
        <v>一线</v>
      </c>
      <c r="O607">
        <f>_xlfn.XLOOKUP($D607,城市信息!$B$1:$B$14,城市信息!$E$1:$E$14)</f>
        <v>8244</v>
      </c>
      <c r="P607" cm="1">
        <f t="array" ref="P607:U607">_xlfn.XLOOKUP(A607&amp;B607,'[1]2.4自动化报表-8月获客数据-非乱码'!$A:$A&amp;'[1]2.4自动化报表-8月获客数据-非乱码'!$B:$B,'[1]2.4自动化报表-8月获客数据-非乱码'!$C:$H)</f>
        <v>1533</v>
      </c>
      <c r="Q607">
        <v>1519</v>
      </c>
      <c r="R607">
        <v>1471</v>
      </c>
      <c r="S607">
        <v>833</v>
      </c>
      <c r="T607">
        <v>526</v>
      </c>
      <c r="U607">
        <v>686</v>
      </c>
    </row>
    <row r="608" spans="1:21" x14ac:dyDescent="0.3">
      <c r="A608" s="1">
        <v>44065</v>
      </c>
      <c r="B608" t="s">
        <v>7</v>
      </c>
      <c r="C608" t="s">
        <v>125</v>
      </c>
      <c r="D608" t="s">
        <v>62</v>
      </c>
      <c r="E608" t="s">
        <v>127</v>
      </c>
      <c r="F608" s="2">
        <v>23001</v>
      </c>
      <c r="G608">
        <v>918</v>
      </c>
      <c r="H608">
        <v>0</v>
      </c>
      <c r="I608" t="str">
        <f>_xlfn.XLOOKUP($C608,战区信息!$A$1:$A$5,战区信息!$B$1:$B$5)</f>
        <v>004</v>
      </c>
      <c r="J608" t="str">
        <f>_xlfn.XLOOKUP($C608,战区信息!$A$1:$A$5,战区信息!$C$1:$C$5)</f>
        <v>沈乐欣</v>
      </c>
      <c r="K608" t="str">
        <f>_xlfn.XLOOKUP($C608,战区信息!$A$1:$A$5,战区信息!$D$1:$D$5)</f>
        <v>三级战区</v>
      </c>
      <c r="L608" t="str">
        <f>_xlfn.XLOOKUP($D608,城市信息!$B$1:$B$14,城市信息!$A$1:$A$14)</f>
        <v>007</v>
      </c>
      <c r="M608" t="str">
        <f>_xlfn.XLOOKUP($D608,城市信息!$B$1:$B$14,城市信息!$C$1:$C$14)</f>
        <v>范俊发</v>
      </c>
      <c r="N608" t="str">
        <f>_xlfn.XLOOKUP($D608,城市信息!$B$1:$B$14,城市信息!$D$1:$D$14)</f>
        <v>一线</v>
      </c>
      <c r="O608">
        <f>_xlfn.XLOOKUP($D608,城市信息!$B$1:$B$14,城市信息!$E$1:$E$14)</f>
        <v>12358</v>
      </c>
      <c r="P608" cm="1">
        <f t="array" ref="P608:U608">_xlfn.XLOOKUP(A608&amp;B608,'[1]2.4自动化报表-8月获客数据-非乱码'!$A:$A&amp;'[1]2.4自动化报表-8月获客数据-非乱码'!$B:$B,'[1]2.4自动化报表-8月获客数据-非乱码'!$C:$H)</f>
        <v>95</v>
      </c>
      <c r="Q608">
        <v>91</v>
      </c>
      <c r="R608">
        <v>85</v>
      </c>
      <c r="S608">
        <v>45</v>
      </c>
      <c r="T608">
        <v>25</v>
      </c>
      <c r="U608">
        <v>686</v>
      </c>
    </row>
    <row r="609" spans="1:21" x14ac:dyDescent="0.3">
      <c r="A609" s="1">
        <v>44065</v>
      </c>
      <c r="B609" t="s">
        <v>6</v>
      </c>
      <c r="C609" t="s">
        <v>125</v>
      </c>
      <c r="D609" t="s">
        <v>62</v>
      </c>
      <c r="E609" t="s">
        <v>128</v>
      </c>
      <c r="F609" s="2">
        <v>42702</v>
      </c>
      <c r="G609" s="2">
        <v>2448</v>
      </c>
      <c r="H609">
        <v>0</v>
      </c>
      <c r="I609" t="str">
        <f>_xlfn.XLOOKUP($C609,战区信息!$A$1:$A$5,战区信息!$B$1:$B$5)</f>
        <v>004</v>
      </c>
      <c r="J609" t="str">
        <f>_xlfn.XLOOKUP($C609,战区信息!$A$1:$A$5,战区信息!$C$1:$C$5)</f>
        <v>沈乐欣</v>
      </c>
      <c r="K609" t="str">
        <f>_xlfn.XLOOKUP($C609,战区信息!$A$1:$A$5,战区信息!$D$1:$D$5)</f>
        <v>三级战区</v>
      </c>
      <c r="L609" t="str">
        <f>_xlfn.XLOOKUP($D609,城市信息!$B$1:$B$14,城市信息!$A$1:$A$14)</f>
        <v>007</v>
      </c>
      <c r="M609" t="str">
        <f>_xlfn.XLOOKUP($D609,城市信息!$B$1:$B$14,城市信息!$C$1:$C$14)</f>
        <v>范俊发</v>
      </c>
      <c r="N609" t="str">
        <f>_xlfn.XLOOKUP($D609,城市信息!$B$1:$B$14,城市信息!$D$1:$D$14)</f>
        <v>一线</v>
      </c>
      <c r="O609">
        <f>_xlfn.XLOOKUP($D609,城市信息!$B$1:$B$14,城市信息!$E$1:$E$14)</f>
        <v>12358</v>
      </c>
      <c r="P609" cm="1">
        <f t="array" ref="P609:U609">_xlfn.XLOOKUP(A609&amp;B609,'[1]2.4自动化报表-8月获客数据-非乱码'!$A:$A&amp;'[1]2.4自动化报表-8月获客数据-非乱码'!$B:$B,'[1]2.4自动化报表-8月获客数据-非乱码'!$C:$H)</f>
        <v>2088</v>
      </c>
      <c r="Q609">
        <v>2054</v>
      </c>
      <c r="R609">
        <v>2003</v>
      </c>
      <c r="S609">
        <v>1214</v>
      </c>
      <c r="T609">
        <v>676</v>
      </c>
      <c r="U609">
        <v>688</v>
      </c>
    </row>
    <row r="610" spans="1:21" x14ac:dyDescent="0.3">
      <c r="A610" s="1">
        <v>44065</v>
      </c>
      <c r="B610" t="s">
        <v>5</v>
      </c>
      <c r="C610" t="s">
        <v>125</v>
      </c>
      <c r="D610" t="s">
        <v>62</v>
      </c>
      <c r="E610" t="s">
        <v>129</v>
      </c>
      <c r="F610" s="2">
        <v>104429</v>
      </c>
      <c r="G610" s="2">
        <v>7022</v>
      </c>
      <c r="H610">
        <v>0</v>
      </c>
      <c r="I610" t="str">
        <f>_xlfn.XLOOKUP($C610,战区信息!$A$1:$A$5,战区信息!$B$1:$B$5)</f>
        <v>004</v>
      </c>
      <c r="J610" t="str">
        <f>_xlfn.XLOOKUP($C610,战区信息!$A$1:$A$5,战区信息!$C$1:$C$5)</f>
        <v>沈乐欣</v>
      </c>
      <c r="K610" t="str">
        <f>_xlfn.XLOOKUP($C610,战区信息!$A$1:$A$5,战区信息!$D$1:$D$5)</f>
        <v>三级战区</v>
      </c>
      <c r="L610" t="str">
        <f>_xlfn.XLOOKUP($D610,城市信息!$B$1:$B$14,城市信息!$A$1:$A$14)</f>
        <v>007</v>
      </c>
      <c r="M610" t="str">
        <f>_xlfn.XLOOKUP($D610,城市信息!$B$1:$B$14,城市信息!$C$1:$C$14)</f>
        <v>范俊发</v>
      </c>
      <c r="N610" t="str">
        <f>_xlfn.XLOOKUP($D610,城市信息!$B$1:$B$14,城市信息!$D$1:$D$14)</f>
        <v>一线</v>
      </c>
      <c r="O610">
        <f>_xlfn.XLOOKUP($D610,城市信息!$B$1:$B$14,城市信息!$E$1:$E$14)</f>
        <v>12358</v>
      </c>
      <c r="P610" cm="1">
        <f t="array" ref="P610:U610">_xlfn.XLOOKUP(A610&amp;B610,'[1]2.4自动化报表-8月获客数据-非乱码'!$A:$A&amp;'[1]2.4自动化报表-8月获客数据-非乱码'!$B:$B,'[1]2.4自动化报表-8月获客数据-非乱码'!$C:$H)</f>
        <v>2349</v>
      </c>
      <c r="Q610">
        <v>2296</v>
      </c>
      <c r="R610">
        <v>2197</v>
      </c>
      <c r="S610">
        <v>1391</v>
      </c>
      <c r="T610">
        <v>705</v>
      </c>
      <c r="U610">
        <v>689</v>
      </c>
    </row>
    <row r="611" spans="1:21" x14ac:dyDescent="0.3">
      <c r="A611" s="1">
        <v>44066</v>
      </c>
      <c r="B611" t="s">
        <v>32</v>
      </c>
      <c r="C611" t="s">
        <v>97</v>
      </c>
      <c r="D611" t="s">
        <v>67</v>
      </c>
      <c r="E611" t="s">
        <v>98</v>
      </c>
      <c r="F611" s="2">
        <v>162132</v>
      </c>
      <c r="G611" s="2">
        <v>9742</v>
      </c>
      <c r="H611" s="2">
        <v>1753</v>
      </c>
      <c r="I611" t="str">
        <f>_xlfn.XLOOKUP($C611,战区信息!$A$1:$A$5,战区信息!$B$1:$B$5)</f>
        <v>003</v>
      </c>
      <c r="J611" t="str">
        <f>_xlfn.XLOOKUP($C611,战区信息!$A$1:$A$5,战区信息!$C$1:$C$5)</f>
        <v>田楠</v>
      </c>
      <c r="K611" t="str">
        <f>_xlfn.XLOOKUP($C611,战区信息!$A$1:$A$5,战区信息!$D$1:$D$5)</f>
        <v>二级战区</v>
      </c>
      <c r="L611" t="str">
        <f>_xlfn.XLOOKUP($D611,城市信息!$B$1:$B$14,城市信息!$A$1:$A$14)</f>
        <v>012</v>
      </c>
      <c r="M611" t="str">
        <f>_xlfn.XLOOKUP($D611,城市信息!$B$1:$B$14,城市信息!$C$1:$C$14)</f>
        <v>于子默</v>
      </c>
      <c r="N611" t="str">
        <f>_xlfn.XLOOKUP($D611,城市信息!$B$1:$B$14,城市信息!$D$1:$D$14)</f>
        <v>二线</v>
      </c>
      <c r="O611">
        <f>_xlfn.XLOOKUP($D611,城市信息!$B$1:$B$14,城市信息!$E$1:$E$14)</f>
        <v>9713</v>
      </c>
      <c r="P611" cm="1">
        <f t="array" ref="P611:U611">_xlfn.XLOOKUP(A611&amp;B611,'[1]2.4自动化报表-8月获客数据-非乱码'!$A:$A&amp;'[1]2.4自动化报表-8月获客数据-非乱码'!$B:$B,'[1]2.4自动化报表-8月获客数据-非乱码'!$C:$H)</f>
        <v>2583</v>
      </c>
      <c r="Q611">
        <v>2540</v>
      </c>
      <c r="R611">
        <v>2470</v>
      </c>
      <c r="S611">
        <v>1542</v>
      </c>
      <c r="T611">
        <v>855</v>
      </c>
      <c r="U611">
        <v>690</v>
      </c>
    </row>
    <row r="612" spans="1:21" x14ac:dyDescent="0.3">
      <c r="A612" s="1">
        <v>44066</v>
      </c>
      <c r="B612" t="s">
        <v>31</v>
      </c>
      <c r="C612" t="s">
        <v>97</v>
      </c>
      <c r="D612" t="s">
        <v>65</v>
      </c>
      <c r="E612" t="s">
        <v>99</v>
      </c>
      <c r="F612" s="2">
        <v>66946</v>
      </c>
      <c r="G612" s="2">
        <v>4103</v>
      </c>
      <c r="H612">
        <v>0</v>
      </c>
      <c r="I612" t="str">
        <f>_xlfn.XLOOKUP($C612,战区信息!$A$1:$A$5,战区信息!$B$1:$B$5)</f>
        <v>003</v>
      </c>
      <c r="J612" t="str">
        <f>_xlfn.XLOOKUP($C612,战区信息!$A$1:$A$5,战区信息!$C$1:$C$5)</f>
        <v>田楠</v>
      </c>
      <c r="K612" t="str">
        <f>_xlfn.XLOOKUP($C612,战区信息!$A$1:$A$5,战区信息!$D$1:$D$5)</f>
        <v>二级战区</v>
      </c>
      <c r="L612" t="str">
        <f>_xlfn.XLOOKUP($D612,城市信息!$B$1:$B$14,城市信息!$A$1:$A$14)</f>
        <v>010</v>
      </c>
      <c r="M612" t="str">
        <f>_xlfn.XLOOKUP($D612,城市信息!$B$1:$B$14,城市信息!$C$1:$C$14)</f>
        <v>黄鹏天</v>
      </c>
      <c r="N612" t="str">
        <f>_xlfn.XLOOKUP($D612,城市信息!$B$1:$B$14,城市信息!$D$1:$D$14)</f>
        <v>二线</v>
      </c>
      <c r="O612">
        <f>_xlfn.XLOOKUP($D612,城市信息!$B$1:$B$14,城市信息!$E$1:$E$14)</f>
        <v>8295</v>
      </c>
      <c r="P612" cm="1">
        <f t="array" ref="P612:U612">_xlfn.XLOOKUP(A612&amp;B612,'[1]2.4自动化报表-8月获客数据-非乱码'!$A:$A&amp;'[1]2.4自动化报表-8月获客数据-非乱码'!$B:$B,'[1]2.4自动化报表-8月获客数据-非乱码'!$C:$H)</f>
        <v>3717</v>
      </c>
      <c r="Q612">
        <v>3652</v>
      </c>
      <c r="R612">
        <v>3534</v>
      </c>
      <c r="S612">
        <v>2135</v>
      </c>
      <c r="T612">
        <v>1196</v>
      </c>
      <c r="U612">
        <v>691</v>
      </c>
    </row>
    <row r="613" spans="1:21" x14ac:dyDescent="0.3">
      <c r="A613" s="1">
        <v>44066</v>
      </c>
      <c r="B613" t="s">
        <v>30</v>
      </c>
      <c r="C613" t="s">
        <v>97</v>
      </c>
      <c r="D613" t="s">
        <v>61</v>
      </c>
      <c r="E613" t="s">
        <v>100</v>
      </c>
      <c r="F613" s="2">
        <v>89704</v>
      </c>
      <c r="G613" s="2">
        <v>3738</v>
      </c>
      <c r="H613">
        <v>136</v>
      </c>
      <c r="I613" t="str">
        <f>_xlfn.XLOOKUP($C613,战区信息!$A$1:$A$5,战区信息!$B$1:$B$5)</f>
        <v>003</v>
      </c>
      <c r="J613" t="str">
        <f>_xlfn.XLOOKUP($C613,战区信息!$A$1:$A$5,战区信息!$C$1:$C$5)</f>
        <v>田楠</v>
      </c>
      <c r="K613" t="str">
        <f>_xlfn.XLOOKUP($C613,战区信息!$A$1:$A$5,战区信息!$D$1:$D$5)</f>
        <v>二级战区</v>
      </c>
      <c r="L613" t="str">
        <f>_xlfn.XLOOKUP($D613,城市信息!$B$1:$B$14,城市信息!$A$1:$A$14)</f>
        <v>006</v>
      </c>
      <c r="M613" t="str">
        <f>_xlfn.XLOOKUP($D613,城市信息!$B$1:$B$14,城市信息!$C$1:$C$14)</f>
        <v>王刚</v>
      </c>
      <c r="N613" t="str">
        <f>_xlfn.XLOOKUP($D613,城市信息!$B$1:$B$14,城市信息!$D$1:$D$14)</f>
        <v>二线</v>
      </c>
      <c r="O613">
        <f>_xlfn.XLOOKUP($D613,城市信息!$B$1:$B$14,城市信息!$E$1:$E$14)</f>
        <v>9107</v>
      </c>
      <c r="P613" cm="1">
        <f t="array" ref="P613:U613">_xlfn.XLOOKUP(A613&amp;B613,'[1]2.4自动化报表-8月获客数据-非乱码'!$A:$A&amp;'[1]2.4自动化报表-8月获客数据-非乱码'!$B:$B,'[1]2.4自动化报表-8月获客数据-非乱码'!$C:$H)</f>
        <v>4579</v>
      </c>
      <c r="Q613">
        <v>4466</v>
      </c>
      <c r="R613">
        <v>4280</v>
      </c>
      <c r="S613">
        <v>2711</v>
      </c>
      <c r="T613">
        <v>1372</v>
      </c>
      <c r="U613">
        <v>700</v>
      </c>
    </row>
    <row r="614" spans="1:21" x14ac:dyDescent="0.3">
      <c r="A614" s="1">
        <v>44066</v>
      </c>
      <c r="B614" t="s">
        <v>29</v>
      </c>
      <c r="C614" t="s">
        <v>97</v>
      </c>
      <c r="D614" t="s">
        <v>64</v>
      </c>
      <c r="E614" t="s">
        <v>101</v>
      </c>
      <c r="F614" s="2">
        <v>206651</v>
      </c>
      <c r="G614" s="2">
        <v>12857</v>
      </c>
      <c r="H614">
        <v>0</v>
      </c>
      <c r="I614" t="str">
        <f>_xlfn.XLOOKUP($C614,战区信息!$A$1:$A$5,战区信息!$B$1:$B$5)</f>
        <v>003</v>
      </c>
      <c r="J614" t="str">
        <f>_xlfn.XLOOKUP($C614,战区信息!$A$1:$A$5,战区信息!$C$1:$C$5)</f>
        <v>田楠</v>
      </c>
      <c r="K614" t="str">
        <f>_xlfn.XLOOKUP($C614,战区信息!$A$1:$A$5,战区信息!$D$1:$D$5)</f>
        <v>二级战区</v>
      </c>
      <c r="L614" t="str">
        <f>_xlfn.XLOOKUP($D614,城市信息!$B$1:$B$14,城市信息!$A$1:$A$14)</f>
        <v>009</v>
      </c>
      <c r="M614" t="str">
        <f>_xlfn.XLOOKUP($D614,城市信息!$B$1:$B$14,城市信息!$C$1:$C$14)</f>
        <v>叶超</v>
      </c>
      <c r="N614" t="str">
        <f>_xlfn.XLOOKUP($D614,城市信息!$B$1:$B$14,城市信息!$D$1:$D$14)</f>
        <v>二线</v>
      </c>
      <c r="O614">
        <f>_xlfn.XLOOKUP($D614,城市信息!$B$1:$B$14,城市信息!$E$1:$E$14)</f>
        <v>9016</v>
      </c>
      <c r="P614" cm="1">
        <f t="array" ref="P614:U614">_xlfn.XLOOKUP(A614&amp;B614,'[1]2.4自动化报表-8月获客数据-非乱码'!$A:$A&amp;'[1]2.4自动化报表-8月获客数据-非乱码'!$B:$B,'[1]2.4自动化报表-8月获客数据-非乱码'!$C:$H)</f>
        <v>2510</v>
      </c>
      <c r="Q614">
        <v>2447</v>
      </c>
      <c r="R614">
        <v>2363</v>
      </c>
      <c r="S614">
        <v>1514</v>
      </c>
      <c r="T614">
        <v>841</v>
      </c>
      <c r="U614">
        <v>692</v>
      </c>
    </row>
    <row r="615" spans="1:21" x14ac:dyDescent="0.3">
      <c r="A615" s="1">
        <v>44066</v>
      </c>
      <c r="B615" t="s">
        <v>28</v>
      </c>
      <c r="C615" t="s">
        <v>97</v>
      </c>
      <c r="D615" t="s">
        <v>64</v>
      </c>
      <c r="E615" t="s">
        <v>102</v>
      </c>
      <c r="F615" s="2">
        <v>5000</v>
      </c>
      <c r="G615">
        <v>208</v>
      </c>
      <c r="H615">
        <v>0</v>
      </c>
      <c r="I615" t="str">
        <f>_xlfn.XLOOKUP($C615,战区信息!$A$1:$A$5,战区信息!$B$1:$B$5)</f>
        <v>003</v>
      </c>
      <c r="J615" t="str">
        <f>_xlfn.XLOOKUP($C615,战区信息!$A$1:$A$5,战区信息!$C$1:$C$5)</f>
        <v>田楠</v>
      </c>
      <c r="K615" t="str">
        <f>_xlfn.XLOOKUP($C615,战区信息!$A$1:$A$5,战区信息!$D$1:$D$5)</f>
        <v>二级战区</v>
      </c>
      <c r="L615" t="str">
        <f>_xlfn.XLOOKUP($D615,城市信息!$B$1:$B$14,城市信息!$A$1:$A$14)</f>
        <v>009</v>
      </c>
      <c r="M615" t="str">
        <f>_xlfn.XLOOKUP($D615,城市信息!$B$1:$B$14,城市信息!$C$1:$C$14)</f>
        <v>叶超</v>
      </c>
      <c r="N615" t="str">
        <f>_xlfn.XLOOKUP($D615,城市信息!$B$1:$B$14,城市信息!$D$1:$D$14)</f>
        <v>二线</v>
      </c>
      <c r="O615">
        <f>_xlfn.XLOOKUP($D615,城市信息!$B$1:$B$14,城市信息!$E$1:$E$14)</f>
        <v>9016</v>
      </c>
      <c r="P615" cm="1">
        <f t="array" ref="P615:U615">_xlfn.XLOOKUP(A615&amp;B615,'[1]2.4自动化报表-8月获客数据-非乱码'!$A:$A&amp;'[1]2.4自动化报表-8月获客数据-非乱码'!$B:$B,'[1]2.4自动化报表-8月获客数据-非乱码'!$C:$H)</f>
        <v>672</v>
      </c>
      <c r="Q615">
        <v>662</v>
      </c>
      <c r="R615">
        <v>643</v>
      </c>
      <c r="S615">
        <v>443</v>
      </c>
      <c r="T615">
        <v>209</v>
      </c>
      <c r="U615">
        <v>692</v>
      </c>
    </row>
    <row r="616" spans="1:21" x14ac:dyDescent="0.3">
      <c r="A616" s="1">
        <v>44066</v>
      </c>
      <c r="B616" t="s">
        <v>27</v>
      </c>
      <c r="C616" t="s">
        <v>103</v>
      </c>
      <c r="D616" t="s">
        <v>63</v>
      </c>
      <c r="E616" t="s">
        <v>104</v>
      </c>
      <c r="F616" s="2">
        <v>184668</v>
      </c>
      <c r="G616" s="2">
        <v>11862</v>
      </c>
      <c r="H616">
        <v>0</v>
      </c>
      <c r="I616" t="str">
        <f>_xlfn.XLOOKUP($C616,战区信息!$A$1:$A$5,战区信息!$B$1:$B$5)</f>
        <v>002</v>
      </c>
      <c r="J616" t="str">
        <f>_xlfn.XLOOKUP($C616,战区信息!$A$1:$A$5,战区信息!$C$1:$C$5)</f>
        <v>高安平</v>
      </c>
      <c r="K616" t="str">
        <f>_xlfn.XLOOKUP($C616,战区信息!$A$1:$A$5,战区信息!$D$1:$D$5)</f>
        <v>二级战区</v>
      </c>
      <c r="L616" t="str">
        <f>_xlfn.XLOOKUP($D616,城市信息!$B$1:$B$14,城市信息!$A$1:$A$14)</f>
        <v>008</v>
      </c>
      <c r="M616" t="str">
        <f>_xlfn.XLOOKUP($D616,城市信息!$B$1:$B$14,城市信息!$C$1:$C$14)</f>
        <v>高弘壮</v>
      </c>
      <c r="N616" t="str">
        <f>_xlfn.XLOOKUP($D616,城市信息!$B$1:$B$14,城市信息!$D$1:$D$14)</f>
        <v>一线</v>
      </c>
      <c r="O616">
        <f>_xlfn.XLOOKUP($D616,城市信息!$B$1:$B$14,城市信息!$E$1:$E$14)</f>
        <v>11498</v>
      </c>
      <c r="P616" cm="1">
        <f t="array" ref="P616:U616">_xlfn.XLOOKUP(A616&amp;B616,'[1]2.4自动化报表-8月获客数据-非乱码'!$A:$A&amp;'[1]2.4自动化报表-8月获客数据-非乱码'!$B:$B,'[1]2.4自动化报表-8月获客数据-非乱码'!$C:$H)</f>
        <v>3823</v>
      </c>
      <c r="Q616">
        <v>3708</v>
      </c>
      <c r="R616">
        <v>3535</v>
      </c>
      <c r="S616">
        <v>2103</v>
      </c>
      <c r="T616">
        <v>1122</v>
      </c>
      <c r="U616">
        <v>689</v>
      </c>
    </row>
    <row r="617" spans="1:21" x14ac:dyDescent="0.3">
      <c r="A617" s="1">
        <v>44066</v>
      </c>
      <c r="B617" t="s">
        <v>26</v>
      </c>
      <c r="C617" t="s">
        <v>103</v>
      </c>
      <c r="D617" t="s">
        <v>57</v>
      </c>
      <c r="E617" t="s">
        <v>105</v>
      </c>
      <c r="F617" s="2">
        <v>273954</v>
      </c>
      <c r="G617" s="2">
        <v>13237</v>
      </c>
      <c r="H617" s="2">
        <v>12522</v>
      </c>
      <c r="I617" t="str">
        <f>_xlfn.XLOOKUP($C617,战区信息!$A$1:$A$5,战区信息!$B$1:$B$5)</f>
        <v>002</v>
      </c>
      <c r="J617" t="str">
        <f>_xlfn.XLOOKUP($C617,战区信息!$A$1:$A$5,战区信息!$C$1:$C$5)</f>
        <v>高安平</v>
      </c>
      <c r="K617" t="str">
        <f>_xlfn.XLOOKUP($C617,战区信息!$A$1:$A$5,战区信息!$D$1:$D$5)</f>
        <v>二级战区</v>
      </c>
      <c r="L617" t="str">
        <f>_xlfn.XLOOKUP($D617,城市信息!$B$1:$B$14,城市信息!$A$1:$A$14)</f>
        <v>002</v>
      </c>
      <c r="M617" t="str">
        <f>_xlfn.XLOOKUP($D617,城市信息!$B$1:$B$14,城市信息!$C$1:$C$14)</f>
        <v>孙乒</v>
      </c>
      <c r="N617" t="str">
        <f>_xlfn.XLOOKUP($D617,城市信息!$B$1:$B$14,城市信息!$D$1:$D$14)</f>
        <v>一线</v>
      </c>
      <c r="O617">
        <f>_xlfn.XLOOKUP($D617,城市信息!$B$1:$B$14,城市信息!$E$1:$E$14)</f>
        <v>9854</v>
      </c>
      <c r="P617" cm="1">
        <f t="array" ref="P617:U617">_xlfn.XLOOKUP(A617&amp;B617,'[1]2.4自动化报表-8月获客数据-非乱码'!$A:$A&amp;'[1]2.4自动化报表-8月获客数据-非乱码'!$B:$B,'[1]2.4自动化报表-8月获客数据-非乱码'!$C:$H)</f>
        <v>7695</v>
      </c>
      <c r="Q617">
        <v>7512</v>
      </c>
      <c r="R617">
        <v>7209</v>
      </c>
      <c r="S617">
        <v>4452</v>
      </c>
      <c r="T617">
        <v>2457</v>
      </c>
      <c r="U617">
        <v>688</v>
      </c>
    </row>
    <row r="618" spans="1:21" x14ac:dyDescent="0.3">
      <c r="A618" s="1">
        <v>44066</v>
      </c>
      <c r="B618" t="s">
        <v>25</v>
      </c>
      <c r="C618" t="s">
        <v>103</v>
      </c>
      <c r="D618" t="s">
        <v>57</v>
      </c>
      <c r="E618" t="s">
        <v>106</v>
      </c>
      <c r="F618" s="2">
        <v>129685</v>
      </c>
      <c r="G618" s="2">
        <v>8049</v>
      </c>
      <c r="H618" s="2">
        <v>31906</v>
      </c>
      <c r="I618" t="str">
        <f>_xlfn.XLOOKUP($C618,战区信息!$A$1:$A$5,战区信息!$B$1:$B$5)</f>
        <v>002</v>
      </c>
      <c r="J618" t="str">
        <f>_xlfn.XLOOKUP($C618,战区信息!$A$1:$A$5,战区信息!$C$1:$C$5)</f>
        <v>高安平</v>
      </c>
      <c r="K618" t="str">
        <f>_xlfn.XLOOKUP($C618,战区信息!$A$1:$A$5,战区信息!$D$1:$D$5)</f>
        <v>二级战区</v>
      </c>
      <c r="L618" t="str">
        <f>_xlfn.XLOOKUP($D618,城市信息!$B$1:$B$14,城市信息!$A$1:$A$14)</f>
        <v>002</v>
      </c>
      <c r="M618" t="str">
        <f>_xlfn.XLOOKUP($D618,城市信息!$B$1:$B$14,城市信息!$C$1:$C$14)</f>
        <v>孙乒</v>
      </c>
      <c r="N618" t="str">
        <f>_xlfn.XLOOKUP($D618,城市信息!$B$1:$B$14,城市信息!$D$1:$D$14)</f>
        <v>一线</v>
      </c>
      <c r="O618">
        <f>_xlfn.XLOOKUP($D618,城市信息!$B$1:$B$14,城市信息!$E$1:$E$14)</f>
        <v>9854</v>
      </c>
      <c r="P618" cm="1">
        <f t="array" ref="P618:U618">_xlfn.XLOOKUP(A618&amp;B618,'[1]2.4自动化报表-8月获客数据-非乱码'!$A:$A&amp;'[1]2.4自动化报表-8月获客数据-非乱码'!$B:$B,'[1]2.4自动化报表-8月获客数据-非乱码'!$C:$H)</f>
        <v>3139</v>
      </c>
      <c r="Q618">
        <v>3051</v>
      </c>
      <c r="R618">
        <v>2892</v>
      </c>
      <c r="S618">
        <v>1724</v>
      </c>
      <c r="T618">
        <v>989</v>
      </c>
      <c r="U618">
        <v>688</v>
      </c>
    </row>
    <row r="619" spans="1:21" x14ac:dyDescent="0.3">
      <c r="A619" s="1">
        <v>44066</v>
      </c>
      <c r="B619" t="s">
        <v>24</v>
      </c>
      <c r="C619" t="s">
        <v>103</v>
      </c>
      <c r="D619" t="s">
        <v>57</v>
      </c>
      <c r="E619" t="s">
        <v>107</v>
      </c>
      <c r="F619" s="2">
        <v>127987</v>
      </c>
      <c r="G619" s="2">
        <v>8182</v>
      </c>
      <c r="H619">
        <v>0</v>
      </c>
      <c r="I619" t="str">
        <f>_xlfn.XLOOKUP($C619,战区信息!$A$1:$A$5,战区信息!$B$1:$B$5)</f>
        <v>002</v>
      </c>
      <c r="J619" t="str">
        <f>_xlfn.XLOOKUP($C619,战区信息!$A$1:$A$5,战区信息!$C$1:$C$5)</f>
        <v>高安平</v>
      </c>
      <c r="K619" t="str">
        <f>_xlfn.XLOOKUP($C619,战区信息!$A$1:$A$5,战区信息!$D$1:$D$5)</f>
        <v>二级战区</v>
      </c>
      <c r="L619" t="str">
        <f>_xlfn.XLOOKUP($D619,城市信息!$B$1:$B$14,城市信息!$A$1:$A$14)</f>
        <v>002</v>
      </c>
      <c r="M619" t="str">
        <f>_xlfn.XLOOKUP($D619,城市信息!$B$1:$B$14,城市信息!$C$1:$C$14)</f>
        <v>孙乒</v>
      </c>
      <c r="N619" t="str">
        <f>_xlfn.XLOOKUP($D619,城市信息!$B$1:$B$14,城市信息!$D$1:$D$14)</f>
        <v>一线</v>
      </c>
      <c r="O619">
        <f>_xlfn.XLOOKUP($D619,城市信息!$B$1:$B$14,城市信息!$E$1:$E$14)</f>
        <v>9854</v>
      </c>
      <c r="P619" cm="1">
        <f t="array" ref="P619:U619">_xlfn.XLOOKUP(A619&amp;B619,'[1]2.4自动化报表-8月获客数据-非乱码'!$A:$A&amp;'[1]2.4自动化报表-8月获客数据-非乱码'!$B:$B,'[1]2.4自动化报表-8月获客数据-非乱码'!$C:$H)</f>
        <v>3815</v>
      </c>
      <c r="Q619">
        <v>3753</v>
      </c>
      <c r="R619">
        <v>3594</v>
      </c>
      <c r="S619">
        <v>2217</v>
      </c>
      <c r="T619">
        <v>1296</v>
      </c>
      <c r="U619">
        <v>690</v>
      </c>
    </row>
    <row r="620" spans="1:21" x14ac:dyDescent="0.3">
      <c r="A620" s="1">
        <v>44066</v>
      </c>
      <c r="B620" t="s">
        <v>23</v>
      </c>
      <c r="C620" t="s">
        <v>108</v>
      </c>
      <c r="D620" t="s">
        <v>109</v>
      </c>
      <c r="E620" t="s">
        <v>110</v>
      </c>
      <c r="F620" s="2">
        <v>250316</v>
      </c>
      <c r="G620" s="2">
        <v>14439</v>
      </c>
      <c r="H620">
        <v>0</v>
      </c>
      <c r="I620" t="str">
        <f>_xlfn.XLOOKUP($C620,战区信息!$A$1:$A$5,战区信息!$B$1:$B$5)</f>
        <v>001</v>
      </c>
      <c r="J620" t="str">
        <f>_xlfn.XLOOKUP($C620,战区信息!$A$1:$A$5,战区信息!$C$1:$C$5)</f>
        <v>江永</v>
      </c>
      <c r="K620" t="str">
        <f>_xlfn.XLOOKUP($C620,战区信息!$A$1:$A$5,战区信息!$D$1:$D$5)</f>
        <v>一级战区</v>
      </c>
      <c r="L620" t="str">
        <f>_xlfn.XLOOKUP($D620,城市信息!$B$1:$B$14,城市信息!$A$1:$A$14)</f>
        <v>013</v>
      </c>
      <c r="M620" t="str">
        <f>_xlfn.XLOOKUP($D620,城市信息!$B$1:$B$14,城市信息!$C$1:$C$14)</f>
        <v>张建</v>
      </c>
      <c r="N620" t="str">
        <f>_xlfn.XLOOKUP($D620,城市信息!$B$1:$B$14,城市信息!$D$1:$D$14)</f>
        <v>二线</v>
      </c>
      <c r="O620">
        <f>_xlfn.XLOOKUP($D620,城市信息!$B$1:$B$14,城市信息!$E$1:$E$14)</f>
        <v>8800</v>
      </c>
      <c r="P620" cm="1">
        <f t="array" ref="P620:U620">_xlfn.XLOOKUP(A620&amp;B620,'[1]2.4自动化报表-8月获客数据-非乱码'!$A:$A&amp;'[1]2.4自动化报表-8月获客数据-非乱码'!$B:$B,'[1]2.4自动化报表-8月获客数据-非乱码'!$C:$H)</f>
        <v>7072</v>
      </c>
      <c r="Q620">
        <v>6817</v>
      </c>
      <c r="R620">
        <v>6487</v>
      </c>
      <c r="S620">
        <v>3925</v>
      </c>
      <c r="T620">
        <v>2026</v>
      </c>
      <c r="U620">
        <v>695</v>
      </c>
    </row>
    <row r="621" spans="1:21" x14ac:dyDescent="0.3">
      <c r="A621" s="1">
        <v>44066</v>
      </c>
      <c r="B621" t="s">
        <v>22</v>
      </c>
      <c r="C621" t="s">
        <v>108</v>
      </c>
      <c r="D621" t="s">
        <v>109</v>
      </c>
      <c r="E621" t="s">
        <v>111</v>
      </c>
      <c r="F621" s="2">
        <v>22242</v>
      </c>
      <c r="G621" s="2">
        <v>1985</v>
      </c>
      <c r="H621">
        <v>0</v>
      </c>
      <c r="I621" t="str">
        <f>_xlfn.XLOOKUP($C621,战区信息!$A$1:$A$5,战区信息!$B$1:$B$5)</f>
        <v>001</v>
      </c>
      <c r="J621" t="str">
        <f>_xlfn.XLOOKUP($C621,战区信息!$A$1:$A$5,战区信息!$C$1:$C$5)</f>
        <v>江永</v>
      </c>
      <c r="K621" t="str">
        <f>_xlfn.XLOOKUP($C621,战区信息!$A$1:$A$5,战区信息!$D$1:$D$5)</f>
        <v>一级战区</v>
      </c>
      <c r="L621" t="str">
        <f>_xlfn.XLOOKUP($D621,城市信息!$B$1:$B$14,城市信息!$A$1:$A$14)</f>
        <v>013</v>
      </c>
      <c r="M621" t="str">
        <f>_xlfn.XLOOKUP($D621,城市信息!$B$1:$B$14,城市信息!$C$1:$C$14)</f>
        <v>张建</v>
      </c>
      <c r="N621" t="str">
        <f>_xlfn.XLOOKUP($D621,城市信息!$B$1:$B$14,城市信息!$D$1:$D$14)</f>
        <v>二线</v>
      </c>
      <c r="O621">
        <f>_xlfn.XLOOKUP($D621,城市信息!$B$1:$B$14,城市信息!$E$1:$E$14)</f>
        <v>8800</v>
      </c>
      <c r="P621" cm="1">
        <f t="array" ref="P621:U621">_xlfn.XLOOKUP(A621&amp;B621,'[1]2.4自动化报表-8月获客数据-非乱码'!$A:$A&amp;'[1]2.4自动化报表-8月获客数据-非乱码'!$B:$B,'[1]2.4自动化报表-8月获客数据-非乱码'!$C:$H)</f>
        <v>477</v>
      </c>
      <c r="Q621">
        <v>468</v>
      </c>
      <c r="R621">
        <v>435</v>
      </c>
      <c r="S621">
        <v>253</v>
      </c>
      <c r="T621">
        <v>150</v>
      </c>
      <c r="U621">
        <v>690</v>
      </c>
    </row>
    <row r="622" spans="1:21" x14ac:dyDescent="0.3">
      <c r="A622" s="1">
        <v>44066</v>
      </c>
      <c r="B622" t="s">
        <v>21</v>
      </c>
      <c r="C622" t="s">
        <v>108</v>
      </c>
      <c r="D622" t="s">
        <v>109</v>
      </c>
      <c r="E622" t="s">
        <v>112</v>
      </c>
      <c r="F622" s="2">
        <v>341326</v>
      </c>
      <c r="G622" s="2">
        <v>21473</v>
      </c>
      <c r="H622">
        <v>0</v>
      </c>
      <c r="I622" t="str">
        <f>_xlfn.XLOOKUP($C622,战区信息!$A$1:$A$5,战区信息!$B$1:$B$5)</f>
        <v>001</v>
      </c>
      <c r="J622" t="str">
        <f>_xlfn.XLOOKUP($C622,战区信息!$A$1:$A$5,战区信息!$C$1:$C$5)</f>
        <v>江永</v>
      </c>
      <c r="K622" t="str">
        <f>_xlfn.XLOOKUP($C622,战区信息!$A$1:$A$5,战区信息!$D$1:$D$5)</f>
        <v>一级战区</v>
      </c>
      <c r="L622" t="str">
        <f>_xlfn.XLOOKUP($D622,城市信息!$B$1:$B$14,城市信息!$A$1:$A$14)</f>
        <v>013</v>
      </c>
      <c r="M622" t="str">
        <f>_xlfn.XLOOKUP($D622,城市信息!$B$1:$B$14,城市信息!$C$1:$C$14)</f>
        <v>张建</v>
      </c>
      <c r="N622" t="str">
        <f>_xlfn.XLOOKUP($D622,城市信息!$B$1:$B$14,城市信息!$D$1:$D$14)</f>
        <v>二线</v>
      </c>
      <c r="O622">
        <f>_xlfn.XLOOKUP($D622,城市信息!$B$1:$B$14,城市信息!$E$1:$E$14)</f>
        <v>8800</v>
      </c>
      <c r="P622" cm="1">
        <f t="array" ref="P622:U622">_xlfn.XLOOKUP(A622&amp;B622,'[1]2.4自动化报表-8月获客数据-非乱码'!$A:$A&amp;'[1]2.4自动化报表-8月获客数据-非乱码'!$B:$B,'[1]2.4自动化报表-8月获客数据-非乱码'!$C:$H)</f>
        <v>7462</v>
      </c>
      <c r="Q622">
        <v>7163</v>
      </c>
      <c r="R622">
        <v>6808</v>
      </c>
      <c r="S622">
        <v>3955</v>
      </c>
      <c r="T622">
        <v>2157</v>
      </c>
      <c r="U622">
        <v>696</v>
      </c>
    </row>
    <row r="623" spans="1:21" x14ac:dyDescent="0.3">
      <c r="A623" s="1">
        <v>44066</v>
      </c>
      <c r="B623" t="s">
        <v>20</v>
      </c>
      <c r="C623" t="s">
        <v>108</v>
      </c>
      <c r="D623" t="s">
        <v>56</v>
      </c>
      <c r="E623" t="s">
        <v>113</v>
      </c>
      <c r="F623" s="2">
        <v>271080</v>
      </c>
      <c r="G623" s="2">
        <v>16890</v>
      </c>
      <c r="H623">
        <v>4</v>
      </c>
      <c r="I623" t="str">
        <f>_xlfn.XLOOKUP($C623,战区信息!$A$1:$A$5,战区信息!$B$1:$B$5)</f>
        <v>001</v>
      </c>
      <c r="J623" t="str">
        <f>_xlfn.XLOOKUP($C623,战区信息!$A$1:$A$5,战区信息!$C$1:$C$5)</f>
        <v>江永</v>
      </c>
      <c r="K623" t="str">
        <f>_xlfn.XLOOKUP($C623,战区信息!$A$1:$A$5,战区信息!$D$1:$D$5)</f>
        <v>一级战区</v>
      </c>
      <c r="L623" t="str">
        <f>_xlfn.XLOOKUP($D623,城市信息!$B$1:$B$14,城市信息!$A$1:$A$14)</f>
        <v>001</v>
      </c>
      <c r="M623" t="str">
        <f>_xlfn.XLOOKUP($D623,城市信息!$B$1:$B$14,城市信息!$C$1:$C$14)</f>
        <v>吴刚</v>
      </c>
      <c r="N623" t="str">
        <f>_xlfn.XLOOKUP($D623,城市信息!$B$1:$B$14,城市信息!$D$1:$D$14)</f>
        <v>一线</v>
      </c>
      <c r="O623">
        <f>_xlfn.XLOOKUP($D623,城市信息!$B$1:$B$14,城市信息!$E$1:$E$14)</f>
        <v>12114</v>
      </c>
      <c r="P623" cm="1">
        <f t="array" ref="P623:U623">_xlfn.XLOOKUP(A623&amp;B623,'[1]2.4自动化报表-8月获客数据-非乱码'!$A:$A&amp;'[1]2.4自动化报表-8月获客数据-非乱码'!$B:$B,'[1]2.4自动化报表-8月获客数据-非乱码'!$C:$H)</f>
        <v>5519</v>
      </c>
      <c r="Q623">
        <v>5338</v>
      </c>
      <c r="R623">
        <v>5129</v>
      </c>
      <c r="S623">
        <v>3038</v>
      </c>
      <c r="T623">
        <v>1751</v>
      </c>
      <c r="U623">
        <v>694</v>
      </c>
    </row>
    <row r="624" spans="1:21" x14ac:dyDescent="0.3">
      <c r="A624" s="1">
        <v>44066</v>
      </c>
      <c r="B624" t="s">
        <v>19</v>
      </c>
      <c r="C624" t="s">
        <v>108</v>
      </c>
      <c r="D624" t="s">
        <v>56</v>
      </c>
      <c r="E624" t="s">
        <v>114</v>
      </c>
      <c r="F624" s="2">
        <v>121555</v>
      </c>
      <c r="G624" s="2">
        <v>9782</v>
      </c>
      <c r="H624">
        <v>0</v>
      </c>
      <c r="I624" t="str">
        <f>_xlfn.XLOOKUP($C624,战区信息!$A$1:$A$5,战区信息!$B$1:$B$5)</f>
        <v>001</v>
      </c>
      <c r="J624" t="str">
        <f>_xlfn.XLOOKUP($C624,战区信息!$A$1:$A$5,战区信息!$C$1:$C$5)</f>
        <v>江永</v>
      </c>
      <c r="K624" t="str">
        <f>_xlfn.XLOOKUP($C624,战区信息!$A$1:$A$5,战区信息!$D$1:$D$5)</f>
        <v>一级战区</v>
      </c>
      <c r="L624" t="str">
        <f>_xlfn.XLOOKUP($D624,城市信息!$B$1:$B$14,城市信息!$A$1:$A$14)</f>
        <v>001</v>
      </c>
      <c r="M624" t="str">
        <f>_xlfn.XLOOKUP($D624,城市信息!$B$1:$B$14,城市信息!$C$1:$C$14)</f>
        <v>吴刚</v>
      </c>
      <c r="N624" t="str">
        <f>_xlfn.XLOOKUP($D624,城市信息!$B$1:$B$14,城市信息!$D$1:$D$14)</f>
        <v>一线</v>
      </c>
      <c r="O624">
        <f>_xlfn.XLOOKUP($D624,城市信息!$B$1:$B$14,城市信息!$E$1:$E$14)</f>
        <v>12114</v>
      </c>
      <c r="P624" cm="1">
        <f t="array" ref="P624:U624">_xlfn.XLOOKUP(A624&amp;B624,'[1]2.4自动化报表-8月获客数据-非乱码'!$A:$A&amp;'[1]2.4自动化报表-8月获客数据-非乱码'!$B:$B,'[1]2.4自动化报表-8月获客数据-非乱码'!$C:$H)</f>
        <v>3281</v>
      </c>
      <c r="Q624">
        <v>3198</v>
      </c>
      <c r="R624">
        <v>3076</v>
      </c>
      <c r="S624">
        <v>1800</v>
      </c>
      <c r="T624">
        <v>1083</v>
      </c>
      <c r="U624">
        <v>696</v>
      </c>
    </row>
    <row r="625" spans="1:21" x14ac:dyDescent="0.3">
      <c r="A625" s="1">
        <v>44066</v>
      </c>
      <c r="B625" t="s">
        <v>18</v>
      </c>
      <c r="C625" t="s">
        <v>108</v>
      </c>
      <c r="D625" t="s">
        <v>56</v>
      </c>
      <c r="E625" t="s">
        <v>115</v>
      </c>
      <c r="F625" s="2">
        <v>58693</v>
      </c>
      <c r="G625" s="2">
        <v>3031</v>
      </c>
      <c r="H625">
        <v>0</v>
      </c>
      <c r="I625" t="str">
        <f>_xlfn.XLOOKUP($C625,战区信息!$A$1:$A$5,战区信息!$B$1:$B$5)</f>
        <v>001</v>
      </c>
      <c r="J625" t="str">
        <f>_xlfn.XLOOKUP($C625,战区信息!$A$1:$A$5,战区信息!$C$1:$C$5)</f>
        <v>江永</v>
      </c>
      <c r="K625" t="str">
        <f>_xlfn.XLOOKUP($C625,战区信息!$A$1:$A$5,战区信息!$D$1:$D$5)</f>
        <v>一级战区</v>
      </c>
      <c r="L625" t="str">
        <f>_xlfn.XLOOKUP($D625,城市信息!$B$1:$B$14,城市信息!$A$1:$A$14)</f>
        <v>001</v>
      </c>
      <c r="M625" t="str">
        <f>_xlfn.XLOOKUP($D625,城市信息!$B$1:$B$14,城市信息!$C$1:$C$14)</f>
        <v>吴刚</v>
      </c>
      <c r="N625" t="str">
        <f>_xlfn.XLOOKUP($D625,城市信息!$B$1:$B$14,城市信息!$D$1:$D$14)</f>
        <v>一线</v>
      </c>
      <c r="O625">
        <f>_xlfn.XLOOKUP($D625,城市信息!$B$1:$B$14,城市信息!$E$1:$E$14)</f>
        <v>12114</v>
      </c>
      <c r="P625" cm="1">
        <f t="array" ref="P625:U625">_xlfn.XLOOKUP(A625&amp;B625,'[1]2.4自动化报表-8月获客数据-非乱码'!$A:$A&amp;'[1]2.4自动化报表-8月获客数据-非乱码'!$B:$B,'[1]2.4自动化报表-8月获客数据-非乱码'!$C:$H)</f>
        <v>2513</v>
      </c>
      <c r="Q625">
        <v>2475</v>
      </c>
      <c r="R625">
        <v>2375</v>
      </c>
      <c r="S625">
        <v>1440</v>
      </c>
      <c r="T625">
        <v>776</v>
      </c>
      <c r="U625">
        <v>691</v>
      </c>
    </row>
    <row r="626" spans="1:21" x14ac:dyDescent="0.3">
      <c r="A626" s="1">
        <v>44066</v>
      </c>
      <c r="B626" t="s">
        <v>17</v>
      </c>
      <c r="C626" t="s">
        <v>108</v>
      </c>
      <c r="D626" t="s">
        <v>59</v>
      </c>
      <c r="E626" t="s">
        <v>116</v>
      </c>
      <c r="F626" s="2">
        <v>67893</v>
      </c>
      <c r="G626" s="2">
        <v>5023</v>
      </c>
      <c r="H626">
        <v>0</v>
      </c>
      <c r="I626" t="str">
        <f>_xlfn.XLOOKUP($C626,战区信息!$A$1:$A$5,战区信息!$B$1:$B$5)</f>
        <v>001</v>
      </c>
      <c r="J626" t="str">
        <f>_xlfn.XLOOKUP($C626,战区信息!$A$1:$A$5,战区信息!$C$1:$C$5)</f>
        <v>江永</v>
      </c>
      <c r="K626" t="str">
        <f>_xlfn.XLOOKUP($C626,战区信息!$A$1:$A$5,战区信息!$D$1:$D$5)</f>
        <v>一级战区</v>
      </c>
      <c r="L626" t="str">
        <f>_xlfn.XLOOKUP($D626,城市信息!$B$1:$B$14,城市信息!$A$1:$A$14)</f>
        <v>004</v>
      </c>
      <c r="M626" t="str">
        <f>_xlfn.XLOOKUP($D626,城市信息!$B$1:$B$14,城市信息!$C$1:$C$14)</f>
        <v>苏川</v>
      </c>
      <c r="N626" t="str">
        <f>_xlfn.XLOOKUP($D626,城市信息!$B$1:$B$14,城市信息!$D$1:$D$14)</f>
        <v>二线</v>
      </c>
      <c r="O626">
        <f>_xlfn.XLOOKUP($D626,城市信息!$B$1:$B$14,城市信息!$E$1:$E$14)</f>
        <v>9912</v>
      </c>
      <c r="P626" cm="1">
        <f t="array" ref="P626:U626">_xlfn.XLOOKUP(A626&amp;B626,'[1]2.4自动化报表-8月获客数据-非乱码'!$A:$A&amp;'[1]2.4自动化报表-8月获客数据-非乱码'!$B:$B,'[1]2.4自动化报表-8月获客数据-非乱码'!$C:$H)</f>
        <v>3609</v>
      </c>
      <c r="Q626">
        <v>3532</v>
      </c>
      <c r="R626">
        <v>3404</v>
      </c>
      <c r="S626">
        <v>1968</v>
      </c>
      <c r="T626">
        <v>1086</v>
      </c>
      <c r="U626">
        <v>697</v>
      </c>
    </row>
    <row r="627" spans="1:21" x14ac:dyDescent="0.3">
      <c r="A627" s="1">
        <v>44066</v>
      </c>
      <c r="B627" t="s">
        <v>16</v>
      </c>
      <c r="C627" t="s">
        <v>108</v>
      </c>
      <c r="D627" t="s">
        <v>59</v>
      </c>
      <c r="E627" t="s">
        <v>117</v>
      </c>
      <c r="F627" s="2">
        <v>73004</v>
      </c>
      <c r="G627" s="2">
        <v>5296</v>
      </c>
      <c r="H627">
        <v>0</v>
      </c>
      <c r="I627" t="str">
        <f>_xlfn.XLOOKUP($C627,战区信息!$A$1:$A$5,战区信息!$B$1:$B$5)</f>
        <v>001</v>
      </c>
      <c r="J627" t="str">
        <f>_xlfn.XLOOKUP($C627,战区信息!$A$1:$A$5,战区信息!$C$1:$C$5)</f>
        <v>江永</v>
      </c>
      <c r="K627" t="str">
        <f>_xlfn.XLOOKUP($C627,战区信息!$A$1:$A$5,战区信息!$D$1:$D$5)</f>
        <v>一级战区</v>
      </c>
      <c r="L627" t="str">
        <f>_xlfn.XLOOKUP($D627,城市信息!$B$1:$B$14,城市信息!$A$1:$A$14)</f>
        <v>004</v>
      </c>
      <c r="M627" t="str">
        <f>_xlfn.XLOOKUP($D627,城市信息!$B$1:$B$14,城市信息!$C$1:$C$14)</f>
        <v>苏川</v>
      </c>
      <c r="N627" t="str">
        <f>_xlfn.XLOOKUP($D627,城市信息!$B$1:$B$14,城市信息!$D$1:$D$14)</f>
        <v>二线</v>
      </c>
      <c r="O627">
        <f>_xlfn.XLOOKUP($D627,城市信息!$B$1:$B$14,城市信息!$E$1:$E$14)</f>
        <v>9912</v>
      </c>
      <c r="P627" cm="1">
        <f t="array" ref="P627:U627">_xlfn.XLOOKUP(A627&amp;B627,'[1]2.4自动化报表-8月获客数据-非乱码'!$A:$A&amp;'[1]2.4自动化报表-8月获客数据-非乱码'!$B:$B,'[1]2.4自动化报表-8月获客数据-非乱码'!$C:$H)</f>
        <v>1503</v>
      </c>
      <c r="Q627">
        <v>1460</v>
      </c>
      <c r="R627">
        <v>1400</v>
      </c>
      <c r="S627">
        <v>795</v>
      </c>
      <c r="T627">
        <v>420</v>
      </c>
      <c r="U627">
        <v>695</v>
      </c>
    </row>
    <row r="628" spans="1:21" x14ac:dyDescent="0.3">
      <c r="A628" s="1">
        <v>44066</v>
      </c>
      <c r="B628" t="s">
        <v>15</v>
      </c>
      <c r="C628" t="s">
        <v>108</v>
      </c>
      <c r="D628" t="s">
        <v>59</v>
      </c>
      <c r="E628" t="s">
        <v>118</v>
      </c>
      <c r="F628" s="2">
        <v>105189</v>
      </c>
      <c r="G628" s="2">
        <v>6150</v>
      </c>
      <c r="H628">
        <v>0</v>
      </c>
      <c r="I628" t="str">
        <f>_xlfn.XLOOKUP($C628,战区信息!$A$1:$A$5,战区信息!$B$1:$B$5)</f>
        <v>001</v>
      </c>
      <c r="J628" t="str">
        <f>_xlfn.XLOOKUP($C628,战区信息!$A$1:$A$5,战区信息!$C$1:$C$5)</f>
        <v>江永</v>
      </c>
      <c r="K628" t="str">
        <f>_xlfn.XLOOKUP($C628,战区信息!$A$1:$A$5,战区信息!$D$1:$D$5)</f>
        <v>一级战区</v>
      </c>
      <c r="L628" t="str">
        <f>_xlfn.XLOOKUP($D628,城市信息!$B$1:$B$14,城市信息!$A$1:$A$14)</f>
        <v>004</v>
      </c>
      <c r="M628" t="str">
        <f>_xlfn.XLOOKUP($D628,城市信息!$B$1:$B$14,城市信息!$C$1:$C$14)</f>
        <v>苏川</v>
      </c>
      <c r="N628" t="str">
        <f>_xlfn.XLOOKUP($D628,城市信息!$B$1:$B$14,城市信息!$D$1:$D$14)</f>
        <v>二线</v>
      </c>
      <c r="O628">
        <f>_xlfn.XLOOKUP($D628,城市信息!$B$1:$B$14,城市信息!$E$1:$E$14)</f>
        <v>9912</v>
      </c>
      <c r="P628" cm="1">
        <f t="array" ref="P628:U628">_xlfn.XLOOKUP(A628&amp;B628,'[1]2.4自动化报表-8月获客数据-非乱码'!$A:$A&amp;'[1]2.4自动化报表-8月获客数据-非乱码'!$B:$B,'[1]2.4自动化报表-8月获客数据-非乱码'!$C:$H)</f>
        <v>2157</v>
      </c>
      <c r="Q628">
        <v>2115</v>
      </c>
      <c r="R628">
        <v>2033</v>
      </c>
      <c r="S628">
        <v>1261</v>
      </c>
      <c r="T628">
        <v>631</v>
      </c>
      <c r="U628">
        <v>698</v>
      </c>
    </row>
    <row r="629" spans="1:21" x14ac:dyDescent="0.3">
      <c r="A629" s="1">
        <v>44066</v>
      </c>
      <c r="B629" t="s">
        <v>14</v>
      </c>
      <c r="C629" t="s">
        <v>108</v>
      </c>
      <c r="D629" t="s">
        <v>59</v>
      </c>
      <c r="E629" t="s">
        <v>119</v>
      </c>
      <c r="F629" s="2">
        <v>99313</v>
      </c>
      <c r="G629" s="2">
        <v>6037</v>
      </c>
      <c r="H629">
        <v>0</v>
      </c>
      <c r="I629" t="str">
        <f>_xlfn.XLOOKUP($C629,战区信息!$A$1:$A$5,战区信息!$B$1:$B$5)</f>
        <v>001</v>
      </c>
      <c r="J629" t="str">
        <f>_xlfn.XLOOKUP($C629,战区信息!$A$1:$A$5,战区信息!$C$1:$C$5)</f>
        <v>江永</v>
      </c>
      <c r="K629" t="str">
        <f>_xlfn.XLOOKUP($C629,战区信息!$A$1:$A$5,战区信息!$D$1:$D$5)</f>
        <v>一级战区</v>
      </c>
      <c r="L629" t="str">
        <f>_xlfn.XLOOKUP($D629,城市信息!$B$1:$B$14,城市信息!$A$1:$A$14)</f>
        <v>004</v>
      </c>
      <c r="M629" t="str">
        <f>_xlfn.XLOOKUP($D629,城市信息!$B$1:$B$14,城市信息!$C$1:$C$14)</f>
        <v>苏川</v>
      </c>
      <c r="N629" t="str">
        <f>_xlfn.XLOOKUP($D629,城市信息!$B$1:$B$14,城市信息!$D$1:$D$14)</f>
        <v>二线</v>
      </c>
      <c r="O629">
        <f>_xlfn.XLOOKUP($D629,城市信息!$B$1:$B$14,城市信息!$E$1:$E$14)</f>
        <v>9912</v>
      </c>
      <c r="P629" cm="1">
        <f t="array" ref="P629:U629">_xlfn.XLOOKUP(A629&amp;B629,'[1]2.4自动化报表-8月获客数据-非乱码'!$A:$A&amp;'[1]2.4自动化报表-8月获客数据-非乱码'!$B:$B,'[1]2.4自动化报表-8月获客数据-非乱码'!$C:$H)</f>
        <v>2482</v>
      </c>
      <c r="Q629">
        <v>2397</v>
      </c>
      <c r="R629">
        <v>2302</v>
      </c>
      <c r="S629">
        <v>1443</v>
      </c>
      <c r="T629">
        <v>749</v>
      </c>
      <c r="U629">
        <v>698</v>
      </c>
    </row>
    <row r="630" spans="1:21" x14ac:dyDescent="0.3">
      <c r="A630" s="1">
        <v>44066</v>
      </c>
      <c r="B630" t="s">
        <v>13</v>
      </c>
      <c r="C630" t="s">
        <v>108</v>
      </c>
      <c r="D630" t="s">
        <v>60</v>
      </c>
      <c r="E630" t="s">
        <v>120</v>
      </c>
      <c r="F630" s="2">
        <v>236167</v>
      </c>
      <c r="G630" s="2">
        <v>16166</v>
      </c>
      <c r="H630" s="2">
        <v>10000</v>
      </c>
      <c r="I630" t="str">
        <f>_xlfn.XLOOKUP($C630,战区信息!$A$1:$A$5,战区信息!$B$1:$B$5)</f>
        <v>001</v>
      </c>
      <c r="J630" t="str">
        <f>_xlfn.XLOOKUP($C630,战区信息!$A$1:$A$5,战区信息!$C$1:$C$5)</f>
        <v>江永</v>
      </c>
      <c r="K630" t="str">
        <f>_xlfn.XLOOKUP($C630,战区信息!$A$1:$A$5,战区信息!$D$1:$D$5)</f>
        <v>一级战区</v>
      </c>
      <c r="L630" t="str">
        <f>_xlfn.XLOOKUP($D630,城市信息!$B$1:$B$14,城市信息!$A$1:$A$14)</f>
        <v>005</v>
      </c>
      <c r="M630" t="str">
        <f>_xlfn.XLOOKUP($D630,城市信息!$B$1:$B$14,城市信息!$C$1:$C$14)</f>
        <v>侯阳冰</v>
      </c>
      <c r="N630" t="str">
        <f>_xlfn.XLOOKUP($D630,城市信息!$B$1:$B$14,城市信息!$D$1:$D$14)</f>
        <v>二线</v>
      </c>
      <c r="O630">
        <f>_xlfn.XLOOKUP($D630,城市信息!$B$1:$B$14,城市信息!$E$1:$E$14)</f>
        <v>8694</v>
      </c>
      <c r="P630" cm="1">
        <f t="array" ref="P630:U630">_xlfn.XLOOKUP(A630&amp;B630,'[1]2.4自动化报表-8月获客数据-非乱码'!$A:$A&amp;'[1]2.4自动化报表-8月获客数据-非乱码'!$B:$B,'[1]2.4自动化报表-8月获客数据-非乱码'!$C:$H)</f>
        <v>5861</v>
      </c>
      <c r="Q630">
        <v>5714</v>
      </c>
      <c r="R630">
        <v>5439</v>
      </c>
      <c r="S630">
        <v>3406</v>
      </c>
      <c r="T630">
        <v>1638</v>
      </c>
      <c r="U630">
        <v>697</v>
      </c>
    </row>
    <row r="631" spans="1:21" x14ac:dyDescent="0.3">
      <c r="A631" s="1">
        <v>44066</v>
      </c>
      <c r="B631" t="s">
        <v>12</v>
      </c>
      <c r="C631" t="s">
        <v>108</v>
      </c>
      <c r="D631" t="s">
        <v>60</v>
      </c>
      <c r="E631" t="s">
        <v>121</v>
      </c>
      <c r="F631" s="2">
        <v>70158</v>
      </c>
      <c r="G631" s="2">
        <v>3476</v>
      </c>
      <c r="H631">
        <v>0</v>
      </c>
      <c r="I631" t="str">
        <f>_xlfn.XLOOKUP($C631,战区信息!$A$1:$A$5,战区信息!$B$1:$B$5)</f>
        <v>001</v>
      </c>
      <c r="J631" t="str">
        <f>_xlfn.XLOOKUP($C631,战区信息!$A$1:$A$5,战区信息!$C$1:$C$5)</f>
        <v>江永</v>
      </c>
      <c r="K631" t="str">
        <f>_xlfn.XLOOKUP($C631,战区信息!$A$1:$A$5,战区信息!$D$1:$D$5)</f>
        <v>一级战区</v>
      </c>
      <c r="L631" t="str">
        <f>_xlfn.XLOOKUP($D631,城市信息!$B$1:$B$14,城市信息!$A$1:$A$14)</f>
        <v>005</v>
      </c>
      <c r="M631" t="str">
        <f>_xlfn.XLOOKUP($D631,城市信息!$B$1:$B$14,城市信息!$C$1:$C$14)</f>
        <v>侯阳冰</v>
      </c>
      <c r="N631" t="str">
        <f>_xlfn.XLOOKUP($D631,城市信息!$B$1:$B$14,城市信息!$D$1:$D$14)</f>
        <v>二线</v>
      </c>
      <c r="O631">
        <f>_xlfn.XLOOKUP($D631,城市信息!$B$1:$B$14,城市信息!$E$1:$E$14)</f>
        <v>8694</v>
      </c>
      <c r="P631" cm="1">
        <f t="array" ref="P631:U631">_xlfn.XLOOKUP(A631&amp;B631,'[1]2.4自动化报表-8月获客数据-非乱码'!$A:$A&amp;'[1]2.4自动化报表-8月获客数据-非乱码'!$B:$B,'[1]2.4自动化报表-8月获客数据-非乱码'!$C:$H)</f>
        <v>1538</v>
      </c>
      <c r="Q631">
        <v>1506</v>
      </c>
      <c r="R631">
        <v>1426</v>
      </c>
      <c r="S631">
        <v>909</v>
      </c>
      <c r="T631">
        <v>443</v>
      </c>
      <c r="U631">
        <v>697</v>
      </c>
    </row>
    <row r="632" spans="1:21" x14ac:dyDescent="0.3">
      <c r="A632" s="1">
        <v>44066</v>
      </c>
      <c r="B632" t="s">
        <v>11</v>
      </c>
      <c r="C632" t="s">
        <v>108</v>
      </c>
      <c r="D632" t="s">
        <v>58</v>
      </c>
      <c r="E632" t="s">
        <v>122</v>
      </c>
      <c r="F632" s="2">
        <v>189122</v>
      </c>
      <c r="G632" s="2">
        <v>10205</v>
      </c>
      <c r="H632" s="2">
        <v>3811</v>
      </c>
      <c r="I632" t="str">
        <f>_xlfn.XLOOKUP($C632,战区信息!$A$1:$A$5,战区信息!$B$1:$B$5)</f>
        <v>001</v>
      </c>
      <c r="J632" t="str">
        <f>_xlfn.XLOOKUP($C632,战区信息!$A$1:$A$5,战区信息!$C$1:$C$5)</f>
        <v>江永</v>
      </c>
      <c r="K632" t="str">
        <f>_xlfn.XLOOKUP($C632,战区信息!$A$1:$A$5,战区信息!$D$1:$D$5)</f>
        <v>一级战区</v>
      </c>
      <c r="L632" t="str">
        <f>_xlfn.XLOOKUP($D632,城市信息!$B$1:$B$14,城市信息!$A$1:$A$14)</f>
        <v>003</v>
      </c>
      <c r="M632" t="str">
        <f>_xlfn.XLOOKUP($D632,城市信息!$B$1:$B$14,城市信息!$C$1:$C$14)</f>
        <v>杜光亮</v>
      </c>
      <c r="N632" t="str">
        <f>_xlfn.XLOOKUP($D632,城市信息!$B$1:$B$14,城市信息!$D$1:$D$14)</f>
        <v>二线</v>
      </c>
      <c r="O632">
        <f>_xlfn.XLOOKUP($D632,城市信息!$B$1:$B$14,城市信息!$E$1:$E$14)</f>
        <v>10499</v>
      </c>
      <c r="P632" cm="1">
        <f t="array" ref="P632:U632">_xlfn.XLOOKUP(A632&amp;B632,'[1]2.4自动化报表-8月获客数据-非乱码'!$A:$A&amp;'[1]2.4自动化报表-8月获客数据-非乱码'!$B:$B,'[1]2.4自动化报表-8月获客数据-非乱码'!$C:$H)</f>
        <v>5948</v>
      </c>
      <c r="Q632">
        <v>5713</v>
      </c>
      <c r="R632">
        <v>5407</v>
      </c>
      <c r="S632">
        <v>3299</v>
      </c>
      <c r="T632">
        <v>1528</v>
      </c>
      <c r="U632">
        <v>701</v>
      </c>
    </row>
    <row r="633" spans="1:21" x14ac:dyDescent="0.3">
      <c r="A633" s="1">
        <v>44066</v>
      </c>
      <c r="B633" t="s">
        <v>10</v>
      </c>
      <c r="C633" t="s">
        <v>108</v>
      </c>
      <c r="D633" t="s">
        <v>58</v>
      </c>
      <c r="E633" t="s">
        <v>123</v>
      </c>
      <c r="F633" s="2">
        <v>46365</v>
      </c>
      <c r="G633" s="2">
        <v>2163</v>
      </c>
      <c r="H633">
        <v>0</v>
      </c>
      <c r="I633" t="str">
        <f>_xlfn.XLOOKUP($C633,战区信息!$A$1:$A$5,战区信息!$B$1:$B$5)</f>
        <v>001</v>
      </c>
      <c r="J633" t="str">
        <f>_xlfn.XLOOKUP($C633,战区信息!$A$1:$A$5,战区信息!$C$1:$C$5)</f>
        <v>江永</v>
      </c>
      <c r="K633" t="str">
        <f>_xlfn.XLOOKUP($C633,战区信息!$A$1:$A$5,战区信息!$D$1:$D$5)</f>
        <v>一级战区</v>
      </c>
      <c r="L633" t="str">
        <f>_xlfn.XLOOKUP($D633,城市信息!$B$1:$B$14,城市信息!$A$1:$A$14)</f>
        <v>003</v>
      </c>
      <c r="M633" t="str">
        <f>_xlfn.XLOOKUP($D633,城市信息!$B$1:$B$14,城市信息!$C$1:$C$14)</f>
        <v>杜光亮</v>
      </c>
      <c r="N633" t="str">
        <f>_xlfn.XLOOKUP($D633,城市信息!$B$1:$B$14,城市信息!$D$1:$D$14)</f>
        <v>二线</v>
      </c>
      <c r="O633">
        <f>_xlfn.XLOOKUP($D633,城市信息!$B$1:$B$14,城市信息!$E$1:$E$14)</f>
        <v>10499</v>
      </c>
      <c r="P633" cm="1">
        <f t="array" ref="P633:U633">_xlfn.XLOOKUP(A633&amp;B633,'[1]2.4自动化报表-8月获客数据-非乱码'!$A:$A&amp;'[1]2.4自动化报表-8月获客数据-非乱码'!$B:$B,'[1]2.4自动化报表-8月获客数据-非乱码'!$C:$H)</f>
        <v>1773</v>
      </c>
      <c r="Q633">
        <v>1738</v>
      </c>
      <c r="R633">
        <v>1690</v>
      </c>
      <c r="S633">
        <v>1017</v>
      </c>
      <c r="T633">
        <v>614</v>
      </c>
      <c r="U633">
        <v>701</v>
      </c>
    </row>
    <row r="634" spans="1:21" x14ac:dyDescent="0.3">
      <c r="A634" s="1">
        <v>44066</v>
      </c>
      <c r="B634" t="s">
        <v>9</v>
      </c>
      <c r="C634" t="s">
        <v>108</v>
      </c>
      <c r="D634" t="s">
        <v>58</v>
      </c>
      <c r="E634" t="s">
        <v>124</v>
      </c>
      <c r="F634" s="2">
        <v>181780</v>
      </c>
      <c r="G634" s="2">
        <v>10769</v>
      </c>
      <c r="H634">
        <v>6</v>
      </c>
      <c r="I634" t="str">
        <f>_xlfn.XLOOKUP($C634,战区信息!$A$1:$A$5,战区信息!$B$1:$B$5)</f>
        <v>001</v>
      </c>
      <c r="J634" t="str">
        <f>_xlfn.XLOOKUP($C634,战区信息!$A$1:$A$5,战区信息!$C$1:$C$5)</f>
        <v>江永</v>
      </c>
      <c r="K634" t="str">
        <f>_xlfn.XLOOKUP($C634,战区信息!$A$1:$A$5,战区信息!$D$1:$D$5)</f>
        <v>一级战区</v>
      </c>
      <c r="L634" t="str">
        <f>_xlfn.XLOOKUP($D634,城市信息!$B$1:$B$14,城市信息!$A$1:$A$14)</f>
        <v>003</v>
      </c>
      <c r="M634" t="str">
        <f>_xlfn.XLOOKUP($D634,城市信息!$B$1:$B$14,城市信息!$C$1:$C$14)</f>
        <v>杜光亮</v>
      </c>
      <c r="N634" t="str">
        <f>_xlfn.XLOOKUP($D634,城市信息!$B$1:$B$14,城市信息!$D$1:$D$14)</f>
        <v>二线</v>
      </c>
      <c r="O634">
        <f>_xlfn.XLOOKUP($D634,城市信息!$B$1:$B$14,城市信息!$E$1:$E$14)</f>
        <v>10499</v>
      </c>
      <c r="P634" cm="1">
        <f t="array" ref="P634:U634">_xlfn.XLOOKUP(A634&amp;B634,'[1]2.4自动化报表-8月获客数据-非乱码'!$A:$A&amp;'[1]2.4自动化报表-8月获客数据-非乱码'!$B:$B,'[1]2.4自动化报表-8月获客数据-非乱码'!$C:$H)</f>
        <v>5462</v>
      </c>
      <c r="Q634">
        <v>5322</v>
      </c>
      <c r="R634">
        <v>5146</v>
      </c>
      <c r="S634">
        <v>2927</v>
      </c>
      <c r="T634">
        <v>1639</v>
      </c>
      <c r="U634">
        <v>694</v>
      </c>
    </row>
    <row r="635" spans="1:21" x14ac:dyDescent="0.3">
      <c r="A635" s="1">
        <v>44066</v>
      </c>
      <c r="B635" t="s">
        <v>8</v>
      </c>
      <c r="C635" t="s">
        <v>125</v>
      </c>
      <c r="D635" t="s">
        <v>66</v>
      </c>
      <c r="E635" t="s">
        <v>126</v>
      </c>
      <c r="F635" s="2">
        <v>157959</v>
      </c>
      <c r="G635" s="2">
        <v>9812</v>
      </c>
      <c r="H635">
        <v>954</v>
      </c>
      <c r="I635" t="str">
        <f>_xlfn.XLOOKUP($C635,战区信息!$A$1:$A$5,战区信息!$B$1:$B$5)</f>
        <v>004</v>
      </c>
      <c r="J635" t="str">
        <f>_xlfn.XLOOKUP($C635,战区信息!$A$1:$A$5,战区信息!$C$1:$C$5)</f>
        <v>沈乐欣</v>
      </c>
      <c r="K635" t="str">
        <f>_xlfn.XLOOKUP($C635,战区信息!$A$1:$A$5,战区信息!$D$1:$D$5)</f>
        <v>三级战区</v>
      </c>
      <c r="L635" t="str">
        <f>_xlfn.XLOOKUP($D635,城市信息!$B$1:$B$14,城市信息!$A$1:$A$14)</f>
        <v>011</v>
      </c>
      <c r="M635" t="str">
        <f>_xlfn.XLOOKUP($D635,城市信息!$B$1:$B$14,城市信息!$C$1:$C$14)</f>
        <v>冯谦</v>
      </c>
      <c r="N635" t="str">
        <f>_xlfn.XLOOKUP($D635,城市信息!$B$1:$B$14,城市信息!$D$1:$D$14)</f>
        <v>一线</v>
      </c>
      <c r="O635">
        <f>_xlfn.XLOOKUP($D635,城市信息!$B$1:$B$14,城市信息!$E$1:$E$14)</f>
        <v>8244</v>
      </c>
      <c r="P635" cm="1">
        <f t="array" ref="P635:U635">_xlfn.XLOOKUP(A635&amp;B635,'[1]2.4自动化报表-8月获客数据-非乱码'!$A:$A&amp;'[1]2.4自动化报表-8月获客数据-非乱码'!$B:$B,'[1]2.4自动化报表-8月获客数据-非乱码'!$C:$H)</f>
        <v>1922</v>
      </c>
      <c r="Q635">
        <v>1901</v>
      </c>
      <c r="R635">
        <v>1842</v>
      </c>
      <c r="S635">
        <v>1051</v>
      </c>
      <c r="T635">
        <v>678</v>
      </c>
      <c r="U635">
        <v>686</v>
      </c>
    </row>
    <row r="636" spans="1:21" x14ac:dyDescent="0.3">
      <c r="A636" s="1">
        <v>44066</v>
      </c>
      <c r="B636" t="s">
        <v>7</v>
      </c>
      <c r="C636" t="s">
        <v>125</v>
      </c>
      <c r="D636" t="s">
        <v>62</v>
      </c>
      <c r="E636" t="s">
        <v>127</v>
      </c>
      <c r="F636" s="2">
        <v>8000</v>
      </c>
      <c r="G636">
        <v>858</v>
      </c>
      <c r="H636">
        <v>0</v>
      </c>
      <c r="I636" t="str">
        <f>_xlfn.XLOOKUP($C636,战区信息!$A$1:$A$5,战区信息!$B$1:$B$5)</f>
        <v>004</v>
      </c>
      <c r="J636" t="str">
        <f>_xlfn.XLOOKUP($C636,战区信息!$A$1:$A$5,战区信息!$C$1:$C$5)</f>
        <v>沈乐欣</v>
      </c>
      <c r="K636" t="str">
        <f>_xlfn.XLOOKUP($C636,战区信息!$A$1:$A$5,战区信息!$D$1:$D$5)</f>
        <v>三级战区</v>
      </c>
      <c r="L636" t="str">
        <f>_xlfn.XLOOKUP($D636,城市信息!$B$1:$B$14,城市信息!$A$1:$A$14)</f>
        <v>007</v>
      </c>
      <c r="M636" t="str">
        <f>_xlfn.XLOOKUP($D636,城市信息!$B$1:$B$14,城市信息!$C$1:$C$14)</f>
        <v>范俊发</v>
      </c>
      <c r="N636" t="str">
        <f>_xlfn.XLOOKUP($D636,城市信息!$B$1:$B$14,城市信息!$D$1:$D$14)</f>
        <v>一线</v>
      </c>
      <c r="O636">
        <f>_xlfn.XLOOKUP($D636,城市信息!$B$1:$B$14,城市信息!$E$1:$E$14)</f>
        <v>12358</v>
      </c>
      <c r="P636" cm="1">
        <f t="array" ref="P636:U636">_xlfn.XLOOKUP(A636&amp;B636,'[1]2.4自动化报表-8月获客数据-非乱码'!$A:$A&amp;'[1]2.4自动化报表-8月获客数据-非乱码'!$B:$B,'[1]2.4自动化报表-8月获客数据-非乱码'!$C:$H)</f>
        <v>95</v>
      </c>
      <c r="Q636">
        <v>91</v>
      </c>
      <c r="R636">
        <v>85</v>
      </c>
      <c r="S636">
        <v>45</v>
      </c>
      <c r="T636">
        <v>25</v>
      </c>
      <c r="U636">
        <v>686</v>
      </c>
    </row>
    <row r="637" spans="1:21" x14ac:dyDescent="0.3">
      <c r="A637" s="1">
        <v>44066</v>
      </c>
      <c r="B637" t="s">
        <v>6</v>
      </c>
      <c r="C637" t="s">
        <v>125</v>
      </c>
      <c r="D637" t="s">
        <v>62</v>
      </c>
      <c r="E637" t="s">
        <v>128</v>
      </c>
      <c r="F637" s="2">
        <v>70199</v>
      </c>
      <c r="G637" s="2">
        <v>5453</v>
      </c>
      <c r="H637">
        <v>0</v>
      </c>
      <c r="I637" t="str">
        <f>_xlfn.XLOOKUP($C637,战区信息!$A$1:$A$5,战区信息!$B$1:$B$5)</f>
        <v>004</v>
      </c>
      <c r="J637" t="str">
        <f>_xlfn.XLOOKUP($C637,战区信息!$A$1:$A$5,战区信息!$C$1:$C$5)</f>
        <v>沈乐欣</v>
      </c>
      <c r="K637" t="str">
        <f>_xlfn.XLOOKUP($C637,战区信息!$A$1:$A$5,战区信息!$D$1:$D$5)</f>
        <v>三级战区</v>
      </c>
      <c r="L637" t="str">
        <f>_xlfn.XLOOKUP($D637,城市信息!$B$1:$B$14,城市信息!$A$1:$A$14)</f>
        <v>007</v>
      </c>
      <c r="M637" t="str">
        <f>_xlfn.XLOOKUP($D637,城市信息!$B$1:$B$14,城市信息!$C$1:$C$14)</f>
        <v>范俊发</v>
      </c>
      <c r="N637" t="str">
        <f>_xlfn.XLOOKUP($D637,城市信息!$B$1:$B$14,城市信息!$D$1:$D$14)</f>
        <v>一线</v>
      </c>
      <c r="O637">
        <f>_xlfn.XLOOKUP($D637,城市信息!$B$1:$B$14,城市信息!$E$1:$E$14)</f>
        <v>12358</v>
      </c>
      <c r="P637" cm="1">
        <f t="array" ref="P637:U637">_xlfn.XLOOKUP(A637&amp;B637,'[1]2.4自动化报表-8月获客数据-非乱码'!$A:$A&amp;'[1]2.4自动化报表-8月获客数据-非乱码'!$B:$B,'[1]2.4自动化报表-8月获客数据-非乱码'!$C:$H)</f>
        <v>2088</v>
      </c>
      <c r="Q637">
        <v>2054</v>
      </c>
      <c r="R637">
        <v>2003</v>
      </c>
      <c r="S637">
        <v>1214</v>
      </c>
      <c r="T637">
        <v>676</v>
      </c>
      <c r="U637">
        <v>688</v>
      </c>
    </row>
    <row r="638" spans="1:21" x14ac:dyDescent="0.3">
      <c r="A638" s="1">
        <v>44066</v>
      </c>
      <c r="B638" t="s">
        <v>5</v>
      </c>
      <c r="C638" t="s">
        <v>125</v>
      </c>
      <c r="D638" t="s">
        <v>62</v>
      </c>
      <c r="E638" t="s">
        <v>129</v>
      </c>
      <c r="F638" s="2">
        <v>134129</v>
      </c>
      <c r="G638" s="2">
        <v>7185</v>
      </c>
      <c r="H638">
        <v>888</v>
      </c>
      <c r="I638" t="str">
        <f>_xlfn.XLOOKUP($C638,战区信息!$A$1:$A$5,战区信息!$B$1:$B$5)</f>
        <v>004</v>
      </c>
      <c r="J638" t="str">
        <f>_xlfn.XLOOKUP($C638,战区信息!$A$1:$A$5,战区信息!$C$1:$C$5)</f>
        <v>沈乐欣</v>
      </c>
      <c r="K638" t="str">
        <f>_xlfn.XLOOKUP($C638,战区信息!$A$1:$A$5,战区信息!$D$1:$D$5)</f>
        <v>三级战区</v>
      </c>
      <c r="L638" t="str">
        <f>_xlfn.XLOOKUP($D638,城市信息!$B$1:$B$14,城市信息!$A$1:$A$14)</f>
        <v>007</v>
      </c>
      <c r="M638" t="str">
        <f>_xlfn.XLOOKUP($D638,城市信息!$B$1:$B$14,城市信息!$C$1:$C$14)</f>
        <v>范俊发</v>
      </c>
      <c r="N638" t="str">
        <f>_xlfn.XLOOKUP($D638,城市信息!$B$1:$B$14,城市信息!$D$1:$D$14)</f>
        <v>一线</v>
      </c>
      <c r="O638">
        <f>_xlfn.XLOOKUP($D638,城市信息!$B$1:$B$14,城市信息!$E$1:$E$14)</f>
        <v>12358</v>
      </c>
      <c r="P638" cm="1">
        <f t="array" ref="P638:U638">_xlfn.XLOOKUP(A638&amp;B638,'[1]2.4自动化报表-8月获客数据-非乱码'!$A:$A&amp;'[1]2.4自动化报表-8月获客数据-非乱码'!$B:$B,'[1]2.4自动化报表-8月获客数据-非乱码'!$C:$H)</f>
        <v>1971</v>
      </c>
      <c r="Q638">
        <v>1924</v>
      </c>
      <c r="R638">
        <v>1839</v>
      </c>
      <c r="S638">
        <v>1170</v>
      </c>
      <c r="T638">
        <v>594</v>
      </c>
      <c r="U638">
        <v>689</v>
      </c>
    </row>
    <row r="639" spans="1:21" x14ac:dyDescent="0.3">
      <c r="A639" s="1">
        <v>44066</v>
      </c>
      <c r="B639" t="s">
        <v>33</v>
      </c>
      <c r="C639" t="s">
        <v>125</v>
      </c>
      <c r="D639" t="s">
        <v>62</v>
      </c>
      <c r="E639" t="s">
        <v>130</v>
      </c>
      <c r="F639" s="2">
        <v>2000</v>
      </c>
      <c r="G639">
        <v>83</v>
      </c>
      <c r="H639">
        <v>0</v>
      </c>
      <c r="I639" t="str">
        <f>_xlfn.XLOOKUP($C639,战区信息!$A$1:$A$5,战区信息!$B$1:$B$5)</f>
        <v>004</v>
      </c>
      <c r="J639" t="str">
        <f>_xlfn.XLOOKUP($C639,战区信息!$A$1:$A$5,战区信息!$C$1:$C$5)</f>
        <v>沈乐欣</v>
      </c>
      <c r="K639" t="str">
        <f>_xlfn.XLOOKUP($C639,战区信息!$A$1:$A$5,战区信息!$D$1:$D$5)</f>
        <v>三级战区</v>
      </c>
      <c r="L639" t="str">
        <f>_xlfn.XLOOKUP($D639,城市信息!$B$1:$B$14,城市信息!$A$1:$A$14)</f>
        <v>007</v>
      </c>
      <c r="M639" t="str">
        <f>_xlfn.XLOOKUP($D639,城市信息!$B$1:$B$14,城市信息!$C$1:$C$14)</f>
        <v>范俊发</v>
      </c>
      <c r="N639" t="str">
        <f>_xlfn.XLOOKUP($D639,城市信息!$B$1:$B$14,城市信息!$D$1:$D$14)</f>
        <v>一线</v>
      </c>
      <c r="O639">
        <f>_xlfn.XLOOKUP($D639,城市信息!$B$1:$B$14,城市信息!$E$1:$E$14)</f>
        <v>12358</v>
      </c>
      <c r="P639" cm="1">
        <f t="array" ref="P639:U639">_xlfn.XLOOKUP(A639&amp;B639,'[1]2.4自动化报表-8月获客数据-非乱码'!$A:$A&amp;'[1]2.4自动化报表-8月获客数据-非乱码'!$B:$B,'[1]2.4自动化报表-8月获客数据-非乱码'!$C:$H)</f>
        <v>207</v>
      </c>
      <c r="Q639">
        <v>204</v>
      </c>
      <c r="R639">
        <v>195</v>
      </c>
      <c r="S639">
        <v>121</v>
      </c>
      <c r="T639">
        <v>79</v>
      </c>
      <c r="U639">
        <v>696</v>
      </c>
    </row>
    <row r="640" spans="1:21" x14ac:dyDescent="0.3">
      <c r="A640" s="1">
        <v>44067</v>
      </c>
      <c r="B640" t="s">
        <v>32</v>
      </c>
      <c r="C640" t="s">
        <v>97</v>
      </c>
      <c r="D640" t="s">
        <v>67</v>
      </c>
      <c r="E640" t="s">
        <v>98</v>
      </c>
      <c r="F640" s="2">
        <v>97050</v>
      </c>
      <c r="G640" s="2">
        <v>5331</v>
      </c>
      <c r="H640">
        <v>0</v>
      </c>
      <c r="I640" t="str">
        <f>_xlfn.XLOOKUP($C640,战区信息!$A$1:$A$5,战区信息!$B$1:$B$5)</f>
        <v>003</v>
      </c>
      <c r="J640" t="str">
        <f>_xlfn.XLOOKUP($C640,战区信息!$A$1:$A$5,战区信息!$C$1:$C$5)</f>
        <v>田楠</v>
      </c>
      <c r="K640" t="str">
        <f>_xlfn.XLOOKUP($C640,战区信息!$A$1:$A$5,战区信息!$D$1:$D$5)</f>
        <v>二级战区</v>
      </c>
      <c r="L640" t="str">
        <f>_xlfn.XLOOKUP($D640,城市信息!$B$1:$B$14,城市信息!$A$1:$A$14)</f>
        <v>012</v>
      </c>
      <c r="M640" t="str">
        <f>_xlfn.XLOOKUP($D640,城市信息!$B$1:$B$14,城市信息!$C$1:$C$14)</f>
        <v>于子默</v>
      </c>
      <c r="N640" t="str">
        <f>_xlfn.XLOOKUP($D640,城市信息!$B$1:$B$14,城市信息!$D$1:$D$14)</f>
        <v>二线</v>
      </c>
      <c r="O640">
        <f>_xlfn.XLOOKUP($D640,城市信息!$B$1:$B$14,城市信息!$E$1:$E$14)</f>
        <v>9713</v>
      </c>
      <c r="P640" cm="1">
        <f t="array" ref="P640:U640">_xlfn.XLOOKUP(A640&amp;B640,'[1]2.4自动化报表-8月获客数据-非乱码'!$A:$A&amp;'[1]2.4自动化报表-8月获客数据-非乱码'!$B:$B,'[1]2.4自动化报表-8月获客数据-非乱码'!$C:$H)</f>
        <v>2133</v>
      </c>
      <c r="Q640">
        <v>2102</v>
      </c>
      <c r="R640">
        <v>2043</v>
      </c>
      <c r="S640">
        <v>1310</v>
      </c>
      <c r="T640">
        <v>719</v>
      </c>
      <c r="U640">
        <v>691</v>
      </c>
    </row>
    <row r="641" spans="1:21" x14ac:dyDescent="0.3">
      <c r="A641" s="1">
        <v>44067</v>
      </c>
      <c r="B641" t="s">
        <v>31</v>
      </c>
      <c r="C641" t="s">
        <v>97</v>
      </c>
      <c r="D641" t="s">
        <v>65</v>
      </c>
      <c r="E641" t="s">
        <v>99</v>
      </c>
      <c r="F641" s="2">
        <v>140326</v>
      </c>
      <c r="G641" s="2">
        <v>7205</v>
      </c>
      <c r="H641" s="2">
        <v>36648</v>
      </c>
      <c r="I641" t="str">
        <f>_xlfn.XLOOKUP($C641,战区信息!$A$1:$A$5,战区信息!$B$1:$B$5)</f>
        <v>003</v>
      </c>
      <c r="J641" t="str">
        <f>_xlfn.XLOOKUP($C641,战区信息!$A$1:$A$5,战区信息!$C$1:$C$5)</f>
        <v>田楠</v>
      </c>
      <c r="K641" t="str">
        <f>_xlfn.XLOOKUP($C641,战区信息!$A$1:$A$5,战区信息!$D$1:$D$5)</f>
        <v>二级战区</v>
      </c>
      <c r="L641" t="str">
        <f>_xlfn.XLOOKUP($D641,城市信息!$B$1:$B$14,城市信息!$A$1:$A$14)</f>
        <v>010</v>
      </c>
      <c r="M641" t="str">
        <f>_xlfn.XLOOKUP($D641,城市信息!$B$1:$B$14,城市信息!$C$1:$C$14)</f>
        <v>黄鹏天</v>
      </c>
      <c r="N641" t="str">
        <f>_xlfn.XLOOKUP($D641,城市信息!$B$1:$B$14,城市信息!$D$1:$D$14)</f>
        <v>二线</v>
      </c>
      <c r="O641">
        <f>_xlfn.XLOOKUP($D641,城市信息!$B$1:$B$14,城市信息!$E$1:$E$14)</f>
        <v>8295</v>
      </c>
      <c r="P641" cm="1">
        <f t="array" ref="P641:U641">_xlfn.XLOOKUP(A641&amp;B641,'[1]2.4自动化报表-8月获客数据-非乱码'!$A:$A&amp;'[1]2.4自动化报表-8月获客数据-非乱码'!$B:$B,'[1]2.4自动化报表-8月获客数据-非乱码'!$C:$H)</f>
        <v>2969</v>
      </c>
      <c r="Q641">
        <v>2920</v>
      </c>
      <c r="R641">
        <v>2830</v>
      </c>
      <c r="S641">
        <v>1732</v>
      </c>
      <c r="T641">
        <v>979</v>
      </c>
      <c r="U641">
        <v>692</v>
      </c>
    </row>
    <row r="642" spans="1:21" x14ac:dyDescent="0.3">
      <c r="A642" s="1">
        <v>44067</v>
      </c>
      <c r="B642" t="s">
        <v>30</v>
      </c>
      <c r="C642" t="s">
        <v>97</v>
      </c>
      <c r="D642" t="s">
        <v>61</v>
      </c>
      <c r="E642" t="s">
        <v>100</v>
      </c>
      <c r="F642" s="2">
        <v>248817</v>
      </c>
      <c r="G642" s="2">
        <v>11809</v>
      </c>
      <c r="H642">
        <v>0</v>
      </c>
      <c r="I642" t="str">
        <f>_xlfn.XLOOKUP($C642,战区信息!$A$1:$A$5,战区信息!$B$1:$B$5)</f>
        <v>003</v>
      </c>
      <c r="J642" t="str">
        <f>_xlfn.XLOOKUP($C642,战区信息!$A$1:$A$5,战区信息!$C$1:$C$5)</f>
        <v>田楠</v>
      </c>
      <c r="K642" t="str">
        <f>_xlfn.XLOOKUP($C642,战区信息!$A$1:$A$5,战区信息!$D$1:$D$5)</f>
        <v>二级战区</v>
      </c>
      <c r="L642" t="str">
        <f>_xlfn.XLOOKUP($D642,城市信息!$B$1:$B$14,城市信息!$A$1:$A$14)</f>
        <v>006</v>
      </c>
      <c r="M642" t="str">
        <f>_xlfn.XLOOKUP($D642,城市信息!$B$1:$B$14,城市信息!$C$1:$C$14)</f>
        <v>王刚</v>
      </c>
      <c r="N642" t="str">
        <f>_xlfn.XLOOKUP($D642,城市信息!$B$1:$B$14,城市信息!$D$1:$D$14)</f>
        <v>二线</v>
      </c>
      <c r="O642">
        <f>_xlfn.XLOOKUP($D642,城市信息!$B$1:$B$14,城市信息!$E$1:$E$14)</f>
        <v>9107</v>
      </c>
      <c r="P642" cm="1">
        <f t="array" ref="P642:U642">_xlfn.XLOOKUP(A642&amp;B642,'[1]2.4自动化报表-8月获客数据-非乱码'!$A:$A&amp;'[1]2.4自动化报表-8月获客数据-非乱码'!$B:$B,'[1]2.4自动化报表-8月获客数据-非乱码'!$C:$H)</f>
        <v>4732</v>
      </c>
      <c r="Q642">
        <v>4618</v>
      </c>
      <c r="R642">
        <v>4431</v>
      </c>
      <c r="S642">
        <v>2797</v>
      </c>
      <c r="T642">
        <v>1434</v>
      </c>
      <c r="U642">
        <v>699</v>
      </c>
    </row>
    <row r="643" spans="1:21" x14ac:dyDescent="0.3">
      <c r="A643" s="1">
        <v>44067</v>
      </c>
      <c r="B643" t="s">
        <v>29</v>
      </c>
      <c r="C643" t="s">
        <v>97</v>
      </c>
      <c r="D643" t="s">
        <v>64</v>
      </c>
      <c r="E643" t="s">
        <v>101</v>
      </c>
      <c r="F643" s="2">
        <v>140728</v>
      </c>
      <c r="G643" s="2">
        <v>6900</v>
      </c>
      <c r="H643">
        <v>0</v>
      </c>
      <c r="I643" t="str">
        <f>_xlfn.XLOOKUP($C643,战区信息!$A$1:$A$5,战区信息!$B$1:$B$5)</f>
        <v>003</v>
      </c>
      <c r="J643" t="str">
        <f>_xlfn.XLOOKUP($C643,战区信息!$A$1:$A$5,战区信息!$C$1:$C$5)</f>
        <v>田楠</v>
      </c>
      <c r="K643" t="str">
        <f>_xlfn.XLOOKUP($C643,战区信息!$A$1:$A$5,战区信息!$D$1:$D$5)</f>
        <v>二级战区</v>
      </c>
      <c r="L643" t="str">
        <f>_xlfn.XLOOKUP($D643,城市信息!$B$1:$B$14,城市信息!$A$1:$A$14)</f>
        <v>009</v>
      </c>
      <c r="M643" t="str">
        <f>_xlfn.XLOOKUP($D643,城市信息!$B$1:$B$14,城市信息!$C$1:$C$14)</f>
        <v>叶超</v>
      </c>
      <c r="N643" t="str">
        <f>_xlfn.XLOOKUP($D643,城市信息!$B$1:$B$14,城市信息!$D$1:$D$14)</f>
        <v>二线</v>
      </c>
      <c r="O643">
        <f>_xlfn.XLOOKUP($D643,城市信息!$B$1:$B$14,城市信息!$E$1:$E$14)</f>
        <v>9016</v>
      </c>
      <c r="P643" cm="1">
        <f t="array" ref="P643:U643">_xlfn.XLOOKUP(A643&amp;B643,'[1]2.4自动化报表-8月获客数据-非乱码'!$A:$A&amp;'[1]2.4自动化报表-8月获客数据-非乱码'!$B:$B,'[1]2.4自动化报表-8月获客数据-非乱码'!$C:$H)</f>
        <v>2845</v>
      </c>
      <c r="Q643">
        <v>2773</v>
      </c>
      <c r="R643">
        <v>2675</v>
      </c>
      <c r="S643">
        <v>1720</v>
      </c>
      <c r="T643">
        <v>949</v>
      </c>
      <c r="U643">
        <v>691</v>
      </c>
    </row>
    <row r="644" spans="1:21" x14ac:dyDescent="0.3">
      <c r="A644" s="1">
        <v>44067</v>
      </c>
      <c r="B644" t="s">
        <v>28</v>
      </c>
      <c r="C644" t="s">
        <v>97</v>
      </c>
      <c r="D644" t="s">
        <v>64</v>
      </c>
      <c r="E644" t="s">
        <v>102</v>
      </c>
      <c r="F644" s="2">
        <v>27001</v>
      </c>
      <c r="G644" s="2">
        <v>1124</v>
      </c>
      <c r="H644">
        <v>0</v>
      </c>
      <c r="I644" t="str">
        <f>_xlfn.XLOOKUP($C644,战区信息!$A$1:$A$5,战区信息!$B$1:$B$5)</f>
        <v>003</v>
      </c>
      <c r="J644" t="str">
        <f>_xlfn.XLOOKUP($C644,战区信息!$A$1:$A$5,战区信息!$C$1:$C$5)</f>
        <v>田楠</v>
      </c>
      <c r="K644" t="str">
        <f>_xlfn.XLOOKUP($C644,战区信息!$A$1:$A$5,战区信息!$D$1:$D$5)</f>
        <v>二级战区</v>
      </c>
      <c r="L644" t="str">
        <f>_xlfn.XLOOKUP($D644,城市信息!$B$1:$B$14,城市信息!$A$1:$A$14)</f>
        <v>009</v>
      </c>
      <c r="M644" t="str">
        <f>_xlfn.XLOOKUP($D644,城市信息!$B$1:$B$14,城市信息!$C$1:$C$14)</f>
        <v>叶超</v>
      </c>
      <c r="N644" t="str">
        <f>_xlfn.XLOOKUP($D644,城市信息!$B$1:$B$14,城市信息!$D$1:$D$14)</f>
        <v>二线</v>
      </c>
      <c r="O644">
        <f>_xlfn.XLOOKUP($D644,城市信息!$B$1:$B$14,城市信息!$E$1:$E$14)</f>
        <v>9016</v>
      </c>
      <c r="P644" cm="1">
        <f t="array" ref="P644:U644">_xlfn.XLOOKUP(A644&amp;B644,'[1]2.4自动化报表-8月获客数据-非乱码'!$A:$A&amp;'[1]2.4自动化报表-8月获客数据-非乱码'!$B:$B,'[1]2.4自动化报表-8月获客数据-非乱码'!$C:$H)</f>
        <v>672</v>
      </c>
      <c r="Q644">
        <v>662</v>
      </c>
      <c r="R644">
        <v>643</v>
      </c>
      <c r="S644">
        <v>443</v>
      </c>
      <c r="T644">
        <v>209</v>
      </c>
      <c r="U644">
        <v>692</v>
      </c>
    </row>
    <row r="645" spans="1:21" x14ac:dyDescent="0.3">
      <c r="A645" s="1">
        <v>44067</v>
      </c>
      <c r="B645" t="s">
        <v>27</v>
      </c>
      <c r="C645" t="s">
        <v>103</v>
      </c>
      <c r="D645" t="s">
        <v>63</v>
      </c>
      <c r="E645" t="s">
        <v>104</v>
      </c>
      <c r="F645" s="2">
        <v>123897</v>
      </c>
      <c r="G645" s="2">
        <v>7378</v>
      </c>
      <c r="H645">
        <v>572</v>
      </c>
      <c r="I645" t="str">
        <f>_xlfn.XLOOKUP($C645,战区信息!$A$1:$A$5,战区信息!$B$1:$B$5)</f>
        <v>002</v>
      </c>
      <c r="J645" t="str">
        <f>_xlfn.XLOOKUP($C645,战区信息!$A$1:$A$5,战区信息!$C$1:$C$5)</f>
        <v>高安平</v>
      </c>
      <c r="K645" t="str">
        <f>_xlfn.XLOOKUP($C645,战区信息!$A$1:$A$5,战区信息!$D$1:$D$5)</f>
        <v>二级战区</v>
      </c>
      <c r="L645" t="str">
        <f>_xlfn.XLOOKUP($D645,城市信息!$B$1:$B$14,城市信息!$A$1:$A$14)</f>
        <v>008</v>
      </c>
      <c r="M645" t="str">
        <f>_xlfn.XLOOKUP($D645,城市信息!$B$1:$B$14,城市信息!$C$1:$C$14)</f>
        <v>高弘壮</v>
      </c>
      <c r="N645" t="str">
        <f>_xlfn.XLOOKUP($D645,城市信息!$B$1:$B$14,城市信息!$D$1:$D$14)</f>
        <v>一线</v>
      </c>
      <c r="O645">
        <f>_xlfn.XLOOKUP($D645,城市信息!$B$1:$B$14,城市信息!$E$1:$E$14)</f>
        <v>11498</v>
      </c>
      <c r="P645" cm="1">
        <f t="array" ref="P645:U645">_xlfn.XLOOKUP(A645&amp;B645,'[1]2.4自动化报表-8月获客数据-非乱码'!$A:$A&amp;'[1]2.4自动化报表-8月获客数据-非乱码'!$B:$B,'[1]2.4自动化报表-8月获客数据-非乱码'!$C:$H)</f>
        <v>3823</v>
      </c>
      <c r="Q645">
        <v>3708</v>
      </c>
      <c r="R645">
        <v>3535</v>
      </c>
      <c r="S645">
        <v>2103</v>
      </c>
      <c r="T645">
        <v>1122</v>
      </c>
      <c r="U645">
        <v>689</v>
      </c>
    </row>
    <row r="646" spans="1:21" x14ac:dyDescent="0.3">
      <c r="A646" s="1">
        <v>44067</v>
      </c>
      <c r="B646" t="s">
        <v>26</v>
      </c>
      <c r="C646" t="s">
        <v>103</v>
      </c>
      <c r="D646" t="s">
        <v>57</v>
      </c>
      <c r="E646" t="s">
        <v>105</v>
      </c>
      <c r="F646" s="2">
        <v>251556</v>
      </c>
      <c r="G646" s="2">
        <v>11586</v>
      </c>
      <c r="H646">
        <v>0</v>
      </c>
      <c r="I646" t="str">
        <f>_xlfn.XLOOKUP($C646,战区信息!$A$1:$A$5,战区信息!$B$1:$B$5)</f>
        <v>002</v>
      </c>
      <c r="J646" t="str">
        <f>_xlfn.XLOOKUP($C646,战区信息!$A$1:$A$5,战区信息!$C$1:$C$5)</f>
        <v>高安平</v>
      </c>
      <c r="K646" t="str">
        <f>_xlfn.XLOOKUP($C646,战区信息!$A$1:$A$5,战区信息!$D$1:$D$5)</f>
        <v>二级战区</v>
      </c>
      <c r="L646" t="str">
        <f>_xlfn.XLOOKUP($D646,城市信息!$B$1:$B$14,城市信息!$A$1:$A$14)</f>
        <v>002</v>
      </c>
      <c r="M646" t="str">
        <f>_xlfn.XLOOKUP($D646,城市信息!$B$1:$B$14,城市信息!$C$1:$C$14)</f>
        <v>孙乒</v>
      </c>
      <c r="N646" t="str">
        <f>_xlfn.XLOOKUP($D646,城市信息!$B$1:$B$14,城市信息!$D$1:$D$14)</f>
        <v>一线</v>
      </c>
      <c r="O646">
        <f>_xlfn.XLOOKUP($D646,城市信息!$B$1:$B$14,城市信息!$E$1:$E$14)</f>
        <v>9854</v>
      </c>
      <c r="P646" cm="1">
        <f t="array" ref="P646:U646">_xlfn.XLOOKUP(A646&amp;B646,'[1]2.4自动化报表-8月获客数据-非乱码'!$A:$A&amp;'[1]2.4自动化报表-8月获客数据-非乱码'!$B:$B,'[1]2.4自动化报表-8月获客数据-非乱码'!$C:$H)</f>
        <v>6715</v>
      </c>
      <c r="Q646">
        <v>6552</v>
      </c>
      <c r="R646">
        <v>6276</v>
      </c>
      <c r="S646">
        <v>3927</v>
      </c>
      <c r="T646">
        <v>2170</v>
      </c>
      <c r="U646">
        <v>688</v>
      </c>
    </row>
    <row r="647" spans="1:21" x14ac:dyDescent="0.3">
      <c r="A647" s="1">
        <v>44067</v>
      </c>
      <c r="B647" t="s">
        <v>25</v>
      </c>
      <c r="C647" t="s">
        <v>103</v>
      </c>
      <c r="D647" t="s">
        <v>57</v>
      </c>
      <c r="E647" t="s">
        <v>106</v>
      </c>
      <c r="F647" s="2">
        <v>153807</v>
      </c>
      <c r="G647" s="2">
        <v>9695</v>
      </c>
      <c r="H647" s="2">
        <v>2842</v>
      </c>
      <c r="I647" t="str">
        <f>_xlfn.XLOOKUP($C647,战区信息!$A$1:$A$5,战区信息!$B$1:$B$5)</f>
        <v>002</v>
      </c>
      <c r="J647" t="str">
        <f>_xlfn.XLOOKUP($C647,战区信息!$A$1:$A$5,战区信息!$C$1:$C$5)</f>
        <v>高安平</v>
      </c>
      <c r="K647" t="str">
        <f>_xlfn.XLOOKUP($C647,战区信息!$A$1:$A$5,战区信息!$D$1:$D$5)</f>
        <v>二级战区</v>
      </c>
      <c r="L647" t="str">
        <f>_xlfn.XLOOKUP($D647,城市信息!$B$1:$B$14,城市信息!$A$1:$A$14)</f>
        <v>002</v>
      </c>
      <c r="M647" t="str">
        <f>_xlfn.XLOOKUP($D647,城市信息!$B$1:$B$14,城市信息!$C$1:$C$14)</f>
        <v>孙乒</v>
      </c>
      <c r="N647" t="str">
        <f>_xlfn.XLOOKUP($D647,城市信息!$B$1:$B$14,城市信息!$D$1:$D$14)</f>
        <v>一线</v>
      </c>
      <c r="O647">
        <f>_xlfn.XLOOKUP($D647,城市信息!$B$1:$B$14,城市信息!$E$1:$E$14)</f>
        <v>9854</v>
      </c>
      <c r="P647" cm="1">
        <f t="array" ref="P647:U647">_xlfn.XLOOKUP(A647&amp;B647,'[1]2.4自动化报表-8月获客数据-非乱码'!$A:$A&amp;'[1]2.4自动化报表-8月获客数据-非乱码'!$B:$B,'[1]2.4自动化报表-8月获客数据-非乱码'!$C:$H)</f>
        <v>3843</v>
      </c>
      <c r="Q647">
        <v>3731</v>
      </c>
      <c r="R647">
        <v>3538</v>
      </c>
      <c r="S647">
        <v>2120</v>
      </c>
      <c r="T647">
        <v>1235</v>
      </c>
      <c r="U647">
        <v>689</v>
      </c>
    </row>
    <row r="648" spans="1:21" x14ac:dyDescent="0.3">
      <c r="A648" s="1">
        <v>44067</v>
      </c>
      <c r="B648" t="s">
        <v>24</v>
      </c>
      <c r="C648" t="s">
        <v>103</v>
      </c>
      <c r="D648" t="s">
        <v>57</v>
      </c>
      <c r="E648" t="s">
        <v>107</v>
      </c>
      <c r="F648" s="2">
        <v>128287</v>
      </c>
      <c r="G648" s="2">
        <v>6715</v>
      </c>
      <c r="H648">
        <v>0</v>
      </c>
      <c r="I648" t="str">
        <f>_xlfn.XLOOKUP($C648,战区信息!$A$1:$A$5,战区信息!$B$1:$B$5)</f>
        <v>002</v>
      </c>
      <c r="J648" t="str">
        <f>_xlfn.XLOOKUP($C648,战区信息!$A$1:$A$5,战区信息!$C$1:$C$5)</f>
        <v>高安平</v>
      </c>
      <c r="K648" t="str">
        <f>_xlfn.XLOOKUP($C648,战区信息!$A$1:$A$5,战区信息!$D$1:$D$5)</f>
        <v>二级战区</v>
      </c>
      <c r="L648" t="str">
        <f>_xlfn.XLOOKUP($D648,城市信息!$B$1:$B$14,城市信息!$A$1:$A$14)</f>
        <v>002</v>
      </c>
      <c r="M648" t="str">
        <f>_xlfn.XLOOKUP($D648,城市信息!$B$1:$B$14,城市信息!$C$1:$C$14)</f>
        <v>孙乒</v>
      </c>
      <c r="N648" t="str">
        <f>_xlfn.XLOOKUP($D648,城市信息!$B$1:$B$14,城市信息!$D$1:$D$14)</f>
        <v>一线</v>
      </c>
      <c r="O648">
        <f>_xlfn.XLOOKUP($D648,城市信息!$B$1:$B$14,城市信息!$E$1:$E$14)</f>
        <v>9854</v>
      </c>
      <c r="P648" cm="1">
        <f t="array" ref="P648:U648">_xlfn.XLOOKUP(A648&amp;B648,'[1]2.4自动化报表-8月获客数据-非乱码'!$A:$A&amp;'[1]2.4自动化报表-8月获客数据-非乱码'!$B:$B,'[1]2.4自动化报表-8月获客数据-非乱码'!$C:$H)</f>
        <v>3783</v>
      </c>
      <c r="Q648">
        <v>3704</v>
      </c>
      <c r="R648">
        <v>3545</v>
      </c>
      <c r="S648">
        <v>2217</v>
      </c>
      <c r="T648">
        <v>1266</v>
      </c>
      <c r="U648">
        <v>691</v>
      </c>
    </row>
    <row r="649" spans="1:21" x14ac:dyDescent="0.3">
      <c r="A649" s="1">
        <v>44067</v>
      </c>
      <c r="B649" t="s">
        <v>23</v>
      </c>
      <c r="C649" t="s">
        <v>108</v>
      </c>
      <c r="D649" t="s">
        <v>109</v>
      </c>
      <c r="E649" t="s">
        <v>110</v>
      </c>
      <c r="F649" s="2">
        <v>220541</v>
      </c>
      <c r="G649" s="2">
        <v>11329</v>
      </c>
      <c r="H649">
        <v>681</v>
      </c>
      <c r="I649" t="str">
        <f>_xlfn.XLOOKUP($C649,战区信息!$A$1:$A$5,战区信息!$B$1:$B$5)</f>
        <v>001</v>
      </c>
      <c r="J649" t="str">
        <f>_xlfn.XLOOKUP($C649,战区信息!$A$1:$A$5,战区信息!$C$1:$C$5)</f>
        <v>江永</v>
      </c>
      <c r="K649" t="str">
        <f>_xlfn.XLOOKUP($C649,战区信息!$A$1:$A$5,战区信息!$D$1:$D$5)</f>
        <v>一级战区</v>
      </c>
      <c r="L649" t="str">
        <f>_xlfn.XLOOKUP($D649,城市信息!$B$1:$B$14,城市信息!$A$1:$A$14)</f>
        <v>013</v>
      </c>
      <c r="M649" t="str">
        <f>_xlfn.XLOOKUP($D649,城市信息!$B$1:$B$14,城市信息!$C$1:$C$14)</f>
        <v>张建</v>
      </c>
      <c r="N649" t="str">
        <f>_xlfn.XLOOKUP($D649,城市信息!$B$1:$B$14,城市信息!$D$1:$D$14)</f>
        <v>二线</v>
      </c>
      <c r="O649">
        <f>_xlfn.XLOOKUP($D649,城市信息!$B$1:$B$14,城市信息!$E$1:$E$14)</f>
        <v>8800</v>
      </c>
      <c r="P649" cm="1">
        <f t="array" ref="P649:U649">_xlfn.XLOOKUP(A649&amp;B649,'[1]2.4自动化报表-8月获客数据-非乱码'!$A:$A&amp;'[1]2.4自动化报表-8月获客数据-非乱码'!$B:$B,'[1]2.4自动化报表-8月获客数据-非乱码'!$C:$H)</f>
        <v>6097</v>
      </c>
      <c r="Q649">
        <v>5870</v>
      </c>
      <c r="R649">
        <v>5578</v>
      </c>
      <c r="S649">
        <v>3389</v>
      </c>
      <c r="T649">
        <v>1757</v>
      </c>
      <c r="U649">
        <v>695</v>
      </c>
    </row>
    <row r="650" spans="1:21" x14ac:dyDescent="0.3">
      <c r="A650" s="1">
        <v>44067</v>
      </c>
      <c r="B650" t="s">
        <v>22</v>
      </c>
      <c r="C650" t="s">
        <v>108</v>
      </c>
      <c r="D650" t="s">
        <v>109</v>
      </c>
      <c r="E650" t="s">
        <v>111</v>
      </c>
      <c r="F650" s="2">
        <v>11501</v>
      </c>
      <c r="G650">
        <v>777</v>
      </c>
      <c r="H650" s="2">
        <v>5438</v>
      </c>
      <c r="I650" t="str">
        <f>_xlfn.XLOOKUP($C650,战区信息!$A$1:$A$5,战区信息!$B$1:$B$5)</f>
        <v>001</v>
      </c>
      <c r="J650" t="str">
        <f>_xlfn.XLOOKUP($C650,战区信息!$A$1:$A$5,战区信息!$C$1:$C$5)</f>
        <v>江永</v>
      </c>
      <c r="K650" t="str">
        <f>_xlfn.XLOOKUP($C650,战区信息!$A$1:$A$5,战区信息!$D$1:$D$5)</f>
        <v>一级战区</v>
      </c>
      <c r="L650" t="str">
        <f>_xlfn.XLOOKUP($D650,城市信息!$B$1:$B$14,城市信息!$A$1:$A$14)</f>
        <v>013</v>
      </c>
      <c r="M650" t="str">
        <f>_xlfn.XLOOKUP($D650,城市信息!$B$1:$B$14,城市信息!$C$1:$C$14)</f>
        <v>张建</v>
      </c>
      <c r="N650" t="str">
        <f>_xlfn.XLOOKUP($D650,城市信息!$B$1:$B$14,城市信息!$D$1:$D$14)</f>
        <v>二线</v>
      </c>
      <c r="O650">
        <f>_xlfn.XLOOKUP($D650,城市信息!$B$1:$B$14,城市信息!$E$1:$E$14)</f>
        <v>8800</v>
      </c>
      <c r="P650" cm="1">
        <f t="array" ref="P650:U650">_xlfn.XLOOKUP(A650&amp;B650,'[1]2.4自动化报表-8月获客数据-非乱码'!$A:$A&amp;'[1]2.4自动化报表-8月获客数据-非乱码'!$B:$B,'[1]2.4自动化报表-8月获客数据-非乱码'!$C:$H)</f>
        <v>182</v>
      </c>
      <c r="Q650">
        <v>179</v>
      </c>
      <c r="R650">
        <v>153</v>
      </c>
      <c r="S650">
        <v>89</v>
      </c>
      <c r="T650">
        <v>40</v>
      </c>
      <c r="U650">
        <v>687</v>
      </c>
    </row>
    <row r="651" spans="1:21" x14ac:dyDescent="0.3">
      <c r="A651" s="1">
        <v>44067</v>
      </c>
      <c r="B651" t="s">
        <v>21</v>
      </c>
      <c r="C651" t="s">
        <v>108</v>
      </c>
      <c r="D651" t="s">
        <v>109</v>
      </c>
      <c r="E651" t="s">
        <v>112</v>
      </c>
      <c r="F651" s="2">
        <v>279973</v>
      </c>
      <c r="G651" s="2">
        <v>13836</v>
      </c>
      <c r="H651" s="2">
        <v>1239</v>
      </c>
      <c r="I651" t="str">
        <f>_xlfn.XLOOKUP($C651,战区信息!$A$1:$A$5,战区信息!$B$1:$B$5)</f>
        <v>001</v>
      </c>
      <c r="J651" t="str">
        <f>_xlfn.XLOOKUP($C651,战区信息!$A$1:$A$5,战区信息!$C$1:$C$5)</f>
        <v>江永</v>
      </c>
      <c r="K651" t="str">
        <f>_xlfn.XLOOKUP($C651,战区信息!$A$1:$A$5,战区信息!$D$1:$D$5)</f>
        <v>一级战区</v>
      </c>
      <c r="L651" t="str">
        <f>_xlfn.XLOOKUP($D651,城市信息!$B$1:$B$14,城市信息!$A$1:$A$14)</f>
        <v>013</v>
      </c>
      <c r="M651" t="str">
        <f>_xlfn.XLOOKUP($D651,城市信息!$B$1:$B$14,城市信息!$C$1:$C$14)</f>
        <v>张建</v>
      </c>
      <c r="N651" t="str">
        <f>_xlfn.XLOOKUP($D651,城市信息!$B$1:$B$14,城市信息!$D$1:$D$14)</f>
        <v>二线</v>
      </c>
      <c r="O651">
        <f>_xlfn.XLOOKUP($D651,城市信息!$B$1:$B$14,城市信息!$E$1:$E$14)</f>
        <v>8800</v>
      </c>
      <c r="P651" cm="1">
        <f t="array" ref="P651:U651">_xlfn.XLOOKUP(A651&amp;B651,'[1]2.4自动化报表-8月获客数据-非乱码'!$A:$A&amp;'[1]2.4自动化报表-8月获客数据-非乱码'!$B:$B,'[1]2.4自动化报表-8月获客数据-非乱码'!$C:$H)</f>
        <v>7264</v>
      </c>
      <c r="Q651">
        <v>6973</v>
      </c>
      <c r="R651">
        <v>6633</v>
      </c>
      <c r="S651">
        <v>3841</v>
      </c>
      <c r="T651">
        <v>2100</v>
      </c>
      <c r="U651">
        <v>696</v>
      </c>
    </row>
    <row r="652" spans="1:21" x14ac:dyDescent="0.3">
      <c r="A652" s="1">
        <v>44067</v>
      </c>
      <c r="B652" t="s">
        <v>20</v>
      </c>
      <c r="C652" t="s">
        <v>108</v>
      </c>
      <c r="D652" t="s">
        <v>56</v>
      </c>
      <c r="E652" t="s">
        <v>113</v>
      </c>
      <c r="F652" s="2">
        <v>224420</v>
      </c>
      <c r="G652" s="2">
        <v>11302</v>
      </c>
      <c r="H652">
        <v>0</v>
      </c>
      <c r="I652" t="str">
        <f>_xlfn.XLOOKUP($C652,战区信息!$A$1:$A$5,战区信息!$B$1:$B$5)</f>
        <v>001</v>
      </c>
      <c r="J652" t="str">
        <f>_xlfn.XLOOKUP($C652,战区信息!$A$1:$A$5,战区信息!$C$1:$C$5)</f>
        <v>江永</v>
      </c>
      <c r="K652" t="str">
        <f>_xlfn.XLOOKUP($C652,战区信息!$A$1:$A$5,战区信息!$D$1:$D$5)</f>
        <v>一级战区</v>
      </c>
      <c r="L652" t="str">
        <f>_xlfn.XLOOKUP($D652,城市信息!$B$1:$B$14,城市信息!$A$1:$A$14)</f>
        <v>001</v>
      </c>
      <c r="M652" t="str">
        <f>_xlfn.XLOOKUP($D652,城市信息!$B$1:$B$14,城市信息!$C$1:$C$14)</f>
        <v>吴刚</v>
      </c>
      <c r="N652" t="str">
        <f>_xlfn.XLOOKUP($D652,城市信息!$B$1:$B$14,城市信息!$D$1:$D$14)</f>
        <v>一线</v>
      </c>
      <c r="O652">
        <f>_xlfn.XLOOKUP($D652,城市信息!$B$1:$B$14,城市信息!$E$1:$E$14)</f>
        <v>12114</v>
      </c>
      <c r="P652" cm="1">
        <f t="array" ref="P652:U652">_xlfn.XLOOKUP(A652&amp;B652,'[1]2.4自动化报表-8月获客数据-非乱码'!$A:$A&amp;'[1]2.4自动化报表-8月获客数据-非乱码'!$B:$B,'[1]2.4自动化报表-8月获客数据-非乱码'!$C:$H)</f>
        <v>5915</v>
      </c>
      <c r="Q652">
        <v>5749</v>
      </c>
      <c r="R652">
        <v>5541</v>
      </c>
      <c r="S652">
        <v>3359</v>
      </c>
      <c r="T652">
        <v>1888</v>
      </c>
      <c r="U652">
        <v>695</v>
      </c>
    </row>
    <row r="653" spans="1:21" x14ac:dyDescent="0.3">
      <c r="A653" s="1">
        <v>44067</v>
      </c>
      <c r="B653" t="s">
        <v>19</v>
      </c>
      <c r="C653" t="s">
        <v>108</v>
      </c>
      <c r="D653" t="s">
        <v>56</v>
      </c>
      <c r="E653" t="s">
        <v>114</v>
      </c>
      <c r="F653" s="2">
        <v>168481</v>
      </c>
      <c r="G653" s="2">
        <v>7461</v>
      </c>
      <c r="H653" s="2">
        <v>1547</v>
      </c>
      <c r="I653" t="str">
        <f>_xlfn.XLOOKUP($C653,战区信息!$A$1:$A$5,战区信息!$B$1:$B$5)</f>
        <v>001</v>
      </c>
      <c r="J653" t="str">
        <f>_xlfn.XLOOKUP($C653,战区信息!$A$1:$A$5,战区信息!$C$1:$C$5)</f>
        <v>江永</v>
      </c>
      <c r="K653" t="str">
        <f>_xlfn.XLOOKUP($C653,战区信息!$A$1:$A$5,战区信息!$D$1:$D$5)</f>
        <v>一级战区</v>
      </c>
      <c r="L653" t="str">
        <f>_xlfn.XLOOKUP($D653,城市信息!$B$1:$B$14,城市信息!$A$1:$A$14)</f>
        <v>001</v>
      </c>
      <c r="M653" t="str">
        <f>_xlfn.XLOOKUP($D653,城市信息!$B$1:$B$14,城市信息!$C$1:$C$14)</f>
        <v>吴刚</v>
      </c>
      <c r="N653" t="str">
        <f>_xlfn.XLOOKUP($D653,城市信息!$B$1:$B$14,城市信息!$D$1:$D$14)</f>
        <v>一线</v>
      </c>
      <c r="O653">
        <f>_xlfn.XLOOKUP($D653,城市信息!$B$1:$B$14,城市信息!$E$1:$E$14)</f>
        <v>12114</v>
      </c>
      <c r="P653" cm="1">
        <f t="array" ref="P653:U653">_xlfn.XLOOKUP(A653&amp;B653,'[1]2.4自动化报表-8月获客数据-非乱码'!$A:$A&amp;'[1]2.4自动化报表-8月获客数据-非乱码'!$B:$B,'[1]2.4自动化报表-8月获客数据-非乱码'!$C:$H)</f>
        <v>3281</v>
      </c>
      <c r="Q653">
        <v>3198</v>
      </c>
      <c r="R653">
        <v>3076</v>
      </c>
      <c r="S653">
        <v>1800</v>
      </c>
      <c r="T653">
        <v>1083</v>
      </c>
      <c r="U653">
        <v>696</v>
      </c>
    </row>
    <row r="654" spans="1:21" x14ac:dyDescent="0.3">
      <c r="A654" s="1">
        <v>44067</v>
      </c>
      <c r="B654" t="s">
        <v>18</v>
      </c>
      <c r="C654" t="s">
        <v>108</v>
      </c>
      <c r="D654" t="s">
        <v>56</v>
      </c>
      <c r="E654" t="s">
        <v>115</v>
      </c>
      <c r="F654" s="2">
        <v>113792</v>
      </c>
      <c r="G654" s="2">
        <v>6054</v>
      </c>
      <c r="H654">
        <v>0</v>
      </c>
      <c r="I654" t="str">
        <f>_xlfn.XLOOKUP($C654,战区信息!$A$1:$A$5,战区信息!$B$1:$B$5)</f>
        <v>001</v>
      </c>
      <c r="J654" t="str">
        <f>_xlfn.XLOOKUP($C654,战区信息!$A$1:$A$5,战区信息!$C$1:$C$5)</f>
        <v>江永</v>
      </c>
      <c r="K654" t="str">
        <f>_xlfn.XLOOKUP($C654,战区信息!$A$1:$A$5,战区信息!$D$1:$D$5)</f>
        <v>一级战区</v>
      </c>
      <c r="L654" t="str">
        <f>_xlfn.XLOOKUP($D654,城市信息!$B$1:$B$14,城市信息!$A$1:$A$14)</f>
        <v>001</v>
      </c>
      <c r="M654" t="str">
        <f>_xlfn.XLOOKUP($D654,城市信息!$B$1:$B$14,城市信息!$C$1:$C$14)</f>
        <v>吴刚</v>
      </c>
      <c r="N654" t="str">
        <f>_xlfn.XLOOKUP($D654,城市信息!$B$1:$B$14,城市信息!$D$1:$D$14)</f>
        <v>一线</v>
      </c>
      <c r="O654">
        <f>_xlfn.XLOOKUP($D654,城市信息!$B$1:$B$14,城市信息!$E$1:$E$14)</f>
        <v>12114</v>
      </c>
      <c r="P654" cm="1">
        <f t="array" ref="P654:U654">_xlfn.XLOOKUP(A654&amp;B654,'[1]2.4自动化报表-8月获客数据-非乱码'!$A:$A&amp;'[1]2.4自动化报表-8月获客数据-非乱码'!$B:$B,'[1]2.4自动化报表-8月获客数据-非乱码'!$C:$H)</f>
        <v>2578</v>
      </c>
      <c r="Q654">
        <v>2537</v>
      </c>
      <c r="R654">
        <v>2430</v>
      </c>
      <c r="S654">
        <v>1471</v>
      </c>
      <c r="T654">
        <v>795</v>
      </c>
      <c r="U654">
        <v>691</v>
      </c>
    </row>
    <row r="655" spans="1:21" x14ac:dyDescent="0.3">
      <c r="A655" s="1">
        <v>44067</v>
      </c>
      <c r="B655" t="s">
        <v>17</v>
      </c>
      <c r="C655" t="s">
        <v>108</v>
      </c>
      <c r="D655" t="s">
        <v>59</v>
      </c>
      <c r="E655" t="s">
        <v>116</v>
      </c>
      <c r="F655" s="2">
        <v>181739</v>
      </c>
      <c r="G655" s="2">
        <v>7891</v>
      </c>
      <c r="H655" s="2">
        <v>5001</v>
      </c>
      <c r="I655" t="str">
        <f>_xlfn.XLOOKUP($C655,战区信息!$A$1:$A$5,战区信息!$B$1:$B$5)</f>
        <v>001</v>
      </c>
      <c r="J655" t="str">
        <f>_xlfn.XLOOKUP($C655,战区信息!$A$1:$A$5,战区信息!$C$1:$C$5)</f>
        <v>江永</v>
      </c>
      <c r="K655" t="str">
        <f>_xlfn.XLOOKUP($C655,战区信息!$A$1:$A$5,战区信息!$D$1:$D$5)</f>
        <v>一级战区</v>
      </c>
      <c r="L655" t="str">
        <f>_xlfn.XLOOKUP($D655,城市信息!$B$1:$B$14,城市信息!$A$1:$A$14)</f>
        <v>004</v>
      </c>
      <c r="M655" t="str">
        <f>_xlfn.XLOOKUP($D655,城市信息!$B$1:$B$14,城市信息!$C$1:$C$14)</f>
        <v>苏川</v>
      </c>
      <c r="N655" t="str">
        <f>_xlfn.XLOOKUP($D655,城市信息!$B$1:$B$14,城市信息!$D$1:$D$14)</f>
        <v>二线</v>
      </c>
      <c r="O655">
        <f>_xlfn.XLOOKUP($D655,城市信息!$B$1:$B$14,城市信息!$E$1:$E$14)</f>
        <v>9912</v>
      </c>
      <c r="P655" cm="1">
        <f t="array" ref="P655:U655">_xlfn.XLOOKUP(A655&amp;B655,'[1]2.4自动化报表-8月获客数据-非乱码'!$A:$A&amp;'[1]2.4自动化报表-8月获客数据-非乱码'!$B:$B,'[1]2.4自动化报表-8月获客数据-非乱码'!$C:$H)</f>
        <v>3264</v>
      </c>
      <c r="Q655">
        <v>3202</v>
      </c>
      <c r="R655">
        <v>3091</v>
      </c>
      <c r="S655">
        <v>1804</v>
      </c>
      <c r="T655">
        <v>1010</v>
      </c>
      <c r="U655">
        <v>697</v>
      </c>
    </row>
    <row r="656" spans="1:21" x14ac:dyDescent="0.3">
      <c r="A656" s="1">
        <v>44067</v>
      </c>
      <c r="B656" t="s">
        <v>16</v>
      </c>
      <c r="C656" t="s">
        <v>108</v>
      </c>
      <c r="D656" t="s">
        <v>59</v>
      </c>
      <c r="E656" t="s">
        <v>117</v>
      </c>
      <c r="F656" s="2">
        <v>40186</v>
      </c>
      <c r="G656" s="2">
        <v>2565</v>
      </c>
      <c r="H656">
        <v>0</v>
      </c>
      <c r="I656" t="str">
        <f>_xlfn.XLOOKUP($C656,战区信息!$A$1:$A$5,战区信息!$B$1:$B$5)</f>
        <v>001</v>
      </c>
      <c r="J656" t="str">
        <f>_xlfn.XLOOKUP($C656,战区信息!$A$1:$A$5,战区信息!$C$1:$C$5)</f>
        <v>江永</v>
      </c>
      <c r="K656" t="str">
        <f>_xlfn.XLOOKUP($C656,战区信息!$A$1:$A$5,战区信息!$D$1:$D$5)</f>
        <v>一级战区</v>
      </c>
      <c r="L656" t="str">
        <f>_xlfn.XLOOKUP($D656,城市信息!$B$1:$B$14,城市信息!$A$1:$A$14)</f>
        <v>004</v>
      </c>
      <c r="M656" t="str">
        <f>_xlfn.XLOOKUP($D656,城市信息!$B$1:$B$14,城市信息!$C$1:$C$14)</f>
        <v>苏川</v>
      </c>
      <c r="N656" t="str">
        <f>_xlfn.XLOOKUP($D656,城市信息!$B$1:$B$14,城市信息!$D$1:$D$14)</f>
        <v>二线</v>
      </c>
      <c r="O656">
        <f>_xlfn.XLOOKUP($D656,城市信息!$B$1:$B$14,城市信息!$E$1:$E$14)</f>
        <v>9912</v>
      </c>
      <c r="P656" cm="1">
        <f t="array" ref="P656:U656">_xlfn.XLOOKUP(A656&amp;B656,'[1]2.4自动化报表-8月获客数据-非乱码'!$A:$A&amp;'[1]2.4自动化报表-8月获客数据-非乱码'!$B:$B,'[1]2.4自动化报表-8月获客数据-非乱码'!$C:$H)</f>
        <v>1907</v>
      </c>
      <c r="Q656">
        <v>1854</v>
      </c>
      <c r="R656">
        <v>1776</v>
      </c>
      <c r="S656">
        <v>1048</v>
      </c>
      <c r="T656">
        <v>592</v>
      </c>
      <c r="U656">
        <v>696</v>
      </c>
    </row>
    <row r="657" spans="1:21" x14ac:dyDescent="0.3">
      <c r="A657" s="1">
        <v>44067</v>
      </c>
      <c r="B657" t="s">
        <v>15</v>
      </c>
      <c r="C657" t="s">
        <v>108</v>
      </c>
      <c r="D657" t="s">
        <v>59</v>
      </c>
      <c r="E657" t="s">
        <v>118</v>
      </c>
      <c r="F657" s="2">
        <v>81508</v>
      </c>
      <c r="G657" s="2">
        <v>3935</v>
      </c>
      <c r="H657">
        <v>0</v>
      </c>
      <c r="I657" t="str">
        <f>_xlfn.XLOOKUP($C657,战区信息!$A$1:$A$5,战区信息!$B$1:$B$5)</f>
        <v>001</v>
      </c>
      <c r="J657" t="str">
        <f>_xlfn.XLOOKUP($C657,战区信息!$A$1:$A$5,战区信息!$C$1:$C$5)</f>
        <v>江永</v>
      </c>
      <c r="K657" t="str">
        <f>_xlfn.XLOOKUP($C657,战区信息!$A$1:$A$5,战区信息!$D$1:$D$5)</f>
        <v>一级战区</v>
      </c>
      <c r="L657" t="str">
        <f>_xlfn.XLOOKUP($D657,城市信息!$B$1:$B$14,城市信息!$A$1:$A$14)</f>
        <v>004</v>
      </c>
      <c r="M657" t="str">
        <f>_xlfn.XLOOKUP($D657,城市信息!$B$1:$B$14,城市信息!$C$1:$C$14)</f>
        <v>苏川</v>
      </c>
      <c r="N657" t="str">
        <f>_xlfn.XLOOKUP($D657,城市信息!$B$1:$B$14,城市信息!$D$1:$D$14)</f>
        <v>二线</v>
      </c>
      <c r="O657">
        <f>_xlfn.XLOOKUP($D657,城市信息!$B$1:$B$14,城市信息!$E$1:$E$14)</f>
        <v>9912</v>
      </c>
      <c r="P657" cm="1">
        <f t="array" ref="P657:U657">_xlfn.XLOOKUP(A657&amp;B657,'[1]2.4自动化报表-8月获客数据-非乱码'!$A:$A&amp;'[1]2.4自动化报表-8月获客数据-非乱码'!$B:$B,'[1]2.4自动化报表-8月获客数据-非乱码'!$C:$H)</f>
        <v>1661</v>
      </c>
      <c r="Q657">
        <v>1634</v>
      </c>
      <c r="R657">
        <v>1569</v>
      </c>
      <c r="S657">
        <v>963</v>
      </c>
      <c r="T657">
        <v>496</v>
      </c>
      <c r="U657">
        <v>698</v>
      </c>
    </row>
    <row r="658" spans="1:21" x14ac:dyDescent="0.3">
      <c r="A658" s="1">
        <v>44067</v>
      </c>
      <c r="B658" t="s">
        <v>14</v>
      </c>
      <c r="C658" t="s">
        <v>108</v>
      </c>
      <c r="D658" t="s">
        <v>59</v>
      </c>
      <c r="E658" t="s">
        <v>119</v>
      </c>
      <c r="F658" s="2">
        <v>81503</v>
      </c>
      <c r="G658" s="2">
        <v>4282</v>
      </c>
      <c r="H658">
        <v>0</v>
      </c>
      <c r="I658" t="str">
        <f>_xlfn.XLOOKUP($C658,战区信息!$A$1:$A$5,战区信息!$B$1:$B$5)</f>
        <v>001</v>
      </c>
      <c r="J658" t="str">
        <f>_xlfn.XLOOKUP($C658,战区信息!$A$1:$A$5,战区信息!$C$1:$C$5)</f>
        <v>江永</v>
      </c>
      <c r="K658" t="str">
        <f>_xlfn.XLOOKUP($C658,战区信息!$A$1:$A$5,战区信息!$D$1:$D$5)</f>
        <v>一级战区</v>
      </c>
      <c r="L658" t="str">
        <f>_xlfn.XLOOKUP($D658,城市信息!$B$1:$B$14,城市信息!$A$1:$A$14)</f>
        <v>004</v>
      </c>
      <c r="M658" t="str">
        <f>_xlfn.XLOOKUP($D658,城市信息!$B$1:$B$14,城市信息!$C$1:$C$14)</f>
        <v>苏川</v>
      </c>
      <c r="N658" t="str">
        <f>_xlfn.XLOOKUP($D658,城市信息!$B$1:$B$14,城市信息!$D$1:$D$14)</f>
        <v>二线</v>
      </c>
      <c r="O658">
        <f>_xlfn.XLOOKUP($D658,城市信息!$B$1:$B$14,城市信息!$E$1:$E$14)</f>
        <v>9912</v>
      </c>
      <c r="P658" cm="1">
        <f t="array" ref="P658:U658">_xlfn.XLOOKUP(A658&amp;B658,'[1]2.4自动化报表-8月获客数据-非乱码'!$A:$A&amp;'[1]2.4自动化报表-8月获客数据-非乱码'!$B:$B,'[1]2.4自动化报表-8月获客数据-非乱码'!$C:$H)</f>
        <v>1516</v>
      </c>
      <c r="Q658">
        <v>1473</v>
      </c>
      <c r="R658">
        <v>1403</v>
      </c>
      <c r="S658">
        <v>907</v>
      </c>
      <c r="T658">
        <v>440</v>
      </c>
      <c r="U658">
        <v>700</v>
      </c>
    </row>
    <row r="659" spans="1:21" x14ac:dyDescent="0.3">
      <c r="A659" s="1">
        <v>44067</v>
      </c>
      <c r="B659" t="s">
        <v>13</v>
      </c>
      <c r="C659" t="s">
        <v>108</v>
      </c>
      <c r="D659" t="s">
        <v>60</v>
      </c>
      <c r="E659" t="s">
        <v>120</v>
      </c>
      <c r="F659" s="2">
        <v>183968</v>
      </c>
      <c r="G659" s="2">
        <v>8637</v>
      </c>
      <c r="H659" s="2">
        <v>13537</v>
      </c>
      <c r="I659" t="str">
        <f>_xlfn.XLOOKUP($C659,战区信息!$A$1:$A$5,战区信息!$B$1:$B$5)</f>
        <v>001</v>
      </c>
      <c r="J659" t="str">
        <f>_xlfn.XLOOKUP($C659,战区信息!$A$1:$A$5,战区信息!$C$1:$C$5)</f>
        <v>江永</v>
      </c>
      <c r="K659" t="str">
        <f>_xlfn.XLOOKUP($C659,战区信息!$A$1:$A$5,战区信息!$D$1:$D$5)</f>
        <v>一级战区</v>
      </c>
      <c r="L659" t="str">
        <f>_xlfn.XLOOKUP($D659,城市信息!$B$1:$B$14,城市信息!$A$1:$A$14)</f>
        <v>005</v>
      </c>
      <c r="M659" t="str">
        <f>_xlfn.XLOOKUP($D659,城市信息!$B$1:$B$14,城市信息!$C$1:$C$14)</f>
        <v>侯阳冰</v>
      </c>
      <c r="N659" t="str">
        <f>_xlfn.XLOOKUP($D659,城市信息!$B$1:$B$14,城市信息!$D$1:$D$14)</f>
        <v>二线</v>
      </c>
      <c r="O659">
        <f>_xlfn.XLOOKUP($D659,城市信息!$B$1:$B$14,城市信息!$E$1:$E$14)</f>
        <v>8694</v>
      </c>
      <c r="P659" cm="1">
        <f t="array" ref="P659:U659">_xlfn.XLOOKUP(A659&amp;B659,'[1]2.4自动化报表-8月获客数据-非乱码'!$A:$A&amp;'[1]2.4自动化报表-8月获客数据-非乱码'!$B:$B,'[1]2.4自动化报表-8月获客数据-非乱码'!$C:$H)</f>
        <v>4604</v>
      </c>
      <c r="Q659">
        <v>4493</v>
      </c>
      <c r="R659">
        <v>4285</v>
      </c>
      <c r="S659">
        <v>2653</v>
      </c>
      <c r="T659">
        <v>1283</v>
      </c>
      <c r="U659">
        <v>695</v>
      </c>
    </row>
    <row r="660" spans="1:21" x14ac:dyDescent="0.3">
      <c r="A660" s="1">
        <v>44067</v>
      </c>
      <c r="B660" t="s">
        <v>12</v>
      </c>
      <c r="C660" t="s">
        <v>108</v>
      </c>
      <c r="D660" t="s">
        <v>60</v>
      </c>
      <c r="E660" t="s">
        <v>121</v>
      </c>
      <c r="F660" s="2">
        <v>66906</v>
      </c>
      <c r="G660" s="2">
        <v>3390</v>
      </c>
      <c r="H660">
        <v>0</v>
      </c>
      <c r="I660" t="str">
        <f>_xlfn.XLOOKUP($C660,战区信息!$A$1:$A$5,战区信息!$B$1:$B$5)</f>
        <v>001</v>
      </c>
      <c r="J660" t="str">
        <f>_xlfn.XLOOKUP($C660,战区信息!$A$1:$A$5,战区信息!$C$1:$C$5)</f>
        <v>江永</v>
      </c>
      <c r="K660" t="str">
        <f>_xlfn.XLOOKUP($C660,战区信息!$A$1:$A$5,战区信息!$D$1:$D$5)</f>
        <v>一级战区</v>
      </c>
      <c r="L660" t="str">
        <f>_xlfn.XLOOKUP($D660,城市信息!$B$1:$B$14,城市信息!$A$1:$A$14)</f>
        <v>005</v>
      </c>
      <c r="M660" t="str">
        <f>_xlfn.XLOOKUP($D660,城市信息!$B$1:$B$14,城市信息!$C$1:$C$14)</f>
        <v>侯阳冰</v>
      </c>
      <c r="N660" t="str">
        <f>_xlfn.XLOOKUP($D660,城市信息!$B$1:$B$14,城市信息!$D$1:$D$14)</f>
        <v>二线</v>
      </c>
      <c r="O660">
        <f>_xlfn.XLOOKUP($D660,城市信息!$B$1:$B$14,城市信息!$E$1:$E$14)</f>
        <v>8694</v>
      </c>
      <c r="P660" cm="1">
        <f t="array" ref="P660:U660">_xlfn.XLOOKUP(A660&amp;B660,'[1]2.4自动化报表-8月获客数据-非乱码'!$A:$A&amp;'[1]2.4自动化报表-8月获客数据-非乱码'!$B:$B,'[1]2.4自动化报表-8月获客数据-非乱码'!$C:$H)</f>
        <v>1142</v>
      </c>
      <c r="Q660">
        <v>1123</v>
      </c>
      <c r="R660">
        <v>1085</v>
      </c>
      <c r="S660">
        <v>663</v>
      </c>
      <c r="T660">
        <v>355</v>
      </c>
      <c r="U660">
        <v>695</v>
      </c>
    </row>
    <row r="661" spans="1:21" x14ac:dyDescent="0.3">
      <c r="A661" s="1">
        <v>44067</v>
      </c>
      <c r="B661" t="s">
        <v>11</v>
      </c>
      <c r="C661" t="s">
        <v>108</v>
      </c>
      <c r="D661" t="s">
        <v>58</v>
      </c>
      <c r="E661" t="s">
        <v>122</v>
      </c>
      <c r="F661" s="2">
        <v>201374</v>
      </c>
      <c r="G661" s="2">
        <v>10743</v>
      </c>
      <c r="H661" s="2">
        <v>11954</v>
      </c>
      <c r="I661" t="str">
        <f>_xlfn.XLOOKUP($C661,战区信息!$A$1:$A$5,战区信息!$B$1:$B$5)</f>
        <v>001</v>
      </c>
      <c r="J661" t="str">
        <f>_xlfn.XLOOKUP($C661,战区信息!$A$1:$A$5,战区信息!$C$1:$C$5)</f>
        <v>江永</v>
      </c>
      <c r="K661" t="str">
        <f>_xlfn.XLOOKUP($C661,战区信息!$A$1:$A$5,战区信息!$D$1:$D$5)</f>
        <v>一级战区</v>
      </c>
      <c r="L661" t="str">
        <f>_xlfn.XLOOKUP($D661,城市信息!$B$1:$B$14,城市信息!$A$1:$A$14)</f>
        <v>003</v>
      </c>
      <c r="M661" t="str">
        <f>_xlfn.XLOOKUP($D661,城市信息!$B$1:$B$14,城市信息!$C$1:$C$14)</f>
        <v>杜光亮</v>
      </c>
      <c r="N661" t="str">
        <f>_xlfn.XLOOKUP($D661,城市信息!$B$1:$B$14,城市信息!$D$1:$D$14)</f>
        <v>二线</v>
      </c>
      <c r="O661">
        <f>_xlfn.XLOOKUP($D661,城市信息!$B$1:$B$14,城市信息!$E$1:$E$14)</f>
        <v>10499</v>
      </c>
      <c r="P661" cm="1">
        <f t="array" ref="P661:U661">_xlfn.XLOOKUP(A661&amp;B661,'[1]2.4自动化报表-8月获客数据-非乱码'!$A:$A&amp;'[1]2.4自动化报表-8月获客数据-非乱码'!$B:$B,'[1]2.4自动化报表-8月获客数据-非乱码'!$C:$H)</f>
        <v>5699</v>
      </c>
      <c r="Q661">
        <v>5493</v>
      </c>
      <c r="R661">
        <v>5200</v>
      </c>
      <c r="S661">
        <v>3231</v>
      </c>
      <c r="T661">
        <v>1513</v>
      </c>
      <c r="U661">
        <v>702</v>
      </c>
    </row>
    <row r="662" spans="1:21" x14ac:dyDescent="0.3">
      <c r="A662" s="1">
        <v>44067</v>
      </c>
      <c r="B662" t="s">
        <v>10</v>
      </c>
      <c r="C662" t="s">
        <v>108</v>
      </c>
      <c r="D662" t="s">
        <v>58</v>
      </c>
      <c r="E662" t="s">
        <v>123</v>
      </c>
      <c r="F662" s="2">
        <v>84181</v>
      </c>
      <c r="G662" s="2">
        <v>4112</v>
      </c>
      <c r="H662" s="2">
        <v>6142</v>
      </c>
      <c r="I662" t="str">
        <f>_xlfn.XLOOKUP($C662,战区信息!$A$1:$A$5,战区信息!$B$1:$B$5)</f>
        <v>001</v>
      </c>
      <c r="J662" t="str">
        <f>_xlfn.XLOOKUP($C662,战区信息!$A$1:$A$5,战区信息!$C$1:$C$5)</f>
        <v>江永</v>
      </c>
      <c r="K662" t="str">
        <f>_xlfn.XLOOKUP($C662,战区信息!$A$1:$A$5,战区信息!$D$1:$D$5)</f>
        <v>一级战区</v>
      </c>
      <c r="L662" t="str">
        <f>_xlfn.XLOOKUP($D662,城市信息!$B$1:$B$14,城市信息!$A$1:$A$14)</f>
        <v>003</v>
      </c>
      <c r="M662" t="str">
        <f>_xlfn.XLOOKUP($D662,城市信息!$B$1:$B$14,城市信息!$C$1:$C$14)</f>
        <v>杜光亮</v>
      </c>
      <c r="N662" t="str">
        <f>_xlfn.XLOOKUP($D662,城市信息!$B$1:$B$14,城市信息!$D$1:$D$14)</f>
        <v>二线</v>
      </c>
      <c r="O662">
        <f>_xlfn.XLOOKUP($D662,城市信息!$B$1:$B$14,城市信息!$E$1:$E$14)</f>
        <v>10499</v>
      </c>
      <c r="P662" cm="1">
        <f t="array" ref="P662:U662">_xlfn.XLOOKUP(A662&amp;B662,'[1]2.4自动化报表-8月获客数据-非乱码'!$A:$A&amp;'[1]2.4自动化报表-8月获客数据-非乱码'!$B:$B,'[1]2.4自动化报表-8月获客数据-非乱码'!$C:$H)</f>
        <v>1773</v>
      </c>
      <c r="Q662">
        <v>1738</v>
      </c>
      <c r="R662">
        <v>1690</v>
      </c>
      <c r="S662">
        <v>1017</v>
      </c>
      <c r="T662">
        <v>614</v>
      </c>
      <c r="U662">
        <v>701</v>
      </c>
    </row>
    <row r="663" spans="1:21" x14ac:dyDescent="0.3">
      <c r="A663" s="1">
        <v>44067</v>
      </c>
      <c r="B663" t="s">
        <v>9</v>
      </c>
      <c r="C663" t="s">
        <v>108</v>
      </c>
      <c r="D663" t="s">
        <v>58</v>
      </c>
      <c r="E663" t="s">
        <v>124</v>
      </c>
      <c r="F663" s="2">
        <v>125495</v>
      </c>
      <c r="G663" s="2">
        <v>5917</v>
      </c>
      <c r="H663">
        <v>0</v>
      </c>
      <c r="I663" t="str">
        <f>_xlfn.XLOOKUP($C663,战区信息!$A$1:$A$5,战区信息!$B$1:$B$5)</f>
        <v>001</v>
      </c>
      <c r="J663" t="str">
        <f>_xlfn.XLOOKUP($C663,战区信息!$A$1:$A$5,战区信息!$C$1:$C$5)</f>
        <v>江永</v>
      </c>
      <c r="K663" t="str">
        <f>_xlfn.XLOOKUP($C663,战区信息!$A$1:$A$5,战区信息!$D$1:$D$5)</f>
        <v>一级战区</v>
      </c>
      <c r="L663" t="str">
        <f>_xlfn.XLOOKUP($D663,城市信息!$B$1:$B$14,城市信息!$A$1:$A$14)</f>
        <v>003</v>
      </c>
      <c r="M663" t="str">
        <f>_xlfn.XLOOKUP($D663,城市信息!$B$1:$B$14,城市信息!$C$1:$C$14)</f>
        <v>杜光亮</v>
      </c>
      <c r="N663" t="str">
        <f>_xlfn.XLOOKUP($D663,城市信息!$B$1:$B$14,城市信息!$D$1:$D$14)</f>
        <v>二线</v>
      </c>
      <c r="O663">
        <f>_xlfn.XLOOKUP($D663,城市信息!$B$1:$B$14,城市信息!$E$1:$E$14)</f>
        <v>10499</v>
      </c>
      <c r="P663" cm="1">
        <f t="array" ref="P663:U663">_xlfn.XLOOKUP(A663&amp;B663,'[1]2.4自动化报表-8月获客数据-非乱码'!$A:$A&amp;'[1]2.4自动化报表-8月获客数据-非乱码'!$B:$B,'[1]2.4自动化报表-8月获客数据-非乱码'!$C:$H)</f>
        <v>4833</v>
      </c>
      <c r="Q663">
        <v>4709</v>
      </c>
      <c r="R663">
        <v>4545</v>
      </c>
      <c r="S663">
        <v>2629</v>
      </c>
      <c r="T663">
        <v>1447</v>
      </c>
      <c r="U663">
        <v>694</v>
      </c>
    </row>
    <row r="664" spans="1:21" x14ac:dyDescent="0.3">
      <c r="A664" s="1">
        <v>44067</v>
      </c>
      <c r="B664" t="s">
        <v>8</v>
      </c>
      <c r="C664" t="s">
        <v>125</v>
      </c>
      <c r="D664" t="s">
        <v>66</v>
      </c>
      <c r="E664" t="s">
        <v>126</v>
      </c>
      <c r="F664" s="2">
        <v>91533</v>
      </c>
      <c r="G664" s="2">
        <v>5441</v>
      </c>
      <c r="H664" s="2">
        <v>14439</v>
      </c>
      <c r="I664" t="str">
        <f>_xlfn.XLOOKUP($C664,战区信息!$A$1:$A$5,战区信息!$B$1:$B$5)</f>
        <v>004</v>
      </c>
      <c r="J664" t="str">
        <f>_xlfn.XLOOKUP($C664,战区信息!$A$1:$A$5,战区信息!$C$1:$C$5)</f>
        <v>沈乐欣</v>
      </c>
      <c r="K664" t="str">
        <f>_xlfn.XLOOKUP($C664,战区信息!$A$1:$A$5,战区信息!$D$1:$D$5)</f>
        <v>三级战区</v>
      </c>
      <c r="L664" t="str">
        <f>_xlfn.XLOOKUP($D664,城市信息!$B$1:$B$14,城市信息!$A$1:$A$14)</f>
        <v>011</v>
      </c>
      <c r="M664" t="str">
        <f>_xlfn.XLOOKUP($D664,城市信息!$B$1:$B$14,城市信息!$C$1:$C$14)</f>
        <v>冯谦</v>
      </c>
      <c r="N664" t="str">
        <f>_xlfn.XLOOKUP($D664,城市信息!$B$1:$B$14,城市信息!$D$1:$D$14)</f>
        <v>一线</v>
      </c>
      <c r="O664">
        <f>_xlfn.XLOOKUP($D664,城市信息!$B$1:$B$14,城市信息!$E$1:$E$14)</f>
        <v>8244</v>
      </c>
      <c r="P664" cm="1">
        <f t="array" ref="P664:U664">_xlfn.XLOOKUP(A664&amp;B664,'[1]2.4自动化报表-8月获客数据-非乱码'!$A:$A&amp;'[1]2.4自动化报表-8月获客数据-非乱码'!$B:$B,'[1]2.4自动化报表-8月获客数据-非乱码'!$C:$H)</f>
        <v>1970</v>
      </c>
      <c r="Q664">
        <v>1948</v>
      </c>
      <c r="R664">
        <v>1888</v>
      </c>
      <c r="S664">
        <v>1072</v>
      </c>
      <c r="T664">
        <v>693</v>
      </c>
      <c r="U664">
        <v>686</v>
      </c>
    </row>
    <row r="665" spans="1:21" x14ac:dyDescent="0.3">
      <c r="A665" s="1">
        <v>44067</v>
      </c>
      <c r="B665" t="s">
        <v>7</v>
      </c>
      <c r="C665" t="s">
        <v>125</v>
      </c>
      <c r="D665" t="s">
        <v>62</v>
      </c>
      <c r="E665" t="s">
        <v>127</v>
      </c>
      <c r="F665" s="2">
        <v>8001</v>
      </c>
      <c r="G665">
        <v>333</v>
      </c>
      <c r="H665">
        <v>0</v>
      </c>
      <c r="I665" t="str">
        <f>_xlfn.XLOOKUP($C665,战区信息!$A$1:$A$5,战区信息!$B$1:$B$5)</f>
        <v>004</v>
      </c>
      <c r="J665" t="str">
        <f>_xlfn.XLOOKUP($C665,战区信息!$A$1:$A$5,战区信息!$C$1:$C$5)</f>
        <v>沈乐欣</v>
      </c>
      <c r="K665" t="str">
        <f>_xlfn.XLOOKUP($C665,战区信息!$A$1:$A$5,战区信息!$D$1:$D$5)</f>
        <v>三级战区</v>
      </c>
      <c r="L665" t="str">
        <f>_xlfn.XLOOKUP($D665,城市信息!$B$1:$B$14,城市信息!$A$1:$A$14)</f>
        <v>007</v>
      </c>
      <c r="M665" t="str">
        <f>_xlfn.XLOOKUP($D665,城市信息!$B$1:$B$14,城市信息!$C$1:$C$14)</f>
        <v>范俊发</v>
      </c>
      <c r="N665" t="str">
        <f>_xlfn.XLOOKUP($D665,城市信息!$B$1:$B$14,城市信息!$D$1:$D$14)</f>
        <v>一线</v>
      </c>
      <c r="O665">
        <f>_xlfn.XLOOKUP($D665,城市信息!$B$1:$B$14,城市信息!$E$1:$E$14)</f>
        <v>12358</v>
      </c>
      <c r="P665" cm="1">
        <f t="array" ref="P665:U665">_xlfn.XLOOKUP(A665&amp;B665,'[1]2.4自动化报表-8月获客数据-非乱码'!$A:$A&amp;'[1]2.4自动化报表-8月获客数据-非乱码'!$B:$B,'[1]2.4自动化报表-8月获客数据-非乱码'!$C:$H)</f>
        <v>95</v>
      </c>
      <c r="Q665">
        <v>91</v>
      </c>
      <c r="R665">
        <v>85</v>
      </c>
      <c r="S665">
        <v>45</v>
      </c>
      <c r="T665">
        <v>25</v>
      </c>
      <c r="U665">
        <v>686</v>
      </c>
    </row>
    <row r="666" spans="1:21" x14ac:dyDescent="0.3">
      <c r="A666" s="1">
        <v>44067</v>
      </c>
      <c r="B666" t="s">
        <v>6</v>
      </c>
      <c r="C666" t="s">
        <v>125</v>
      </c>
      <c r="D666" t="s">
        <v>62</v>
      </c>
      <c r="E666" t="s">
        <v>128</v>
      </c>
      <c r="F666" s="2">
        <v>40141</v>
      </c>
      <c r="G666" s="2">
        <v>1923</v>
      </c>
      <c r="H666">
        <v>0</v>
      </c>
      <c r="I666" t="str">
        <f>_xlfn.XLOOKUP($C666,战区信息!$A$1:$A$5,战区信息!$B$1:$B$5)</f>
        <v>004</v>
      </c>
      <c r="J666" t="str">
        <f>_xlfn.XLOOKUP($C666,战区信息!$A$1:$A$5,战区信息!$C$1:$C$5)</f>
        <v>沈乐欣</v>
      </c>
      <c r="K666" t="str">
        <f>_xlfn.XLOOKUP($C666,战区信息!$A$1:$A$5,战区信息!$D$1:$D$5)</f>
        <v>三级战区</v>
      </c>
      <c r="L666" t="str">
        <f>_xlfn.XLOOKUP($D666,城市信息!$B$1:$B$14,城市信息!$A$1:$A$14)</f>
        <v>007</v>
      </c>
      <c r="M666" t="str">
        <f>_xlfn.XLOOKUP($D666,城市信息!$B$1:$B$14,城市信息!$C$1:$C$14)</f>
        <v>范俊发</v>
      </c>
      <c r="N666" t="str">
        <f>_xlfn.XLOOKUP($D666,城市信息!$B$1:$B$14,城市信息!$D$1:$D$14)</f>
        <v>一线</v>
      </c>
      <c r="O666">
        <f>_xlfn.XLOOKUP($D666,城市信息!$B$1:$B$14,城市信息!$E$1:$E$14)</f>
        <v>12358</v>
      </c>
      <c r="P666" cm="1">
        <f t="array" ref="P666:U666">_xlfn.XLOOKUP(A666&amp;B666,'[1]2.4自动化报表-8月获客数据-非乱码'!$A:$A&amp;'[1]2.4自动化报表-8月获客数据-非乱码'!$B:$B,'[1]2.4自动化报表-8月获客数据-非乱码'!$C:$H)</f>
        <v>2088</v>
      </c>
      <c r="Q666">
        <v>2054</v>
      </c>
      <c r="R666">
        <v>2003</v>
      </c>
      <c r="S666">
        <v>1214</v>
      </c>
      <c r="T666">
        <v>676</v>
      </c>
      <c r="U666">
        <v>688</v>
      </c>
    </row>
    <row r="667" spans="1:21" x14ac:dyDescent="0.3">
      <c r="A667" s="1">
        <v>44067</v>
      </c>
      <c r="B667" t="s">
        <v>5</v>
      </c>
      <c r="C667" t="s">
        <v>125</v>
      </c>
      <c r="D667" t="s">
        <v>62</v>
      </c>
      <c r="E667" t="s">
        <v>129</v>
      </c>
      <c r="F667" s="2">
        <v>122687</v>
      </c>
      <c r="G667" s="2">
        <v>5977</v>
      </c>
      <c r="H667" s="2">
        <v>1006</v>
      </c>
      <c r="I667" t="str">
        <f>_xlfn.XLOOKUP($C667,战区信息!$A$1:$A$5,战区信息!$B$1:$B$5)</f>
        <v>004</v>
      </c>
      <c r="J667" t="str">
        <f>_xlfn.XLOOKUP($C667,战区信息!$A$1:$A$5,战区信息!$C$1:$C$5)</f>
        <v>沈乐欣</v>
      </c>
      <c r="K667" t="str">
        <f>_xlfn.XLOOKUP($C667,战区信息!$A$1:$A$5,战区信息!$D$1:$D$5)</f>
        <v>三级战区</v>
      </c>
      <c r="L667" t="str">
        <f>_xlfn.XLOOKUP($D667,城市信息!$B$1:$B$14,城市信息!$A$1:$A$14)</f>
        <v>007</v>
      </c>
      <c r="M667" t="str">
        <f>_xlfn.XLOOKUP($D667,城市信息!$B$1:$B$14,城市信息!$C$1:$C$14)</f>
        <v>范俊发</v>
      </c>
      <c r="N667" t="str">
        <f>_xlfn.XLOOKUP($D667,城市信息!$B$1:$B$14,城市信息!$D$1:$D$14)</f>
        <v>一线</v>
      </c>
      <c r="O667">
        <f>_xlfn.XLOOKUP($D667,城市信息!$B$1:$B$14,城市信息!$E$1:$E$14)</f>
        <v>12358</v>
      </c>
      <c r="P667" cm="1">
        <f t="array" ref="P667:U667">_xlfn.XLOOKUP(A667&amp;B667,'[1]2.4自动化报表-8月获客数据-非乱码'!$A:$A&amp;'[1]2.4自动化报表-8月获客数据-非乱码'!$B:$B,'[1]2.4自动化报表-8月获客数据-非乱码'!$C:$H)</f>
        <v>2815</v>
      </c>
      <c r="Q667">
        <v>2761</v>
      </c>
      <c r="R667">
        <v>2641</v>
      </c>
      <c r="S667">
        <v>1629</v>
      </c>
      <c r="T667">
        <v>818</v>
      </c>
      <c r="U667">
        <v>690</v>
      </c>
    </row>
    <row r="668" spans="1:21" x14ac:dyDescent="0.3">
      <c r="A668" s="1">
        <v>44067</v>
      </c>
      <c r="B668" t="s">
        <v>33</v>
      </c>
      <c r="C668" t="s">
        <v>125</v>
      </c>
      <c r="D668" t="s">
        <v>62</v>
      </c>
      <c r="E668" t="s">
        <v>130</v>
      </c>
      <c r="F668" s="2">
        <v>23129</v>
      </c>
      <c r="G668" s="2">
        <v>1169</v>
      </c>
      <c r="H668">
        <v>0</v>
      </c>
      <c r="I668" t="str">
        <f>_xlfn.XLOOKUP($C668,战区信息!$A$1:$A$5,战区信息!$B$1:$B$5)</f>
        <v>004</v>
      </c>
      <c r="J668" t="str">
        <f>_xlfn.XLOOKUP($C668,战区信息!$A$1:$A$5,战区信息!$C$1:$C$5)</f>
        <v>沈乐欣</v>
      </c>
      <c r="K668" t="str">
        <f>_xlfn.XLOOKUP($C668,战区信息!$A$1:$A$5,战区信息!$D$1:$D$5)</f>
        <v>三级战区</v>
      </c>
      <c r="L668" t="str">
        <f>_xlfn.XLOOKUP($D668,城市信息!$B$1:$B$14,城市信息!$A$1:$A$14)</f>
        <v>007</v>
      </c>
      <c r="M668" t="str">
        <f>_xlfn.XLOOKUP($D668,城市信息!$B$1:$B$14,城市信息!$C$1:$C$14)</f>
        <v>范俊发</v>
      </c>
      <c r="N668" t="str">
        <f>_xlfn.XLOOKUP($D668,城市信息!$B$1:$B$14,城市信息!$D$1:$D$14)</f>
        <v>一线</v>
      </c>
      <c r="O668">
        <f>_xlfn.XLOOKUP($D668,城市信息!$B$1:$B$14,城市信息!$E$1:$E$14)</f>
        <v>12358</v>
      </c>
      <c r="P668" cm="1">
        <f t="array" ref="P668:U668">_xlfn.XLOOKUP(A668&amp;B668,'[1]2.4自动化报表-8月获客数据-非乱码'!$A:$A&amp;'[1]2.4自动化报表-8月获客数据-非乱码'!$B:$B,'[1]2.4自动化报表-8月获客数据-非乱码'!$C:$H)</f>
        <v>207</v>
      </c>
      <c r="Q668">
        <v>204</v>
      </c>
      <c r="R668">
        <v>195</v>
      </c>
      <c r="S668">
        <v>121</v>
      </c>
      <c r="T668">
        <v>79</v>
      </c>
      <c r="U668">
        <v>696</v>
      </c>
    </row>
    <row r="669" spans="1:21" x14ac:dyDescent="0.3">
      <c r="A669" s="1">
        <v>44068</v>
      </c>
      <c r="B669" t="s">
        <v>32</v>
      </c>
      <c r="C669" t="s">
        <v>97</v>
      </c>
      <c r="D669" t="s">
        <v>67</v>
      </c>
      <c r="E669" t="s">
        <v>98</v>
      </c>
      <c r="F669" s="2">
        <v>12556</v>
      </c>
      <c r="G669">
        <v>787</v>
      </c>
      <c r="H669">
        <v>0</v>
      </c>
      <c r="I669" t="str">
        <f>_xlfn.XLOOKUP($C669,战区信息!$A$1:$A$5,战区信息!$B$1:$B$5)</f>
        <v>003</v>
      </c>
      <c r="J669" t="str">
        <f>_xlfn.XLOOKUP($C669,战区信息!$A$1:$A$5,战区信息!$C$1:$C$5)</f>
        <v>田楠</v>
      </c>
      <c r="K669" t="str">
        <f>_xlfn.XLOOKUP($C669,战区信息!$A$1:$A$5,战区信息!$D$1:$D$5)</f>
        <v>二级战区</v>
      </c>
      <c r="L669" t="str">
        <f>_xlfn.XLOOKUP($D669,城市信息!$B$1:$B$14,城市信息!$A$1:$A$14)</f>
        <v>012</v>
      </c>
      <c r="M669" t="str">
        <f>_xlfn.XLOOKUP($D669,城市信息!$B$1:$B$14,城市信息!$C$1:$C$14)</f>
        <v>于子默</v>
      </c>
      <c r="N669" t="str">
        <f>_xlfn.XLOOKUP($D669,城市信息!$B$1:$B$14,城市信息!$D$1:$D$14)</f>
        <v>二线</v>
      </c>
      <c r="O669">
        <f>_xlfn.XLOOKUP($D669,城市信息!$B$1:$B$14,城市信息!$E$1:$E$14)</f>
        <v>9713</v>
      </c>
      <c r="P669" cm="1">
        <f t="array" ref="P669:U669">_xlfn.XLOOKUP(A669&amp;B669,'[1]2.4自动化报表-8月获客数据-非乱码'!$A:$A&amp;'[1]2.4自动化报表-8月获客数据-非乱码'!$B:$B,'[1]2.4自动化报表-8月获客数据-非乱码'!$C:$H)</f>
        <v>2133</v>
      </c>
      <c r="Q669">
        <v>2102</v>
      </c>
      <c r="R669">
        <v>2043</v>
      </c>
      <c r="S669">
        <v>1310</v>
      </c>
      <c r="T669">
        <v>719</v>
      </c>
      <c r="U669">
        <v>691</v>
      </c>
    </row>
    <row r="670" spans="1:21" x14ac:dyDescent="0.3">
      <c r="A670" s="1">
        <v>44068</v>
      </c>
      <c r="B670" t="s">
        <v>31</v>
      </c>
      <c r="C670" t="s">
        <v>97</v>
      </c>
      <c r="D670" t="s">
        <v>65</v>
      </c>
      <c r="E670" t="s">
        <v>99</v>
      </c>
      <c r="F670" s="2">
        <v>59929</v>
      </c>
      <c r="G670" s="2">
        <v>2620</v>
      </c>
      <c r="H670">
        <v>0</v>
      </c>
      <c r="I670" t="str">
        <f>_xlfn.XLOOKUP($C670,战区信息!$A$1:$A$5,战区信息!$B$1:$B$5)</f>
        <v>003</v>
      </c>
      <c r="J670" t="str">
        <f>_xlfn.XLOOKUP($C670,战区信息!$A$1:$A$5,战区信息!$C$1:$C$5)</f>
        <v>田楠</v>
      </c>
      <c r="K670" t="str">
        <f>_xlfn.XLOOKUP($C670,战区信息!$A$1:$A$5,战区信息!$D$1:$D$5)</f>
        <v>二级战区</v>
      </c>
      <c r="L670" t="str">
        <f>_xlfn.XLOOKUP($D670,城市信息!$B$1:$B$14,城市信息!$A$1:$A$14)</f>
        <v>010</v>
      </c>
      <c r="M670" t="str">
        <f>_xlfn.XLOOKUP($D670,城市信息!$B$1:$B$14,城市信息!$C$1:$C$14)</f>
        <v>黄鹏天</v>
      </c>
      <c r="N670" t="str">
        <f>_xlfn.XLOOKUP($D670,城市信息!$B$1:$B$14,城市信息!$D$1:$D$14)</f>
        <v>二线</v>
      </c>
      <c r="O670">
        <f>_xlfn.XLOOKUP($D670,城市信息!$B$1:$B$14,城市信息!$E$1:$E$14)</f>
        <v>8295</v>
      </c>
      <c r="P670" cm="1">
        <f t="array" ref="P670:U670">_xlfn.XLOOKUP(A670&amp;B670,'[1]2.4自动化报表-8月获客数据-非乱码'!$A:$A&amp;'[1]2.4自动化报表-8月获客数据-非乱码'!$B:$B,'[1]2.4自动化报表-8月获客数据-非乱码'!$C:$H)</f>
        <v>3059</v>
      </c>
      <c r="Q670">
        <v>3002</v>
      </c>
      <c r="R670">
        <v>2915</v>
      </c>
      <c r="S670">
        <v>1732</v>
      </c>
      <c r="T670">
        <v>1005</v>
      </c>
      <c r="U670">
        <v>691</v>
      </c>
    </row>
    <row r="671" spans="1:21" x14ac:dyDescent="0.3">
      <c r="A671" s="1">
        <v>44068</v>
      </c>
      <c r="B671" t="s">
        <v>30</v>
      </c>
      <c r="C671" t="s">
        <v>97</v>
      </c>
      <c r="D671" t="s">
        <v>61</v>
      </c>
      <c r="E671" t="s">
        <v>100</v>
      </c>
      <c r="F671" s="2">
        <v>127851</v>
      </c>
      <c r="G671" s="2">
        <v>5647</v>
      </c>
      <c r="H671" s="2">
        <v>1091</v>
      </c>
      <c r="I671" t="str">
        <f>_xlfn.XLOOKUP($C671,战区信息!$A$1:$A$5,战区信息!$B$1:$B$5)</f>
        <v>003</v>
      </c>
      <c r="J671" t="str">
        <f>_xlfn.XLOOKUP($C671,战区信息!$A$1:$A$5,战区信息!$C$1:$C$5)</f>
        <v>田楠</v>
      </c>
      <c r="K671" t="str">
        <f>_xlfn.XLOOKUP($C671,战区信息!$A$1:$A$5,战区信息!$D$1:$D$5)</f>
        <v>二级战区</v>
      </c>
      <c r="L671" t="str">
        <f>_xlfn.XLOOKUP($D671,城市信息!$B$1:$B$14,城市信息!$A$1:$A$14)</f>
        <v>006</v>
      </c>
      <c r="M671" t="str">
        <f>_xlfn.XLOOKUP($D671,城市信息!$B$1:$B$14,城市信息!$C$1:$C$14)</f>
        <v>王刚</v>
      </c>
      <c r="N671" t="str">
        <f>_xlfn.XLOOKUP($D671,城市信息!$B$1:$B$14,城市信息!$D$1:$D$14)</f>
        <v>二线</v>
      </c>
      <c r="O671">
        <f>_xlfn.XLOOKUP($D671,城市信息!$B$1:$B$14,城市信息!$E$1:$E$14)</f>
        <v>9107</v>
      </c>
      <c r="P671" cm="1">
        <f t="array" ref="P671:U671">_xlfn.XLOOKUP(A671&amp;B671,'[1]2.4自动化报表-8月获客数据-非乱码'!$A:$A&amp;'[1]2.4自动化报表-8月获客数据-非乱码'!$B:$B,'[1]2.4自动化报表-8月获客数据-非乱码'!$C:$H)</f>
        <v>2492</v>
      </c>
      <c r="Q671">
        <v>2447</v>
      </c>
      <c r="R671">
        <v>2351</v>
      </c>
      <c r="S671">
        <v>1454</v>
      </c>
      <c r="T671">
        <v>749</v>
      </c>
      <c r="U671">
        <v>700</v>
      </c>
    </row>
    <row r="672" spans="1:21" x14ac:dyDescent="0.3">
      <c r="A672" s="1">
        <v>44068</v>
      </c>
      <c r="B672" t="s">
        <v>29</v>
      </c>
      <c r="C672" t="s">
        <v>97</v>
      </c>
      <c r="D672" t="s">
        <v>64</v>
      </c>
      <c r="E672" t="s">
        <v>101</v>
      </c>
      <c r="F672" s="2">
        <v>94085</v>
      </c>
      <c r="G672" s="2">
        <v>4715</v>
      </c>
      <c r="H672">
        <v>0</v>
      </c>
      <c r="I672" t="str">
        <f>_xlfn.XLOOKUP($C672,战区信息!$A$1:$A$5,战区信息!$B$1:$B$5)</f>
        <v>003</v>
      </c>
      <c r="J672" t="str">
        <f>_xlfn.XLOOKUP($C672,战区信息!$A$1:$A$5,战区信息!$C$1:$C$5)</f>
        <v>田楠</v>
      </c>
      <c r="K672" t="str">
        <f>_xlfn.XLOOKUP($C672,战区信息!$A$1:$A$5,战区信息!$D$1:$D$5)</f>
        <v>二级战区</v>
      </c>
      <c r="L672" t="str">
        <f>_xlfn.XLOOKUP($D672,城市信息!$B$1:$B$14,城市信息!$A$1:$A$14)</f>
        <v>009</v>
      </c>
      <c r="M672" t="str">
        <f>_xlfn.XLOOKUP($D672,城市信息!$B$1:$B$14,城市信息!$C$1:$C$14)</f>
        <v>叶超</v>
      </c>
      <c r="N672" t="str">
        <f>_xlfn.XLOOKUP($D672,城市信息!$B$1:$B$14,城市信息!$D$1:$D$14)</f>
        <v>二线</v>
      </c>
      <c r="O672">
        <f>_xlfn.XLOOKUP($D672,城市信息!$B$1:$B$14,城市信息!$E$1:$E$14)</f>
        <v>9016</v>
      </c>
      <c r="P672" cm="1">
        <f t="array" ref="P672:U672">_xlfn.XLOOKUP(A672&amp;B672,'[1]2.4自动化报表-8月获客数据-非乱码'!$A:$A&amp;'[1]2.4自动化报表-8月获客数据-非乱码'!$B:$B,'[1]2.4自动化报表-8月获客数据-非乱码'!$C:$H)</f>
        <v>1867</v>
      </c>
      <c r="Q672">
        <v>1818</v>
      </c>
      <c r="R672">
        <v>1750</v>
      </c>
      <c r="S672">
        <v>1127</v>
      </c>
      <c r="T672">
        <v>619</v>
      </c>
      <c r="U672">
        <v>692</v>
      </c>
    </row>
    <row r="673" spans="1:21" x14ac:dyDescent="0.3">
      <c r="A673" s="1">
        <v>44068</v>
      </c>
      <c r="B673" t="s">
        <v>27</v>
      </c>
      <c r="C673" t="s">
        <v>103</v>
      </c>
      <c r="D673" t="s">
        <v>63</v>
      </c>
      <c r="E673" t="s">
        <v>104</v>
      </c>
      <c r="F673" s="2">
        <v>95977</v>
      </c>
      <c r="G673" s="2">
        <v>5518</v>
      </c>
      <c r="H673" s="2">
        <v>2013</v>
      </c>
      <c r="I673" t="str">
        <f>_xlfn.XLOOKUP($C673,战区信息!$A$1:$A$5,战区信息!$B$1:$B$5)</f>
        <v>002</v>
      </c>
      <c r="J673" t="str">
        <f>_xlfn.XLOOKUP($C673,战区信息!$A$1:$A$5,战区信息!$C$1:$C$5)</f>
        <v>高安平</v>
      </c>
      <c r="K673" t="str">
        <f>_xlfn.XLOOKUP($C673,战区信息!$A$1:$A$5,战区信息!$D$1:$D$5)</f>
        <v>二级战区</v>
      </c>
      <c r="L673" t="str">
        <f>_xlfn.XLOOKUP($D673,城市信息!$B$1:$B$14,城市信息!$A$1:$A$14)</f>
        <v>008</v>
      </c>
      <c r="M673" t="str">
        <f>_xlfn.XLOOKUP($D673,城市信息!$B$1:$B$14,城市信息!$C$1:$C$14)</f>
        <v>高弘壮</v>
      </c>
      <c r="N673" t="str">
        <f>_xlfn.XLOOKUP($D673,城市信息!$B$1:$B$14,城市信息!$D$1:$D$14)</f>
        <v>一线</v>
      </c>
      <c r="O673">
        <f>_xlfn.XLOOKUP($D673,城市信息!$B$1:$B$14,城市信息!$E$1:$E$14)</f>
        <v>11498</v>
      </c>
      <c r="P673" cm="1">
        <f t="array" ref="P673:U673">_xlfn.XLOOKUP(A673&amp;B673,'[1]2.4自动化报表-8月获客数据-非乱码'!$A:$A&amp;'[1]2.4自动化报表-8月获客数据-非乱码'!$B:$B,'[1]2.4自动化报表-8月获客数据-非乱码'!$C:$H)</f>
        <v>3120</v>
      </c>
      <c r="Q673">
        <v>3018</v>
      </c>
      <c r="R673">
        <v>2877</v>
      </c>
      <c r="S673">
        <v>1701</v>
      </c>
      <c r="T673">
        <v>900</v>
      </c>
      <c r="U673">
        <v>689</v>
      </c>
    </row>
    <row r="674" spans="1:21" x14ac:dyDescent="0.3">
      <c r="A674" s="1">
        <v>44068</v>
      </c>
      <c r="B674" t="s">
        <v>26</v>
      </c>
      <c r="C674" t="s">
        <v>103</v>
      </c>
      <c r="D674" t="s">
        <v>57</v>
      </c>
      <c r="E674" t="s">
        <v>105</v>
      </c>
      <c r="F674" s="2">
        <v>207738</v>
      </c>
      <c r="G674" s="2">
        <v>9615</v>
      </c>
      <c r="H674" s="2">
        <v>4027</v>
      </c>
      <c r="I674" t="str">
        <f>_xlfn.XLOOKUP($C674,战区信息!$A$1:$A$5,战区信息!$B$1:$B$5)</f>
        <v>002</v>
      </c>
      <c r="J674" t="str">
        <f>_xlfn.XLOOKUP($C674,战区信息!$A$1:$A$5,战区信息!$C$1:$C$5)</f>
        <v>高安平</v>
      </c>
      <c r="K674" t="str">
        <f>_xlfn.XLOOKUP($C674,战区信息!$A$1:$A$5,战区信息!$D$1:$D$5)</f>
        <v>二级战区</v>
      </c>
      <c r="L674" t="str">
        <f>_xlfn.XLOOKUP($D674,城市信息!$B$1:$B$14,城市信息!$A$1:$A$14)</f>
        <v>002</v>
      </c>
      <c r="M674" t="str">
        <f>_xlfn.XLOOKUP($D674,城市信息!$B$1:$B$14,城市信息!$C$1:$C$14)</f>
        <v>孙乒</v>
      </c>
      <c r="N674" t="str">
        <f>_xlfn.XLOOKUP($D674,城市信息!$B$1:$B$14,城市信息!$D$1:$D$14)</f>
        <v>一线</v>
      </c>
      <c r="O674">
        <f>_xlfn.XLOOKUP($D674,城市信息!$B$1:$B$14,城市信息!$E$1:$E$14)</f>
        <v>9854</v>
      </c>
      <c r="P674" cm="1">
        <f t="array" ref="P674:U674">_xlfn.XLOOKUP(A674&amp;B674,'[1]2.4自动化报表-8月获客数据-非乱码'!$A:$A&amp;'[1]2.4自动化报表-8月获客数据-非乱码'!$B:$B,'[1]2.4自动化报表-8月获客数据-非乱码'!$C:$H)</f>
        <v>6614</v>
      </c>
      <c r="Q674">
        <v>6441</v>
      </c>
      <c r="R674">
        <v>6189</v>
      </c>
      <c r="S674">
        <v>3856</v>
      </c>
      <c r="T674">
        <v>2131</v>
      </c>
      <c r="U674">
        <v>688</v>
      </c>
    </row>
    <row r="675" spans="1:21" x14ac:dyDescent="0.3">
      <c r="A675" s="1">
        <v>44068</v>
      </c>
      <c r="B675" t="s">
        <v>25</v>
      </c>
      <c r="C675" t="s">
        <v>103</v>
      </c>
      <c r="D675" t="s">
        <v>57</v>
      </c>
      <c r="E675" t="s">
        <v>106</v>
      </c>
      <c r="F675" s="2">
        <v>54810</v>
      </c>
      <c r="G675" s="2">
        <v>3294</v>
      </c>
      <c r="H675">
        <v>843</v>
      </c>
      <c r="I675" t="str">
        <f>_xlfn.XLOOKUP($C675,战区信息!$A$1:$A$5,战区信息!$B$1:$B$5)</f>
        <v>002</v>
      </c>
      <c r="J675" t="str">
        <f>_xlfn.XLOOKUP($C675,战区信息!$A$1:$A$5,战区信息!$C$1:$C$5)</f>
        <v>高安平</v>
      </c>
      <c r="K675" t="str">
        <f>_xlfn.XLOOKUP($C675,战区信息!$A$1:$A$5,战区信息!$D$1:$D$5)</f>
        <v>二级战区</v>
      </c>
      <c r="L675" t="str">
        <f>_xlfn.XLOOKUP($D675,城市信息!$B$1:$B$14,城市信息!$A$1:$A$14)</f>
        <v>002</v>
      </c>
      <c r="M675" t="str">
        <f>_xlfn.XLOOKUP($D675,城市信息!$B$1:$B$14,城市信息!$C$1:$C$14)</f>
        <v>孙乒</v>
      </c>
      <c r="N675" t="str">
        <f>_xlfn.XLOOKUP($D675,城市信息!$B$1:$B$14,城市信息!$D$1:$D$14)</f>
        <v>一线</v>
      </c>
      <c r="O675">
        <f>_xlfn.XLOOKUP($D675,城市信息!$B$1:$B$14,城市信息!$E$1:$E$14)</f>
        <v>9854</v>
      </c>
      <c r="P675" cm="1">
        <f t="array" ref="P675:U675">_xlfn.XLOOKUP(A675&amp;B675,'[1]2.4自动化报表-8月获客数据-非乱码'!$A:$A&amp;'[1]2.4自动化报表-8月获客数据-非乱码'!$B:$B,'[1]2.4自动化报表-8月获客数据-非乱码'!$C:$H)</f>
        <v>3652</v>
      </c>
      <c r="Q675">
        <v>3548</v>
      </c>
      <c r="R675">
        <v>3370</v>
      </c>
      <c r="S675">
        <v>2021</v>
      </c>
      <c r="T675">
        <v>1181</v>
      </c>
      <c r="U675">
        <v>689</v>
      </c>
    </row>
    <row r="676" spans="1:21" x14ac:dyDescent="0.3">
      <c r="A676" s="1">
        <v>44068</v>
      </c>
      <c r="B676" t="s">
        <v>24</v>
      </c>
      <c r="C676" t="s">
        <v>103</v>
      </c>
      <c r="D676" t="s">
        <v>57</v>
      </c>
      <c r="E676" t="s">
        <v>107</v>
      </c>
      <c r="F676" s="2">
        <v>97409</v>
      </c>
      <c r="G676" s="2">
        <v>6001</v>
      </c>
      <c r="H676">
        <v>0</v>
      </c>
      <c r="I676" t="str">
        <f>_xlfn.XLOOKUP($C676,战区信息!$A$1:$A$5,战区信息!$B$1:$B$5)</f>
        <v>002</v>
      </c>
      <c r="J676" t="str">
        <f>_xlfn.XLOOKUP($C676,战区信息!$A$1:$A$5,战区信息!$C$1:$C$5)</f>
        <v>高安平</v>
      </c>
      <c r="K676" t="str">
        <f>_xlfn.XLOOKUP($C676,战区信息!$A$1:$A$5,战区信息!$D$1:$D$5)</f>
        <v>二级战区</v>
      </c>
      <c r="L676" t="str">
        <f>_xlfn.XLOOKUP($D676,城市信息!$B$1:$B$14,城市信息!$A$1:$A$14)</f>
        <v>002</v>
      </c>
      <c r="M676" t="str">
        <f>_xlfn.XLOOKUP($D676,城市信息!$B$1:$B$14,城市信息!$C$1:$C$14)</f>
        <v>孙乒</v>
      </c>
      <c r="N676" t="str">
        <f>_xlfn.XLOOKUP($D676,城市信息!$B$1:$B$14,城市信息!$D$1:$D$14)</f>
        <v>一线</v>
      </c>
      <c r="O676">
        <f>_xlfn.XLOOKUP($D676,城市信息!$B$1:$B$14,城市信息!$E$1:$E$14)</f>
        <v>9854</v>
      </c>
      <c r="P676" cm="1">
        <f t="array" ref="P676:U676">_xlfn.XLOOKUP(A676&amp;B676,'[1]2.4自动化报表-8月获客数据-非乱码'!$A:$A&amp;'[1]2.4自动化报表-8月获客数据-非乱码'!$B:$B,'[1]2.4自动化报表-8月获客数据-非乱码'!$C:$H)</f>
        <v>3783</v>
      </c>
      <c r="Q676">
        <v>3704</v>
      </c>
      <c r="R676">
        <v>3545</v>
      </c>
      <c r="S676">
        <v>2217</v>
      </c>
      <c r="T676">
        <v>1266</v>
      </c>
      <c r="U676">
        <v>691</v>
      </c>
    </row>
    <row r="677" spans="1:21" x14ac:dyDescent="0.3">
      <c r="A677" s="1">
        <v>44068</v>
      </c>
      <c r="B677" t="s">
        <v>23</v>
      </c>
      <c r="C677" t="s">
        <v>108</v>
      </c>
      <c r="D677" t="s">
        <v>109</v>
      </c>
      <c r="E677" t="s">
        <v>110</v>
      </c>
      <c r="F677" s="2">
        <v>89936</v>
      </c>
      <c r="G677" s="2">
        <v>4754</v>
      </c>
      <c r="H677">
        <v>0</v>
      </c>
      <c r="I677" t="str">
        <f>_xlfn.XLOOKUP($C677,战区信息!$A$1:$A$5,战区信息!$B$1:$B$5)</f>
        <v>001</v>
      </c>
      <c r="J677" t="str">
        <f>_xlfn.XLOOKUP($C677,战区信息!$A$1:$A$5,战区信息!$C$1:$C$5)</f>
        <v>江永</v>
      </c>
      <c r="K677" t="str">
        <f>_xlfn.XLOOKUP($C677,战区信息!$A$1:$A$5,战区信息!$D$1:$D$5)</f>
        <v>一级战区</v>
      </c>
      <c r="L677" t="str">
        <f>_xlfn.XLOOKUP($D677,城市信息!$B$1:$B$14,城市信息!$A$1:$A$14)</f>
        <v>013</v>
      </c>
      <c r="M677" t="str">
        <f>_xlfn.XLOOKUP($D677,城市信息!$B$1:$B$14,城市信息!$C$1:$C$14)</f>
        <v>张建</v>
      </c>
      <c r="N677" t="str">
        <f>_xlfn.XLOOKUP($D677,城市信息!$B$1:$B$14,城市信息!$D$1:$D$14)</f>
        <v>二线</v>
      </c>
      <c r="O677">
        <f>_xlfn.XLOOKUP($D677,城市信息!$B$1:$B$14,城市信息!$E$1:$E$14)</f>
        <v>8800</v>
      </c>
      <c r="P677" cm="1">
        <f t="array" ref="P677:U677">_xlfn.XLOOKUP(A677&amp;B677,'[1]2.4自动化报表-8月获客数据-非乱码'!$A:$A&amp;'[1]2.4自动化报表-8月获客数据-非乱码'!$B:$B,'[1]2.4自动化报表-8月获客数据-非乱码'!$C:$H)</f>
        <v>5654</v>
      </c>
      <c r="Q677">
        <v>5465</v>
      </c>
      <c r="R677">
        <v>5231</v>
      </c>
      <c r="S677">
        <v>3165</v>
      </c>
      <c r="T677">
        <v>1603</v>
      </c>
      <c r="U677">
        <v>694</v>
      </c>
    </row>
    <row r="678" spans="1:21" x14ac:dyDescent="0.3">
      <c r="A678" s="1">
        <v>44068</v>
      </c>
      <c r="B678" t="s">
        <v>22</v>
      </c>
      <c r="C678" t="s">
        <v>108</v>
      </c>
      <c r="D678" t="s">
        <v>109</v>
      </c>
      <c r="E678" t="s">
        <v>111</v>
      </c>
      <c r="F678" s="2">
        <v>4171</v>
      </c>
      <c r="G678">
        <v>284</v>
      </c>
      <c r="H678">
        <v>0</v>
      </c>
      <c r="I678" t="str">
        <f>_xlfn.XLOOKUP($C678,战区信息!$A$1:$A$5,战区信息!$B$1:$B$5)</f>
        <v>001</v>
      </c>
      <c r="J678" t="str">
        <f>_xlfn.XLOOKUP($C678,战区信息!$A$1:$A$5,战区信息!$C$1:$C$5)</f>
        <v>江永</v>
      </c>
      <c r="K678" t="str">
        <f>_xlfn.XLOOKUP($C678,战区信息!$A$1:$A$5,战区信息!$D$1:$D$5)</f>
        <v>一级战区</v>
      </c>
      <c r="L678" t="str">
        <f>_xlfn.XLOOKUP($D678,城市信息!$B$1:$B$14,城市信息!$A$1:$A$14)</f>
        <v>013</v>
      </c>
      <c r="M678" t="str">
        <f>_xlfn.XLOOKUP($D678,城市信息!$B$1:$B$14,城市信息!$C$1:$C$14)</f>
        <v>张建</v>
      </c>
      <c r="N678" t="str">
        <f>_xlfn.XLOOKUP($D678,城市信息!$B$1:$B$14,城市信息!$D$1:$D$14)</f>
        <v>二线</v>
      </c>
      <c r="O678">
        <f>_xlfn.XLOOKUP($D678,城市信息!$B$1:$B$14,城市信息!$E$1:$E$14)</f>
        <v>8800</v>
      </c>
      <c r="P678" cm="1">
        <f t="array" ref="P678:U678">_xlfn.XLOOKUP(A678&amp;B678,'[1]2.4自动化报表-8月获客数据-非乱码'!$A:$A&amp;'[1]2.4自动化报表-8月获客数据-非乱码'!$B:$B,'[1]2.4自动化报表-8月获客数据-非乱码'!$C:$H)</f>
        <v>295</v>
      </c>
      <c r="Q678">
        <v>289</v>
      </c>
      <c r="R678">
        <v>282</v>
      </c>
      <c r="S678">
        <v>164</v>
      </c>
      <c r="T678">
        <v>110</v>
      </c>
      <c r="U678">
        <v>692</v>
      </c>
    </row>
    <row r="679" spans="1:21" x14ac:dyDescent="0.3">
      <c r="A679" s="1">
        <v>44068</v>
      </c>
      <c r="B679" t="s">
        <v>21</v>
      </c>
      <c r="C679" t="s">
        <v>108</v>
      </c>
      <c r="D679" t="s">
        <v>109</v>
      </c>
      <c r="E679" t="s">
        <v>112</v>
      </c>
      <c r="F679" s="2">
        <v>128029</v>
      </c>
      <c r="G679" s="2">
        <v>6346</v>
      </c>
      <c r="H679" s="2">
        <v>2383</v>
      </c>
      <c r="I679" t="str">
        <f>_xlfn.XLOOKUP($C679,战区信息!$A$1:$A$5,战区信息!$B$1:$B$5)</f>
        <v>001</v>
      </c>
      <c r="J679" t="str">
        <f>_xlfn.XLOOKUP($C679,战区信息!$A$1:$A$5,战区信息!$C$1:$C$5)</f>
        <v>江永</v>
      </c>
      <c r="K679" t="str">
        <f>_xlfn.XLOOKUP($C679,战区信息!$A$1:$A$5,战区信息!$D$1:$D$5)</f>
        <v>一级战区</v>
      </c>
      <c r="L679" t="str">
        <f>_xlfn.XLOOKUP($D679,城市信息!$B$1:$B$14,城市信息!$A$1:$A$14)</f>
        <v>013</v>
      </c>
      <c r="M679" t="str">
        <f>_xlfn.XLOOKUP($D679,城市信息!$B$1:$B$14,城市信息!$C$1:$C$14)</f>
        <v>张建</v>
      </c>
      <c r="N679" t="str">
        <f>_xlfn.XLOOKUP($D679,城市信息!$B$1:$B$14,城市信息!$D$1:$D$14)</f>
        <v>二线</v>
      </c>
      <c r="O679">
        <f>_xlfn.XLOOKUP($D679,城市信息!$B$1:$B$14,城市信息!$E$1:$E$14)</f>
        <v>8800</v>
      </c>
      <c r="P679" cm="1">
        <f t="array" ref="P679:U679">_xlfn.XLOOKUP(A679&amp;B679,'[1]2.4自动化报表-8月获客数据-非乱码'!$A:$A&amp;'[1]2.4自动化报表-8月获客数据-非乱码'!$B:$B,'[1]2.4自动化报表-8月获客数据-非乱码'!$C:$H)</f>
        <v>6463</v>
      </c>
      <c r="Q679">
        <v>6218</v>
      </c>
      <c r="R679">
        <v>5913</v>
      </c>
      <c r="S679">
        <v>3405</v>
      </c>
      <c r="T679">
        <v>1897</v>
      </c>
      <c r="U679">
        <v>695</v>
      </c>
    </row>
    <row r="680" spans="1:21" x14ac:dyDescent="0.3">
      <c r="A680" s="1">
        <v>44068</v>
      </c>
      <c r="B680" t="s">
        <v>20</v>
      </c>
      <c r="C680" t="s">
        <v>108</v>
      </c>
      <c r="D680" t="s">
        <v>56</v>
      </c>
      <c r="E680" t="s">
        <v>113</v>
      </c>
      <c r="F680" s="2">
        <v>79143</v>
      </c>
      <c r="G680" s="2">
        <v>3971</v>
      </c>
      <c r="H680" s="2">
        <v>2490</v>
      </c>
      <c r="I680" t="str">
        <f>_xlfn.XLOOKUP($C680,战区信息!$A$1:$A$5,战区信息!$B$1:$B$5)</f>
        <v>001</v>
      </c>
      <c r="J680" t="str">
        <f>_xlfn.XLOOKUP($C680,战区信息!$A$1:$A$5,战区信息!$C$1:$C$5)</f>
        <v>江永</v>
      </c>
      <c r="K680" t="str">
        <f>_xlfn.XLOOKUP($C680,战区信息!$A$1:$A$5,战区信息!$D$1:$D$5)</f>
        <v>一级战区</v>
      </c>
      <c r="L680" t="str">
        <f>_xlfn.XLOOKUP($D680,城市信息!$B$1:$B$14,城市信息!$A$1:$A$14)</f>
        <v>001</v>
      </c>
      <c r="M680" t="str">
        <f>_xlfn.XLOOKUP($D680,城市信息!$B$1:$B$14,城市信息!$C$1:$C$14)</f>
        <v>吴刚</v>
      </c>
      <c r="N680" t="str">
        <f>_xlfn.XLOOKUP($D680,城市信息!$B$1:$B$14,城市信息!$D$1:$D$14)</f>
        <v>一线</v>
      </c>
      <c r="O680">
        <f>_xlfn.XLOOKUP($D680,城市信息!$B$1:$B$14,城市信息!$E$1:$E$14)</f>
        <v>12114</v>
      </c>
      <c r="P680" cm="1">
        <f t="array" ref="P680:U680">_xlfn.XLOOKUP(A680&amp;B680,'[1]2.4自动化报表-8月获客数据-非乱码'!$A:$A&amp;'[1]2.4自动化报表-8月获客数据-非乱码'!$B:$B,'[1]2.4自动化报表-8月获客数据-非乱码'!$C:$H)</f>
        <v>4836</v>
      </c>
      <c r="Q680">
        <v>4670</v>
      </c>
      <c r="R680">
        <v>4476</v>
      </c>
      <c r="S680">
        <v>2629</v>
      </c>
      <c r="T680">
        <v>1487</v>
      </c>
      <c r="U680">
        <v>693</v>
      </c>
    </row>
    <row r="681" spans="1:21" x14ac:dyDescent="0.3">
      <c r="A681" s="1">
        <v>44068</v>
      </c>
      <c r="B681" t="s">
        <v>19</v>
      </c>
      <c r="C681" t="s">
        <v>108</v>
      </c>
      <c r="D681" t="s">
        <v>56</v>
      </c>
      <c r="E681" t="s">
        <v>114</v>
      </c>
      <c r="F681" s="2">
        <v>115598</v>
      </c>
      <c r="G681" s="2">
        <v>7069</v>
      </c>
      <c r="H681">
        <v>0</v>
      </c>
      <c r="I681" t="str">
        <f>_xlfn.XLOOKUP($C681,战区信息!$A$1:$A$5,战区信息!$B$1:$B$5)</f>
        <v>001</v>
      </c>
      <c r="J681" t="str">
        <f>_xlfn.XLOOKUP($C681,战区信息!$A$1:$A$5,战区信息!$C$1:$C$5)</f>
        <v>江永</v>
      </c>
      <c r="K681" t="str">
        <f>_xlfn.XLOOKUP($C681,战区信息!$A$1:$A$5,战区信息!$D$1:$D$5)</f>
        <v>一级战区</v>
      </c>
      <c r="L681" t="str">
        <f>_xlfn.XLOOKUP($D681,城市信息!$B$1:$B$14,城市信息!$A$1:$A$14)</f>
        <v>001</v>
      </c>
      <c r="M681" t="str">
        <f>_xlfn.XLOOKUP($D681,城市信息!$B$1:$B$14,城市信息!$C$1:$C$14)</f>
        <v>吴刚</v>
      </c>
      <c r="N681" t="str">
        <f>_xlfn.XLOOKUP($D681,城市信息!$B$1:$B$14,城市信息!$D$1:$D$14)</f>
        <v>一线</v>
      </c>
      <c r="O681">
        <f>_xlfn.XLOOKUP($D681,城市信息!$B$1:$B$14,城市信息!$E$1:$E$14)</f>
        <v>12114</v>
      </c>
      <c r="P681" cm="1">
        <f t="array" ref="P681:U681">_xlfn.XLOOKUP(A681&amp;B681,'[1]2.4自动化报表-8月获客数据-非乱码'!$A:$A&amp;'[1]2.4自动化报表-8月获客数据-非乱码'!$B:$B,'[1]2.4自动化报表-8月获客数据-非乱码'!$C:$H)</f>
        <v>2925</v>
      </c>
      <c r="Q681">
        <v>2858</v>
      </c>
      <c r="R681">
        <v>2747</v>
      </c>
      <c r="S681">
        <v>1612</v>
      </c>
      <c r="T681">
        <v>968</v>
      </c>
      <c r="U681">
        <v>696</v>
      </c>
    </row>
    <row r="682" spans="1:21" x14ac:dyDescent="0.3">
      <c r="A682" s="1">
        <v>44068</v>
      </c>
      <c r="B682" t="s">
        <v>18</v>
      </c>
      <c r="C682" t="s">
        <v>108</v>
      </c>
      <c r="D682" t="s">
        <v>56</v>
      </c>
      <c r="E682" t="s">
        <v>115</v>
      </c>
      <c r="F682" s="2">
        <v>49818</v>
      </c>
      <c r="G682" s="2">
        <v>2577</v>
      </c>
      <c r="H682">
        <v>0</v>
      </c>
      <c r="I682" t="str">
        <f>_xlfn.XLOOKUP($C682,战区信息!$A$1:$A$5,战区信息!$B$1:$B$5)</f>
        <v>001</v>
      </c>
      <c r="J682" t="str">
        <f>_xlfn.XLOOKUP($C682,战区信息!$A$1:$A$5,战区信息!$C$1:$C$5)</f>
        <v>江永</v>
      </c>
      <c r="K682" t="str">
        <f>_xlfn.XLOOKUP($C682,战区信息!$A$1:$A$5,战区信息!$D$1:$D$5)</f>
        <v>一级战区</v>
      </c>
      <c r="L682" t="str">
        <f>_xlfn.XLOOKUP($D682,城市信息!$B$1:$B$14,城市信息!$A$1:$A$14)</f>
        <v>001</v>
      </c>
      <c r="M682" t="str">
        <f>_xlfn.XLOOKUP($D682,城市信息!$B$1:$B$14,城市信息!$C$1:$C$14)</f>
        <v>吴刚</v>
      </c>
      <c r="N682" t="str">
        <f>_xlfn.XLOOKUP($D682,城市信息!$B$1:$B$14,城市信息!$D$1:$D$14)</f>
        <v>一线</v>
      </c>
      <c r="O682">
        <f>_xlfn.XLOOKUP($D682,城市信息!$B$1:$B$14,城市信息!$E$1:$E$14)</f>
        <v>12114</v>
      </c>
      <c r="P682" cm="1">
        <f t="array" ref="P682:U682">_xlfn.XLOOKUP(A682&amp;B682,'[1]2.4自动化报表-8月获客数据-非乱码'!$A:$A&amp;'[1]2.4自动化报表-8月获客数据-非乱码'!$B:$B,'[1]2.4自动化报表-8月获客数据-非乱码'!$C:$H)</f>
        <v>2128</v>
      </c>
      <c r="Q682">
        <v>2098</v>
      </c>
      <c r="R682">
        <v>2011</v>
      </c>
      <c r="S682">
        <v>1172</v>
      </c>
      <c r="T682">
        <v>645</v>
      </c>
      <c r="U682">
        <v>692</v>
      </c>
    </row>
    <row r="683" spans="1:21" x14ac:dyDescent="0.3">
      <c r="A683" s="1">
        <v>44068</v>
      </c>
      <c r="B683" t="s">
        <v>17</v>
      </c>
      <c r="C683" t="s">
        <v>108</v>
      </c>
      <c r="D683" t="s">
        <v>59</v>
      </c>
      <c r="E683" t="s">
        <v>116</v>
      </c>
      <c r="F683" s="2">
        <v>31914</v>
      </c>
      <c r="G683" s="2">
        <v>1663</v>
      </c>
      <c r="H683">
        <v>0</v>
      </c>
      <c r="I683" t="str">
        <f>_xlfn.XLOOKUP($C683,战区信息!$A$1:$A$5,战区信息!$B$1:$B$5)</f>
        <v>001</v>
      </c>
      <c r="J683" t="str">
        <f>_xlfn.XLOOKUP($C683,战区信息!$A$1:$A$5,战区信息!$C$1:$C$5)</f>
        <v>江永</v>
      </c>
      <c r="K683" t="str">
        <f>_xlfn.XLOOKUP($C683,战区信息!$A$1:$A$5,战区信息!$D$1:$D$5)</f>
        <v>一级战区</v>
      </c>
      <c r="L683" t="str">
        <f>_xlfn.XLOOKUP($D683,城市信息!$B$1:$B$14,城市信息!$A$1:$A$14)</f>
        <v>004</v>
      </c>
      <c r="M683" t="str">
        <f>_xlfn.XLOOKUP($D683,城市信息!$B$1:$B$14,城市信息!$C$1:$C$14)</f>
        <v>苏川</v>
      </c>
      <c r="N683" t="str">
        <f>_xlfn.XLOOKUP($D683,城市信息!$B$1:$B$14,城市信息!$D$1:$D$14)</f>
        <v>二线</v>
      </c>
      <c r="O683">
        <f>_xlfn.XLOOKUP($D683,城市信息!$B$1:$B$14,城市信息!$E$1:$E$14)</f>
        <v>9912</v>
      </c>
      <c r="P683" cm="1">
        <f t="array" ref="P683:U683">_xlfn.XLOOKUP(A683&amp;B683,'[1]2.4自动化报表-8月获客数据-非乱码'!$A:$A&amp;'[1]2.4自动化报表-8月获客数据-非乱码'!$B:$B,'[1]2.4自动化报表-8月获客数据-非乱码'!$C:$H)</f>
        <v>1834</v>
      </c>
      <c r="Q683">
        <v>1807</v>
      </c>
      <c r="R683">
        <v>1756</v>
      </c>
      <c r="S683">
        <v>1011</v>
      </c>
      <c r="T683">
        <v>586</v>
      </c>
      <c r="U683">
        <v>695</v>
      </c>
    </row>
    <row r="684" spans="1:21" x14ac:dyDescent="0.3">
      <c r="A684" s="1">
        <v>44068</v>
      </c>
      <c r="B684" t="s">
        <v>16</v>
      </c>
      <c r="C684" t="s">
        <v>108</v>
      </c>
      <c r="D684" t="s">
        <v>59</v>
      </c>
      <c r="E684" t="s">
        <v>117</v>
      </c>
      <c r="F684" s="2">
        <v>36001</v>
      </c>
      <c r="G684" s="2">
        <v>1822</v>
      </c>
      <c r="H684">
        <v>0</v>
      </c>
      <c r="I684" t="str">
        <f>_xlfn.XLOOKUP($C684,战区信息!$A$1:$A$5,战区信息!$B$1:$B$5)</f>
        <v>001</v>
      </c>
      <c r="J684" t="str">
        <f>_xlfn.XLOOKUP($C684,战区信息!$A$1:$A$5,战区信息!$C$1:$C$5)</f>
        <v>江永</v>
      </c>
      <c r="K684" t="str">
        <f>_xlfn.XLOOKUP($C684,战区信息!$A$1:$A$5,战区信息!$D$1:$D$5)</f>
        <v>一级战区</v>
      </c>
      <c r="L684" t="str">
        <f>_xlfn.XLOOKUP($D684,城市信息!$B$1:$B$14,城市信息!$A$1:$A$14)</f>
        <v>004</v>
      </c>
      <c r="M684" t="str">
        <f>_xlfn.XLOOKUP($D684,城市信息!$B$1:$B$14,城市信息!$C$1:$C$14)</f>
        <v>苏川</v>
      </c>
      <c r="N684" t="str">
        <f>_xlfn.XLOOKUP($D684,城市信息!$B$1:$B$14,城市信息!$D$1:$D$14)</f>
        <v>二线</v>
      </c>
      <c r="O684">
        <f>_xlfn.XLOOKUP($D684,城市信息!$B$1:$B$14,城市信息!$E$1:$E$14)</f>
        <v>9912</v>
      </c>
      <c r="P684" cm="1">
        <f t="array" ref="P684:U684">_xlfn.XLOOKUP(A684&amp;B684,'[1]2.4自动化报表-8月获客数据-非乱码'!$A:$A&amp;'[1]2.4自动化报表-8月获客数据-非乱码'!$B:$B,'[1]2.4自动化报表-8月获客数据-非乱码'!$C:$H)</f>
        <v>998</v>
      </c>
      <c r="Q684">
        <v>974</v>
      </c>
      <c r="R684">
        <v>935</v>
      </c>
      <c r="S684">
        <v>513</v>
      </c>
      <c r="T684">
        <v>295</v>
      </c>
      <c r="U684">
        <v>694</v>
      </c>
    </row>
    <row r="685" spans="1:21" x14ac:dyDescent="0.3">
      <c r="A685" s="1">
        <v>44068</v>
      </c>
      <c r="B685" t="s">
        <v>15</v>
      </c>
      <c r="C685" t="s">
        <v>108</v>
      </c>
      <c r="D685" t="s">
        <v>59</v>
      </c>
      <c r="E685" t="s">
        <v>118</v>
      </c>
      <c r="F685" s="2">
        <v>41001</v>
      </c>
      <c r="G685" s="2">
        <v>1804</v>
      </c>
      <c r="H685">
        <v>0</v>
      </c>
      <c r="I685" t="str">
        <f>_xlfn.XLOOKUP($C685,战区信息!$A$1:$A$5,战区信息!$B$1:$B$5)</f>
        <v>001</v>
      </c>
      <c r="J685" t="str">
        <f>_xlfn.XLOOKUP($C685,战区信息!$A$1:$A$5,战区信息!$C$1:$C$5)</f>
        <v>江永</v>
      </c>
      <c r="K685" t="str">
        <f>_xlfn.XLOOKUP($C685,战区信息!$A$1:$A$5,战区信息!$D$1:$D$5)</f>
        <v>一级战区</v>
      </c>
      <c r="L685" t="str">
        <f>_xlfn.XLOOKUP($D685,城市信息!$B$1:$B$14,城市信息!$A$1:$A$14)</f>
        <v>004</v>
      </c>
      <c r="M685" t="str">
        <f>_xlfn.XLOOKUP($D685,城市信息!$B$1:$B$14,城市信息!$C$1:$C$14)</f>
        <v>苏川</v>
      </c>
      <c r="N685" t="str">
        <f>_xlfn.XLOOKUP($D685,城市信息!$B$1:$B$14,城市信息!$D$1:$D$14)</f>
        <v>二线</v>
      </c>
      <c r="O685">
        <f>_xlfn.XLOOKUP($D685,城市信息!$B$1:$B$14,城市信息!$E$1:$E$14)</f>
        <v>9912</v>
      </c>
      <c r="P685" cm="1">
        <f t="array" ref="P685:U685">_xlfn.XLOOKUP(A685&amp;B685,'[1]2.4自动化报表-8月获客数据-非乱码'!$A:$A&amp;'[1]2.4自动化报表-8月获客数据-非乱码'!$B:$B,'[1]2.4自动化报表-8月获客数据-非乱码'!$C:$H)</f>
        <v>1637</v>
      </c>
      <c r="Q685">
        <v>1606</v>
      </c>
      <c r="R685">
        <v>1546</v>
      </c>
      <c r="S685">
        <v>919</v>
      </c>
      <c r="T685">
        <v>446</v>
      </c>
      <c r="U685">
        <v>697</v>
      </c>
    </row>
    <row r="686" spans="1:21" x14ac:dyDescent="0.3">
      <c r="A686" s="1">
        <v>44068</v>
      </c>
      <c r="B686" t="s">
        <v>14</v>
      </c>
      <c r="C686" t="s">
        <v>108</v>
      </c>
      <c r="D686" t="s">
        <v>59</v>
      </c>
      <c r="E686" t="s">
        <v>119</v>
      </c>
      <c r="F686" s="2">
        <v>12403</v>
      </c>
      <c r="G686">
        <v>557</v>
      </c>
      <c r="H686">
        <v>0</v>
      </c>
      <c r="I686" t="str">
        <f>_xlfn.XLOOKUP($C686,战区信息!$A$1:$A$5,战区信息!$B$1:$B$5)</f>
        <v>001</v>
      </c>
      <c r="J686" t="str">
        <f>_xlfn.XLOOKUP($C686,战区信息!$A$1:$A$5,战区信息!$C$1:$C$5)</f>
        <v>江永</v>
      </c>
      <c r="K686" t="str">
        <f>_xlfn.XLOOKUP($C686,战区信息!$A$1:$A$5,战区信息!$D$1:$D$5)</f>
        <v>一级战区</v>
      </c>
      <c r="L686" t="str">
        <f>_xlfn.XLOOKUP($D686,城市信息!$B$1:$B$14,城市信息!$A$1:$A$14)</f>
        <v>004</v>
      </c>
      <c r="M686" t="str">
        <f>_xlfn.XLOOKUP($D686,城市信息!$B$1:$B$14,城市信息!$C$1:$C$14)</f>
        <v>苏川</v>
      </c>
      <c r="N686" t="str">
        <f>_xlfn.XLOOKUP($D686,城市信息!$B$1:$B$14,城市信息!$D$1:$D$14)</f>
        <v>二线</v>
      </c>
      <c r="O686">
        <f>_xlfn.XLOOKUP($D686,城市信息!$B$1:$B$14,城市信息!$E$1:$E$14)</f>
        <v>9912</v>
      </c>
      <c r="P686" cm="1">
        <f t="array" ref="P686:U686">_xlfn.XLOOKUP(A686&amp;B686,'[1]2.4自动化报表-8月获客数据-非乱码'!$A:$A&amp;'[1]2.4自动化报表-8月获客数据-非乱码'!$B:$B,'[1]2.4自动化报表-8月获客数据-非乱码'!$C:$H)</f>
        <v>2267</v>
      </c>
      <c r="Q686">
        <v>2188</v>
      </c>
      <c r="R686">
        <v>2100</v>
      </c>
      <c r="S686">
        <v>1328</v>
      </c>
      <c r="T686">
        <v>701</v>
      </c>
      <c r="U686">
        <v>699</v>
      </c>
    </row>
    <row r="687" spans="1:21" x14ac:dyDescent="0.3">
      <c r="A687" s="1">
        <v>44068</v>
      </c>
      <c r="B687" t="s">
        <v>13</v>
      </c>
      <c r="C687" t="s">
        <v>108</v>
      </c>
      <c r="D687" t="s">
        <v>60</v>
      </c>
      <c r="E687" t="s">
        <v>120</v>
      </c>
      <c r="F687" s="2">
        <v>105848</v>
      </c>
      <c r="G687" s="2">
        <v>5362</v>
      </c>
      <c r="H687">
        <v>0</v>
      </c>
      <c r="I687" t="str">
        <f>_xlfn.XLOOKUP($C687,战区信息!$A$1:$A$5,战区信息!$B$1:$B$5)</f>
        <v>001</v>
      </c>
      <c r="J687" t="str">
        <f>_xlfn.XLOOKUP($C687,战区信息!$A$1:$A$5,战区信息!$C$1:$C$5)</f>
        <v>江永</v>
      </c>
      <c r="K687" t="str">
        <f>_xlfn.XLOOKUP($C687,战区信息!$A$1:$A$5,战区信息!$D$1:$D$5)</f>
        <v>一级战区</v>
      </c>
      <c r="L687" t="str">
        <f>_xlfn.XLOOKUP($D687,城市信息!$B$1:$B$14,城市信息!$A$1:$A$14)</f>
        <v>005</v>
      </c>
      <c r="M687" t="str">
        <f>_xlfn.XLOOKUP($D687,城市信息!$B$1:$B$14,城市信息!$C$1:$C$14)</f>
        <v>侯阳冰</v>
      </c>
      <c r="N687" t="str">
        <f>_xlfn.XLOOKUP($D687,城市信息!$B$1:$B$14,城市信息!$D$1:$D$14)</f>
        <v>二线</v>
      </c>
      <c r="O687">
        <f>_xlfn.XLOOKUP($D687,城市信息!$B$1:$B$14,城市信息!$E$1:$E$14)</f>
        <v>8694</v>
      </c>
      <c r="P687" cm="1">
        <f t="array" ref="P687:U687">_xlfn.XLOOKUP(A687&amp;B687,'[1]2.4自动化报表-8月获客数据-非乱码'!$A:$A&amp;'[1]2.4自动化报表-8月获客数据-非乱码'!$B:$B,'[1]2.4自动化报表-8月获客数据-非乱码'!$C:$H)</f>
        <v>4445</v>
      </c>
      <c r="Q687">
        <v>4325</v>
      </c>
      <c r="R687">
        <v>4115</v>
      </c>
      <c r="S687">
        <v>2547</v>
      </c>
      <c r="T687">
        <v>1278</v>
      </c>
      <c r="U687">
        <v>696</v>
      </c>
    </row>
    <row r="688" spans="1:21" x14ac:dyDescent="0.3">
      <c r="A688" s="1">
        <v>44068</v>
      </c>
      <c r="B688" t="s">
        <v>12</v>
      </c>
      <c r="C688" t="s">
        <v>108</v>
      </c>
      <c r="D688" t="s">
        <v>60</v>
      </c>
      <c r="E688" t="s">
        <v>121</v>
      </c>
      <c r="F688" s="2">
        <v>66336</v>
      </c>
      <c r="G688" s="2">
        <v>3554</v>
      </c>
      <c r="H688">
        <v>0</v>
      </c>
      <c r="I688" t="str">
        <f>_xlfn.XLOOKUP($C688,战区信息!$A$1:$A$5,战区信息!$B$1:$B$5)</f>
        <v>001</v>
      </c>
      <c r="J688" t="str">
        <f>_xlfn.XLOOKUP($C688,战区信息!$A$1:$A$5,战区信息!$C$1:$C$5)</f>
        <v>江永</v>
      </c>
      <c r="K688" t="str">
        <f>_xlfn.XLOOKUP($C688,战区信息!$A$1:$A$5,战区信息!$D$1:$D$5)</f>
        <v>一级战区</v>
      </c>
      <c r="L688" t="str">
        <f>_xlfn.XLOOKUP($D688,城市信息!$B$1:$B$14,城市信息!$A$1:$A$14)</f>
        <v>005</v>
      </c>
      <c r="M688" t="str">
        <f>_xlfn.XLOOKUP($D688,城市信息!$B$1:$B$14,城市信息!$C$1:$C$14)</f>
        <v>侯阳冰</v>
      </c>
      <c r="N688" t="str">
        <f>_xlfn.XLOOKUP($D688,城市信息!$B$1:$B$14,城市信息!$D$1:$D$14)</f>
        <v>二线</v>
      </c>
      <c r="O688">
        <f>_xlfn.XLOOKUP($D688,城市信息!$B$1:$B$14,城市信息!$E$1:$E$14)</f>
        <v>8694</v>
      </c>
      <c r="P688" cm="1">
        <f t="array" ref="P688:U688">_xlfn.XLOOKUP(A688&amp;B688,'[1]2.4自动化报表-8月获客数据-非乱码'!$A:$A&amp;'[1]2.4自动化报表-8月获客数据-非乱码'!$B:$B,'[1]2.4自动化报表-8月获客数据-非乱码'!$C:$H)</f>
        <v>1034</v>
      </c>
      <c r="Q688">
        <v>1014</v>
      </c>
      <c r="R688">
        <v>951</v>
      </c>
      <c r="S688">
        <v>589</v>
      </c>
      <c r="T688">
        <v>291</v>
      </c>
      <c r="U688">
        <v>697</v>
      </c>
    </row>
    <row r="689" spans="1:21" x14ac:dyDescent="0.3">
      <c r="A689" s="1">
        <v>44068</v>
      </c>
      <c r="B689" t="s">
        <v>11</v>
      </c>
      <c r="C689" t="s">
        <v>108</v>
      </c>
      <c r="D689" t="s">
        <v>58</v>
      </c>
      <c r="E689" t="s">
        <v>122</v>
      </c>
      <c r="F689" s="2">
        <v>175820</v>
      </c>
      <c r="G689" s="2">
        <v>8286</v>
      </c>
      <c r="H689">
        <v>0</v>
      </c>
      <c r="I689" t="str">
        <f>_xlfn.XLOOKUP($C689,战区信息!$A$1:$A$5,战区信息!$B$1:$B$5)</f>
        <v>001</v>
      </c>
      <c r="J689" t="str">
        <f>_xlfn.XLOOKUP($C689,战区信息!$A$1:$A$5,战区信息!$C$1:$C$5)</f>
        <v>江永</v>
      </c>
      <c r="K689" t="str">
        <f>_xlfn.XLOOKUP($C689,战区信息!$A$1:$A$5,战区信息!$D$1:$D$5)</f>
        <v>一级战区</v>
      </c>
      <c r="L689" t="str">
        <f>_xlfn.XLOOKUP($D689,城市信息!$B$1:$B$14,城市信息!$A$1:$A$14)</f>
        <v>003</v>
      </c>
      <c r="M689" t="str">
        <f>_xlfn.XLOOKUP($D689,城市信息!$B$1:$B$14,城市信息!$C$1:$C$14)</f>
        <v>杜光亮</v>
      </c>
      <c r="N689" t="str">
        <f>_xlfn.XLOOKUP($D689,城市信息!$B$1:$B$14,城市信息!$D$1:$D$14)</f>
        <v>二线</v>
      </c>
      <c r="O689">
        <f>_xlfn.XLOOKUP($D689,城市信息!$B$1:$B$14,城市信息!$E$1:$E$14)</f>
        <v>10499</v>
      </c>
      <c r="P689" cm="1">
        <f t="array" ref="P689:U689">_xlfn.XLOOKUP(A689&amp;B689,'[1]2.4自动化报表-8月获客数据-非乱码'!$A:$A&amp;'[1]2.4自动化报表-8月获客数据-非乱码'!$B:$B,'[1]2.4自动化报表-8月获客数据-非乱码'!$C:$H)</f>
        <v>6742</v>
      </c>
      <c r="Q689">
        <v>6482</v>
      </c>
      <c r="R689">
        <v>6142</v>
      </c>
      <c r="S689">
        <v>3799</v>
      </c>
      <c r="T689">
        <v>1789</v>
      </c>
      <c r="U689">
        <v>702</v>
      </c>
    </row>
    <row r="690" spans="1:21" x14ac:dyDescent="0.3">
      <c r="A690" s="1">
        <v>44068</v>
      </c>
      <c r="B690" t="s">
        <v>10</v>
      </c>
      <c r="C690" t="s">
        <v>108</v>
      </c>
      <c r="D690" t="s">
        <v>58</v>
      </c>
      <c r="E690" t="s">
        <v>123</v>
      </c>
      <c r="F690" s="2">
        <v>28628</v>
      </c>
      <c r="G690" s="2">
        <v>1746</v>
      </c>
      <c r="H690">
        <v>0</v>
      </c>
      <c r="I690" t="str">
        <f>_xlfn.XLOOKUP($C690,战区信息!$A$1:$A$5,战区信息!$B$1:$B$5)</f>
        <v>001</v>
      </c>
      <c r="J690" t="str">
        <f>_xlfn.XLOOKUP($C690,战区信息!$A$1:$A$5,战区信息!$C$1:$C$5)</f>
        <v>江永</v>
      </c>
      <c r="K690" t="str">
        <f>_xlfn.XLOOKUP($C690,战区信息!$A$1:$A$5,战区信息!$D$1:$D$5)</f>
        <v>一级战区</v>
      </c>
      <c r="L690" t="str">
        <f>_xlfn.XLOOKUP($D690,城市信息!$B$1:$B$14,城市信息!$A$1:$A$14)</f>
        <v>003</v>
      </c>
      <c r="M690" t="str">
        <f>_xlfn.XLOOKUP($D690,城市信息!$B$1:$B$14,城市信息!$C$1:$C$14)</f>
        <v>杜光亮</v>
      </c>
      <c r="N690" t="str">
        <f>_xlfn.XLOOKUP($D690,城市信息!$B$1:$B$14,城市信息!$D$1:$D$14)</f>
        <v>二线</v>
      </c>
      <c r="O690">
        <f>_xlfn.XLOOKUP($D690,城市信息!$B$1:$B$14,城市信息!$E$1:$E$14)</f>
        <v>10499</v>
      </c>
      <c r="P690" cm="1">
        <f t="array" ref="P690:U690">_xlfn.XLOOKUP(A690&amp;B690,'[1]2.4自动化报表-8月获客数据-非乱码'!$A:$A&amp;'[1]2.4自动化报表-8月获客数据-非乱码'!$B:$B,'[1]2.4自动化报表-8月获客数据-非乱码'!$C:$H)</f>
        <v>1773</v>
      </c>
      <c r="Q690">
        <v>1738</v>
      </c>
      <c r="R690">
        <v>1690</v>
      </c>
      <c r="S690">
        <v>1017</v>
      </c>
      <c r="T690">
        <v>614</v>
      </c>
      <c r="U690">
        <v>701</v>
      </c>
    </row>
    <row r="691" spans="1:21" x14ac:dyDescent="0.3">
      <c r="A691" s="1">
        <v>44068</v>
      </c>
      <c r="B691" t="s">
        <v>9</v>
      </c>
      <c r="C691" t="s">
        <v>108</v>
      </c>
      <c r="D691" t="s">
        <v>58</v>
      </c>
      <c r="E691" t="s">
        <v>124</v>
      </c>
      <c r="F691" s="2">
        <v>101761</v>
      </c>
      <c r="G691" s="2">
        <v>5620</v>
      </c>
      <c r="H691">
        <v>0</v>
      </c>
      <c r="I691" t="str">
        <f>_xlfn.XLOOKUP($C691,战区信息!$A$1:$A$5,战区信息!$B$1:$B$5)</f>
        <v>001</v>
      </c>
      <c r="J691" t="str">
        <f>_xlfn.XLOOKUP($C691,战区信息!$A$1:$A$5,战区信息!$C$1:$C$5)</f>
        <v>江永</v>
      </c>
      <c r="K691" t="str">
        <f>_xlfn.XLOOKUP($C691,战区信息!$A$1:$A$5,战区信息!$D$1:$D$5)</f>
        <v>一级战区</v>
      </c>
      <c r="L691" t="str">
        <f>_xlfn.XLOOKUP($D691,城市信息!$B$1:$B$14,城市信息!$A$1:$A$14)</f>
        <v>003</v>
      </c>
      <c r="M691" t="str">
        <f>_xlfn.XLOOKUP($D691,城市信息!$B$1:$B$14,城市信息!$C$1:$C$14)</f>
        <v>杜光亮</v>
      </c>
      <c r="N691" t="str">
        <f>_xlfn.XLOOKUP($D691,城市信息!$B$1:$B$14,城市信息!$D$1:$D$14)</f>
        <v>二线</v>
      </c>
      <c r="O691">
        <f>_xlfn.XLOOKUP($D691,城市信息!$B$1:$B$14,城市信息!$E$1:$E$14)</f>
        <v>10499</v>
      </c>
      <c r="P691" cm="1">
        <f t="array" ref="P691:U691">_xlfn.XLOOKUP(A691&amp;B691,'[1]2.4自动化报表-8月获客数据-非乱码'!$A:$A&amp;'[1]2.4自动化报表-8月获客数据-非乱码'!$B:$B,'[1]2.4自动化报表-8月获客数据-非乱码'!$C:$H)</f>
        <v>5405</v>
      </c>
      <c r="Q691">
        <v>5268</v>
      </c>
      <c r="R691">
        <v>5095</v>
      </c>
      <c r="S691">
        <v>2899</v>
      </c>
      <c r="T691">
        <v>1629</v>
      </c>
      <c r="U691">
        <v>694</v>
      </c>
    </row>
    <row r="692" spans="1:21" x14ac:dyDescent="0.3">
      <c r="A692" s="1">
        <v>44068</v>
      </c>
      <c r="B692" t="s">
        <v>8</v>
      </c>
      <c r="C692" t="s">
        <v>125</v>
      </c>
      <c r="D692" t="s">
        <v>66</v>
      </c>
      <c r="E692" t="s">
        <v>126</v>
      </c>
      <c r="F692" s="2">
        <v>49160</v>
      </c>
      <c r="G692" s="2">
        <v>2728</v>
      </c>
      <c r="H692">
        <v>678</v>
      </c>
      <c r="I692" t="str">
        <f>_xlfn.XLOOKUP($C692,战区信息!$A$1:$A$5,战区信息!$B$1:$B$5)</f>
        <v>004</v>
      </c>
      <c r="J692" t="str">
        <f>_xlfn.XLOOKUP($C692,战区信息!$A$1:$A$5,战区信息!$C$1:$C$5)</f>
        <v>沈乐欣</v>
      </c>
      <c r="K692" t="str">
        <f>_xlfn.XLOOKUP($C692,战区信息!$A$1:$A$5,战区信息!$D$1:$D$5)</f>
        <v>三级战区</v>
      </c>
      <c r="L692" t="str">
        <f>_xlfn.XLOOKUP($D692,城市信息!$B$1:$B$14,城市信息!$A$1:$A$14)</f>
        <v>011</v>
      </c>
      <c r="M692" t="str">
        <f>_xlfn.XLOOKUP($D692,城市信息!$B$1:$B$14,城市信息!$C$1:$C$14)</f>
        <v>冯谦</v>
      </c>
      <c r="N692" t="str">
        <f>_xlfn.XLOOKUP($D692,城市信息!$B$1:$B$14,城市信息!$D$1:$D$14)</f>
        <v>一线</v>
      </c>
      <c r="O692">
        <f>_xlfn.XLOOKUP($D692,城市信息!$B$1:$B$14,城市信息!$E$1:$E$14)</f>
        <v>8244</v>
      </c>
      <c r="P692" cm="1">
        <f t="array" ref="P692:U692">_xlfn.XLOOKUP(A692&amp;B692,'[1]2.4自动化报表-8月获客数据-非乱码'!$A:$A&amp;'[1]2.4自动化报表-8月获客数据-非乱码'!$B:$B,'[1]2.4自动化报表-8月获客数据-非乱码'!$C:$H)</f>
        <v>1223</v>
      </c>
      <c r="Q692">
        <v>1212</v>
      </c>
      <c r="R692">
        <v>1177</v>
      </c>
      <c r="S692">
        <v>648</v>
      </c>
      <c r="T692">
        <v>413</v>
      </c>
      <c r="U692">
        <v>685</v>
      </c>
    </row>
    <row r="693" spans="1:21" x14ac:dyDescent="0.3">
      <c r="A693" s="1">
        <v>44068</v>
      </c>
      <c r="B693" t="s">
        <v>6</v>
      </c>
      <c r="C693" t="s">
        <v>125</v>
      </c>
      <c r="D693" t="s">
        <v>62</v>
      </c>
      <c r="E693" t="s">
        <v>128</v>
      </c>
      <c r="F693" s="2">
        <v>12465</v>
      </c>
      <c r="G693">
        <v>647</v>
      </c>
      <c r="H693">
        <v>0</v>
      </c>
      <c r="I693" t="str">
        <f>_xlfn.XLOOKUP($C693,战区信息!$A$1:$A$5,战区信息!$B$1:$B$5)</f>
        <v>004</v>
      </c>
      <c r="J693" t="str">
        <f>_xlfn.XLOOKUP($C693,战区信息!$A$1:$A$5,战区信息!$C$1:$C$5)</f>
        <v>沈乐欣</v>
      </c>
      <c r="K693" t="str">
        <f>_xlfn.XLOOKUP($C693,战区信息!$A$1:$A$5,战区信息!$D$1:$D$5)</f>
        <v>三级战区</v>
      </c>
      <c r="L693" t="str">
        <f>_xlfn.XLOOKUP($D693,城市信息!$B$1:$B$14,城市信息!$A$1:$A$14)</f>
        <v>007</v>
      </c>
      <c r="M693" t="str">
        <f>_xlfn.XLOOKUP($D693,城市信息!$B$1:$B$14,城市信息!$C$1:$C$14)</f>
        <v>范俊发</v>
      </c>
      <c r="N693" t="str">
        <f>_xlfn.XLOOKUP($D693,城市信息!$B$1:$B$14,城市信息!$D$1:$D$14)</f>
        <v>一线</v>
      </c>
      <c r="O693">
        <f>_xlfn.XLOOKUP($D693,城市信息!$B$1:$B$14,城市信息!$E$1:$E$14)</f>
        <v>12358</v>
      </c>
      <c r="P693" cm="1">
        <f t="array" ref="P693:U693">_xlfn.XLOOKUP(A693&amp;B693,'[1]2.4自动化报表-8月获客数据-非乱码'!$A:$A&amp;'[1]2.4自动化报表-8月获客数据-非乱码'!$B:$B,'[1]2.4自动化报表-8月获客数据-非乱码'!$C:$H)</f>
        <v>2088</v>
      </c>
      <c r="Q693">
        <v>2054</v>
      </c>
      <c r="R693">
        <v>2003</v>
      </c>
      <c r="S693">
        <v>1214</v>
      </c>
      <c r="T693">
        <v>676</v>
      </c>
      <c r="U693">
        <v>688</v>
      </c>
    </row>
    <row r="694" spans="1:21" x14ac:dyDescent="0.3">
      <c r="A694" s="1">
        <v>44068</v>
      </c>
      <c r="B694" t="s">
        <v>5</v>
      </c>
      <c r="C694" t="s">
        <v>125</v>
      </c>
      <c r="D694" t="s">
        <v>62</v>
      </c>
      <c r="E694" t="s">
        <v>129</v>
      </c>
      <c r="F694" s="2">
        <v>48765</v>
      </c>
      <c r="G694" s="2">
        <v>3583</v>
      </c>
      <c r="H694">
        <v>0</v>
      </c>
      <c r="I694" t="str">
        <f>_xlfn.XLOOKUP($C694,战区信息!$A$1:$A$5,战区信息!$B$1:$B$5)</f>
        <v>004</v>
      </c>
      <c r="J694" t="str">
        <f>_xlfn.XLOOKUP($C694,战区信息!$A$1:$A$5,战区信息!$C$1:$C$5)</f>
        <v>沈乐欣</v>
      </c>
      <c r="K694" t="str">
        <f>_xlfn.XLOOKUP($C694,战区信息!$A$1:$A$5,战区信息!$D$1:$D$5)</f>
        <v>三级战区</v>
      </c>
      <c r="L694" t="str">
        <f>_xlfn.XLOOKUP($D694,城市信息!$B$1:$B$14,城市信息!$A$1:$A$14)</f>
        <v>007</v>
      </c>
      <c r="M694" t="str">
        <f>_xlfn.XLOOKUP($D694,城市信息!$B$1:$B$14,城市信息!$C$1:$C$14)</f>
        <v>范俊发</v>
      </c>
      <c r="N694" t="str">
        <f>_xlfn.XLOOKUP($D694,城市信息!$B$1:$B$14,城市信息!$D$1:$D$14)</f>
        <v>一线</v>
      </c>
      <c r="O694">
        <f>_xlfn.XLOOKUP($D694,城市信息!$B$1:$B$14,城市信息!$E$1:$E$14)</f>
        <v>12358</v>
      </c>
      <c r="P694" cm="1">
        <f t="array" ref="P694:U694">_xlfn.XLOOKUP(A694&amp;B694,'[1]2.4自动化报表-8月获客数据-非乱码'!$A:$A&amp;'[1]2.4自动化报表-8月获客数据-非乱码'!$B:$B,'[1]2.4自动化报表-8月获客数据-非乱码'!$C:$H)</f>
        <v>2085</v>
      </c>
      <c r="Q694">
        <v>2041</v>
      </c>
      <c r="R694">
        <v>1955</v>
      </c>
      <c r="S694">
        <v>1240</v>
      </c>
      <c r="T694">
        <v>631</v>
      </c>
      <c r="U694">
        <v>689</v>
      </c>
    </row>
    <row r="695" spans="1:21" x14ac:dyDescent="0.3">
      <c r="A695" s="1">
        <v>44069</v>
      </c>
      <c r="B695" t="s">
        <v>32</v>
      </c>
      <c r="C695" t="s">
        <v>97</v>
      </c>
      <c r="D695" t="s">
        <v>67</v>
      </c>
      <c r="E695" t="s">
        <v>98</v>
      </c>
      <c r="F695" s="2">
        <v>69144</v>
      </c>
      <c r="G695" s="2">
        <v>3743</v>
      </c>
      <c r="H695">
        <v>0</v>
      </c>
      <c r="I695" t="str">
        <f>_xlfn.XLOOKUP($C695,战区信息!$A$1:$A$5,战区信息!$B$1:$B$5)</f>
        <v>003</v>
      </c>
      <c r="J695" t="str">
        <f>_xlfn.XLOOKUP($C695,战区信息!$A$1:$A$5,战区信息!$C$1:$C$5)</f>
        <v>田楠</v>
      </c>
      <c r="K695" t="str">
        <f>_xlfn.XLOOKUP($C695,战区信息!$A$1:$A$5,战区信息!$D$1:$D$5)</f>
        <v>二级战区</v>
      </c>
      <c r="L695" t="str">
        <f>_xlfn.XLOOKUP($D695,城市信息!$B$1:$B$14,城市信息!$A$1:$A$14)</f>
        <v>012</v>
      </c>
      <c r="M695" t="str">
        <f>_xlfn.XLOOKUP($D695,城市信息!$B$1:$B$14,城市信息!$C$1:$C$14)</f>
        <v>于子默</v>
      </c>
      <c r="N695" t="str">
        <f>_xlfn.XLOOKUP($D695,城市信息!$B$1:$B$14,城市信息!$D$1:$D$14)</f>
        <v>二线</v>
      </c>
      <c r="O695">
        <f>_xlfn.XLOOKUP($D695,城市信息!$B$1:$B$14,城市信息!$E$1:$E$14)</f>
        <v>9713</v>
      </c>
      <c r="P695" cm="1">
        <f t="array" ref="P695:U695">_xlfn.XLOOKUP(A695&amp;B695,'[1]2.4自动化报表-8月获客数据-非乱码'!$A:$A&amp;'[1]2.4自动化报表-8月获客数据-非乱码'!$B:$B,'[1]2.4自动化报表-8月获客数据-非乱码'!$C:$H)</f>
        <v>2583</v>
      </c>
      <c r="Q695">
        <v>2540</v>
      </c>
      <c r="R695">
        <v>2470</v>
      </c>
      <c r="S695">
        <v>1542</v>
      </c>
      <c r="T695">
        <v>855</v>
      </c>
      <c r="U695">
        <v>690</v>
      </c>
    </row>
    <row r="696" spans="1:21" x14ac:dyDescent="0.3">
      <c r="A696" s="1">
        <v>44069</v>
      </c>
      <c r="B696" t="s">
        <v>31</v>
      </c>
      <c r="C696" t="s">
        <v>97</v>
      </c>
      <c r="D696" t="s">
        <v>65</v>
      </c>
      <c r="E696" t="s">
        <v>99</v>
      </c>
      <c r="F696" s="2">
        <v>113881</v>
      </c>
      <c r="G696" s="2">
        <v>5562</v>
      </c>
      <c r="H696" s="2">
        <v>7000</v>
      </c>
      <c r="I696" t="str">
        <f>_xlfn.XLOOKUP($C696,战区信息!$A$1:$A$5,战区信息!$B$1:$B$5)</f>
        <v>003</v>
      </c>
      <c r="J696" t="str">
        <f>_xlfn.XLOOKUP($C696,战区信息!$A$1:$A$5,战区信息!$C$1:$C$5)</f>
        <v>田楠</v>
      </c>
      <c r="K696" t="str">
        <f>_xlfn.XLOOKUP($C696,战区信息!$A$1:$A$5,战区信息!$D$1:$D$5)</f>
        <v>二级战区</v>
      </c>
      <c r="L696" t="str">
        <f>_xlfn.XLOOKUP($D696,城市信息!$B$1:$B$14,城市信息!$A$1:$A$14)</f>
        <v>010</v>
      </c>
      <c r="M696" t="str">
        <f>_xlfn.XLOOKUP($D696,城市信息!$B$1:$B$14,城市信息!$C$1:$C$14)</f>
        <v>黄鹏天</v>
      </c>
      <c r="N696" t="str">
        <f>_xlfn.XLOOKUP($D696,城市信息!$B$1:$B$14,城市信息!$D$1:$D$14)</f>
        <v>二线</v>
      </c>
      <c r="O696">
        <f>_xlfn.XLOOKUP($D696,城市信息!$B$1:$B$14,城市信息!$E$1:$E$14)</f>
        <v>8295</v>
      </c>
      <c r="P696" cm="1">
        <f t="array" ref="P696:U696">_xlfn.XLOOKUP(A696&amp;B696,'[1]2.4自动化报表-8月获客数据-非乱码'!$A:$A&amp;'[1]2.4自动化报表-8月获客数据-非乱码'!$B:$B,'[1]2.4自动化报表-8月获客数据-非乱码'!$C:$H)</f>
        <v>3059</v>
      </c>
      <c r="Q696">
        <v>3002</v>
      </c>
      <c r="R696">
        <v>2915</v>
      </c>
      <c r="S696">
        <v>1732</v>
      </c>
      <c r="T696">
        <v>1005</v>
      </c>
      <c r="U696">
        <v>691</v>
      </c>
    </row>
    <row r="697" spans="1:21" x14ac:dyDescent="0.3">
      <c r="A697" s="1">
        <v>44069</v>
      </c>
      <c r="B697" t="s">
        <v>30</v>
      </c>
      <c r="C697" t="s">
        <v>97</v>
      </c>
      <c r="D697" t="s">
        <v>61</v>
      </c>
      <c r="E697" t="s">
        <v>100</v>
      </c>
      <c r="F697" s="2">
        <v>144205</v>
      </c>
      <c r="G697" s="2">
        <v>6266</v>
      </c>
      <c r="H697">
        <v>0</v>
      </c>
      <c r="I697" t="str">
        <f>_xlfn.XLOOKUP($C697,战区信息!$A$1:$A$5,战区信息!$B$1:$B$5)</f>
        <v>003</v>
      </c>
      <c r="J697" t="str">
        <f>_xlfn.XLOOKUP($C697,战区信息!$A$1:$A$5,战区信息!$C$1:$C$5)</f>
        <v>田楠</v>
      </c>
      <c r="K697" t="str">
        <f>_xlfn.XLOOKUP($C697,战区信息!$A$1:$A$5,战区信息!$D$1:$D$5)</f>
        <v>二级战区</v>
      </c>
      <c r="L697" t="str">
        <f>_xlfn.XLOOKUP($D697,城市信息!$B$1:$B$14,城市信息!$A$1:$A$14)</f>
        <v>006</v>
      </c>
      <c r="M697" t="str">
        <f>_xlfn.XLOOKUP($D697,城市信息!$B$1:$B$14,城市信息!$C$1:$C$14)</f>
        <v>王刚</v>
      </c>
      <c r="N697" t="str">
        <f>_xlfn.XLOOKUP($D697,城市信息!$B$1:$B$14,城市信息!$D$1:$D$14)</f>
        <v>二线</v>
      </c>
      <c r="O697">
        <f>_xlfn.XLOOKUP($D697,城市信息!$B$1:$B$14,城市信息!$E$1:$E$14)</f>
        <v>9107</v>
      </c>
      <c r="P697" cm="1">
        <f t="array" ref="P697:U697">_xlfn.XLOOKUP(A697&amp;B697,'[1]2.4自动化报表-8月获客数据-非乱码'!$A:$A&amp;'[1]2.4自动化报表-8月获客数据-非乱码'!$B:$B,'[1]2.4自动化报表-8月获客数据-非乱码'!$C:$H)</f>
        <v>3167</v>
      </c>
      <c r="Q697">
        <v>3087</v>
      </c>
      <c r="R697">
        <v>2962</v>
      </c>
      <c r="S697">
        <v>1932</v>
      </c>
      <c r="T697">
        <v>953</v>
      </c>
      <c r="U697">
        <v>701</v>
      </c>
    </row>
    <row r="698" spans="1:21" x14ac:dyDescent="0.3">
      <c r="A698" s="1">
        <v>44069</v>
      </c>
      <c r="B698" t="s">
        <v>29</v>
      </c>
      <c r="C698" t="s">
        <v>97</v>
      </c>
      <c r="D698" t="s">
        <v>64</v>
      </c>
      <c r="E698" t="s">
        <v>101</v>
      </c>
      <c r="F698" s="2">
        <v>131528</v>
      </c>
      <c r="G698" s="2">
        <v>6706</v>
      </c>
      <c r="H698">
        <v>0</v>
      </c>
      <c r="I698" t="str">
        <f>_xlfn.XLOOKUP($C698,战区信息!$A$1:$A$5,战区信息!$B$1:$B$5)</f>
        <v>003</v>
      </c>
      <c r="J698" t="str">
        <f>_xlfn.XLOOKUP($C698,战区信息!$A$1:$A$5,战区信息!$C$1:$C$5)</f>
        <v>田楠</v>
      </c>
      <c r="K698" t="str">
        <f>_xlfn.XLOOKUP($C698,战区信息!$A$1:$A$5,战区信息!$D$1:$D$5)</f>
        <v>二级战区</v>
      </c>
      <c r="L698" t="str">
        <f>_xlfn.XLOOKUP($D698,城市信息!$B$1:$B$14,城市信息!$A$1:$A$14)</f>
        <v>009</v>
      </c>
      <c r="M698" t="str">
        <f>_xlfn.XLOOKUP($D698,城市信息!$B$1:$B$14,城市信息!$C$1:$C$14)</f>
        <v>叶超</v>
      </c>
      <c r="N698" t="str">
        <f>_xlfn.XLOOKUP($D698,城市信息!$B$1:$B$14,城市信息!$D$1:$D$14)</f>
        <v>二线</v>
      </c>
      <c r="O698">
        <f>_xlfn.XLOOKUP($D698,城市信息!$B$1:$B$14,城市信息!$E$1:$E$14)</f>
        <v>9016</v>
      </c>
      <c r="P698" cm="1">
        <f t="array" ref="P698:U698">_xlfn.XLOOKUP(A698&amp;B698,'[1]2.4自动化报表-8月获客数据-非乱码'!$A:$A&amp;'[1]2.4自动化报表-8月获客数据-非乱码'!$B:$B,'[1]2.4自动化报表-8月获客数据-非乱码'!$C:$H)</f>
        <v>2845</v>
      </c>
      <c r="Q698">
        <v>2773</v>
      </c>
      <c r="R698">
        <v>2675</v>
      </c>
      <c r="S698">
        <v>1720</v>
      </c>
      <c r="T698">
        <v>949</v>
      </c>
      <c r="U698">
        <v>691</v>
      </c>
    </row>
    <row r="699" spans="1:21" x14ac:dyDescent="0.3">
      <c r="A699" s="1">
        <v>44069</v>
      </c>
      <c r="B699" t="s">
        <v>28</v>
      </c>
      <c r="C699" t="s">
        <v>97</v>
      </c>
      <c r="D699" t="s">
        <v>64</v>
      </c>
      <c r="E699" t="s">
        <v>102</v>
      </c>
      <c r="F699" s="2">
        <v>53002</v>
      </c>
      <c r="G699" s="2">
        <v>2499</v>
      </c>
      <c r="H699">
        <v>0</v>
      </c>
      <c r="I699" t="str">
        <f>_xlfn.XLOOKUP($C699,战区信息!$A$1:$A$5,战区信息!$B$1:$B$5)</f>
        <v>003</v>
      </c>
      <c r="J699" t="str">
        <f>_xlfn.XLOOKUP($C699,战区信息!$A$1:$A$5,战区信息!$C$1:$C$5)</f>
        <v>田楠</v>
      </c>
      <c r="K699" t="str">
        <f>_xlfn.XLOOKUP($C699,战区信息!$A$1:$A$5,战区信息!$D$1:$D$5)</f>
        <v>二级战区</v>
      </c>
      <c r="L699" t="str">
        <f>_xlfn.XLOOKUP($D699,城市信息!$B$1:$B$14,城市信息!$A$1:$A$14)</f>
        <v>009</v>
      </c>
      <c r="M699" t="str">
        <f>_xlfn.XLOOKUP($D699,城市信息!$B$1:$B$14,城市信息!$C$1:$C$14)</f>
        <v>叶超</v>
      </c>
      <c r="N699" t="str">
        <f>_xlfn.XLOOKUP($D699,城市信息!$B$1:$B$14,城市信息!$D$1:$D$14)</f>
        <v>二线</v>
      </c>
      <c r="O699">
        <f>_xlfn.XLOOKUP($D699,城市信息!$B$1:$B$14,城市信息!$E$1:$E$14)</f>
        <v>9016</v>
      </c>
      <c r="P699" cm="1">
        <f t="array" ref="P699:U699">_xlfn.XLOOKUP(A699&amp;B699,'[1]2.4自动化报表-8月获客数据-非乱码'!$A:$A&amp;'[1]2.4自动化报表-8月获客数据-非乱码'!$B:$B,'[1]2.4自动化报表-8月获客数据-非乱码'!$C:$H)</f>
        <v>672</v>
      </c>
      <c r="Q699">
        <v>662</v>
      </c>
      <c r="R699">
        <v>643</v>
      </c>
      <c r="S699">
        <v>443</v>
      </c>
      <c r="T699">
        <v>209</v>
      </c>
      <c r="U699">
        <v>692</v>
      </c>
    </row>
    <row r="700" spans="1:21" x14ac:dyDescent="0.3">
      <c r="A700" s="1">
        <v>44069</v>
      </c>
      <c r="B700" t="s">
        <v>27</v>
      </c>
      <c r="C700" t="s">
        <v>103</v>
      </c>
      <c r="D700" t="s">
        <v>63</v>
      </c>
      <c r="E700" t="s">
        <v>104</v>
      </c>
      <c r="F700" s="2">
        <v>251009</v>
      </c>
      <c r="G700" s="2">
        <v>13131</v>
      </c>
      <c r="H700" s="2">
        <v>8338</v>
      </c>
      <c r="I700" t="str">
        <f>_xlfn.XLOOKUP($C700,战区信息!$A$1:$A$5,战区信息!$B$1:$B$5)</f>
        <v>002</v>
      </c>
      <c r="J700" t="str">
        <f>_xlfn.XLOOKUP($C700,战区信息!$A$1:$A$5,战区信息!$C$1:$C$5)</f>
        <v>高安平</v>
      </c>
      <c r="K700" t="str">
        <f>_xlfn.XLOOKUP($C700,战区信息!$A$1:$A$5,战区信息!$D$1:$D$5)</f>
        <v>二级战区</v>
      </c>
      <c r="L700" t="str">
        <f>_xlfn.XLOOKUP($D700,城市信息!$B$1:$B$14,城市信息!$A$1:$A$14)</f>
        <v>008</v>
      </c>
      <c r="M700" t="str">
        <f>_xlfn.XLOOKUP($D700,城市信息!$B$1:$B$14,城市信息!$C$1:$C$14)</f>
        <v>高弘壮</v>
      </c>
      <c r="N700" t="str">
        <f>_xlfn.XLOOKUP($D700,城市信息!$B$1:$B$14,城市信息!$D$1:$D$14)</f>
        <v>一线</v>
      </c>
      <c r="O700">
        <f>_xlfn.XLOOKUP($D700,城市信息!$B$1:$B$14,城市信息!$E$1:$E$14)</f>
        <v>11498</v>
      </c>
      <c r="P700" cm="1">
        <f t="array" ref="P700:U700">_xlfn.XLOOKUP(A700&amp;B700,'[1]2.4自动化报表-8月获客数据-非乱码'!$A:$A&amp;'[1]2.4自动化报表-8月获客数据-非乱码'!$B:$B,'[1]2.4自动化报表-8月获客数据-非乱码'!$C:$H)</f>
        <v>3823</v>
      </c>
      <c r="Q700">
        <v>3708</v>
      </c>
      <c r="R700">
        <v>3535</v>
      </c>
      <c r="S700">
        <v>2103</v>
      </c>
      <c r="T700">
        <v>1122</v>
      </c>
      <c r="U700">
        <v>689</v>
      </c>
    </row>
    <row r="701" spans="1:21" x14ac:dyDescent="0.3">
      <c r="A701" s="1">
        <v>44069</v>
      </c>
      <c r="B701" t="s">
        <v>26</v>
      </c>
      <c r="C701" t="s">
        <v>103</v>
      </c>
      <c r="D701" t="s">
        <v>57</v>
      </c>
      <c r="E701" t="s">
        <v>105</v>
      </c>
      <c r="F701" s="2">
        <v>320420</v>
      </c>
      <c r="G701" s="2">
        <v>15784</v>
      </c>
      <c r="H701" s="2">
        <v>12086</v>
      </c>
      <c r="I701" t="str">
        <f>_xlfn.XLOOKUP($C701,战区信息!$A$1:$A$5,战区信息!$B$1:$B$5)</f>
        <v>002</v>
      </c>
      <c r="J701" t="str">
        <f>_xlfn.XLOOKUP($C701,战区信息!$A$1:$A$5,战区信息!$C$1:$C$5)</f>
        <v>高安平</v>
      </c>
      <c r="K701" t="str">
        <f>_xlfn.XLOOKUP($C701,战区信息!$A$1:$A$5,战区信息!$D$1:$D$5)</f>
        <v>二级战区</v>
      </c>
      <c r="L701" t="str">
        <f>_xlfn.XLOOKUP($D701,城市信息!$B$1:$B$14,城市信息!$A$1:$A$14)</f>
        <v>002</v>
      </c>
      <c r="M701" t="str">
        <f>_xlfn.XLOOKUP($D701,城市信息!$B$1:$B$14,城市信息!$C$1:$C$14)</f>
        <v>孙乒</v>
      </c>
      <c r="N701" t="str">
        <f>_xlfn.XLOOKUP($D701,城市信息!$B$1:$B$14,城市信息!$D$1:$D$14)</f>
        <v>一线</v>
      </c>
      <c r="O701">
        <f>_xlfn.XLOOKUP($D701,城市信息!$B$1:$B$14,城市信息!$E$1:$E$14)</f>
        <v>9854</v>
      </c>
      <c r="P701" cm="1">
        <f t="array" ref="P701:U701">_xlfn.XLOOKUP(A701&amp;B701,'[1]2.4自动化报表-8月获客数据-非乱码'!$A:$A&amp;'[1]2.4自动化报表-8月获客数据-非乱码'!$B:$B,'[1]2.4自动化报表-8月获客数据-非乱码'!$C:$H)</f>
        <v>7503</v>
      </c>
      <c r="Q701">
        <v>7322</v>
      </c>
      <c r="R701">
        <v>7026</v>
      </c>
      <c r="S701">
        <v>4356</v>
      </c>
      <c r="T701">
        <v>2396</v>
      </c>
      <c r="U701">
        <v>688</v>
      </c>
    </row>
    <row r="702" spans="1:21" x14ac:dyDescent="0.3">
      <c r="A702" s="1">
        <v>44069</v>
      </c>
      <c r="B702" t="s">
        <v>25</v>
      </c>
      <c r="C702" t="s">
        <v>103</v>
      </c>
      <c r="D702" t="s">
        <v>57</v>
      </c>
      <c r="E702" t="s">
        <v>106</v>
      </c>
      <c r="F702" s="2">
        <v>129536</v>
      </c>
      <c r="G702" s="2">
        <v>6254</v>
      </c>
      <c r="H702">
        <v>947</v>
      </c>
      <c r="I702" t="str">
        <f>_xlfn.XLOOKUP($C702,战区信息!$A$1:$A$5,战区信息!$B$1:$B$5)</f>
        <v>002</v>
      </c>
      <c r="J702" t="str">
        <f>_xlfn.XLOOKUP($C702,战区信息!$A$1:$A$5,战区信息!$C$1:$C$5)</f>
        <v>高安平</v>
      </c>
      <c r="K702" t="str">
        <f>_xlfn.XLOOKUP($C702,战区信息!$A$1:$A$5,战区信息!$D$1:$D$5)</f>
        <v>二级战区</v>
      </c>
      <c r="L702" t="str">
        <f>_xlfn.XLOOKUP($D702,城市信息!$B$1:$B$14,城市信息!$A$1:$A$14)</f>
        <v>002</v>
      </c>
      <c r="M702" t="str">
        <f>_xlfn.XLOOKUP($D702,城市信息!$B$1:$B$14,城市信息!$C$1:$C$14)</f>
        <v>孙乒</v>
      </c>
      <c r="N702" t="str">
        <f>_xlfn.XLOOKUP($D702,城市信息!$B$1:$B$14,城市信息!$D$1:$D$14)</f>
        <v>一线</v>
      </c>
      <c r="O702">
        <f>_xlfn.XLOOKUP($D702,城市信息!$B$1:$B$14,城市信息!$E$1:$E$14)</f>
        <v>9854</v>
      </c>
      <c r="P702" cm="1">
        <f t="array" ref="P702:U702">_xlfn.XLOOKUP(A702&amp;B702,'[1]2.4自动化报表-8月获客数据-非乱码'!$A:$A&amp;'[1]2.4自动化报表-8月获客数据-非乱码'!$B:$B,'[1]2.4自动化报表-8月获客数据-非乱码'!$C:$H)</f>
        <v>3843</v>
      </c>
      <c r="Q702">
        <v>3731</v>
      </c>
      <c r="R702">
        <v>3538</v>
      </c>
      <c r="S702">
        <v>2120</v>
      </c>
      <c r="T702">
        <v>1235</v>
      </c>
      <c r="U702">
        <v>689</v>
      </c>
    </row>
    <row r="703" spans="1:21" x14ac:dyDescent="0.3">
      <c r="A703" s="1">
        <v>44069</v>
      </c>
      <c r="B703" t="s">
        <v>24</v>
      </c>
      <c r="C703" t="s">
        <v>103</v>
      </c>
      <c r="D703" t="s">
        <v>57</v>
      </c>
      <c r="E703" t="s">
        <v>107</v>
      </c>
      <c r="F703" s="2">
        <v>233363</v>
      </c>
      <c r="G703" s="2">
        <v>11595</v>
      </c>
      <c r="H703">
        <v>0</v>
      </c>
      <c r="I703" t="str">
        <f>_xlfn.XLOOKUP($C703,战区信息!$A$1:$A$5,战区信息!$B$1:$B$5)</f>
        <v>002</v>
      </c>
      <c r="J703" t="str">
        <f>_xlfn.XLOOKUP($C703,战区信息!$A$1:$A$5,战区信息!$C$1:$C$5)</f>
        <v>高安平</v>
      </c>
      <c r="K703" t="str">
        <f>_xlfn.XLOOKUP($C703,战区信息!$A$1:$A$5,战区信息!$D$1:$D$5)</f>
        <v>二级战区</v>
      </c>
      <c r="L703" t="str">
        <f>_xlfn.XLOOKUP($D703,城市信息!$B$1:$B$14,城市信息!$A$1:$A$14)</f>
        <v>002</v>
      </c>
      <c r="M703" t="str">
        <f>_xlfn.XLOOKUP($D703,城市信息!$B$1:$B$14,城市信息!$C$1:$C$14)</f>
        <v>孙乒</v>
      </c>
      <c r="N703" t="str">
        <f>_xlfn.XLOOKUP($D703,城市信息!$B$1:$B$14,城市信息!$D$1:$D$14)</f>
        <v>一线</v>
      </c>
      <c r="O703">
        <f>_xlfn.XLOOKUP($D703,城市信息!$B$1:$B$14,城市信息!$E$1:$E$14)</f>
        <v>9854</v>
      </c>
      <c r="P703" cm="1">
        <f t="array" ref="P703:U703">_xlfn.XLOOKUP(A703&amp;B703,'[1]2.4自动化报表-8月获客数据-非乱码'!$A:$A&amp;'[1]2.4自动化报表-8月获客数据-非乱码'!$B:$B,'[1]2.4自动化报表-8月获客数据-非乱码'!$C:$H)</f>
        <v>4484</v>
      </c>
      <c r="Q703">
        <v>4394</v>
      </c>
      <c r="R703">
        <v>4200</v>
      </c>
      <c r="S703">
        <v>2583</v>
      </c>
      <c r="T703">
        <v>1493</v>
      </c>
      <c r="U703">
        <v>691</v>
      </c>
    </row>
    <row r="704" spans="1:21" x14ac:dyDescent="0.3">
      <c r="A704" s="1">
        <v>44069</v>
      </c>
      <c r="B704" t="s">
        <v>23</v>
      </c>
      <c r="C704" t="s">
        <v>108</v>
      </c>
      <c r="D704" t="s">
        <v>109</v>
      </c>
      <c r="E704" t="s">
        <v>110</v>
      </c>
      <c r="F704" s="2">
        <v>227587</v>
      </c>
      <c r="G704" s="2">
        <v>11446</v>
      </c>
      <c r="H704">
        <v>0</v>
      </c>
      <c r="I704" t="str">
        <f>_xlfn.XLOOKUP($C704,战区信息!$A$1:$A$5,战区信息!$B$1:$B$5)</f>
        <v>001</v>
      </c>
      <c r="J704" t="str">
        <f>_xlfn.XLOOKUP($C704,战区信息!$A$1:$A$5,战区信息!$C$1:$C$5)</f>
        <v>江永</v>
      </c>
      <c r="K704" t="str">
        <f>_xlfn.XLOOKUP($C704,战区信息!$A$1:$A$5,战区信息!$D$1:$D$5)</f>
        <v>一级战区</v>
      </c>
      <c r="L704" t="str">
        <f>_xlfn.XLOOKUP($D704,城市信息!$B$1:$B$14,城市信息!$A$1:$A$14)</f>
        <v>013</v>
      </c>
      <c r="M704" t="str">
        <f>_xlfn.XLOOKUP($D704,城市信息!$B$1:$B$14,城市信息!$C$1:$C$14)</f>
        <v>张建</v>
      </c>
      <c r="N704" t="str">
        <f>_xlfn.XLOOKUP($D704,城市信息!$B$1:$B$14,城市信息!$D$1:$D$14)</f>
        <v>二线</v>
      </c>
      <c r="O704">
        <f>_xlfn.XLOOKUP($D704,城市信息!$B$1:$B$14,城市信息!$E$1:$E$14)</f>
        <v>8800</v>
      </c>
      <c r="P704" cm="1">
        <f t="array" ref="P704:U704">_xlfn.XLOOKUP(A704&amp;B704,'[1]2.4自动化报表-8月获客数据-非乱码'!$A:$A&amp;'[1]2.4自动化报表-8月获客数据-非乱码'!$B:$B,'[1]2.4自动化报表-8月获客数据-非乱码'!$C:$H)</f>
        <v>6708</v>
      </c>
      <c r="Q704">
        <v>6464</v>
      </c>
      <c r="R704">
        <v>6152</v>
      </c>
      <c r="S704">
        <v>3722</v>
      </c>
      <c r="T704">
        <v>1915</v>
      </c>
      <c r="U704">
        <v>695</v>
      </c>
    </row>
    <row r="705" spans="1:21" x14ac:dyDescent="0.3">
      <c r="A705" s="1">
        <v>44069</v>
      </c>
      <c r="B705" t="s">
        <v>22</v>
      </c>
      <c r="C705" t="s">
        <v>108</v>
      </c>
      <c r="D705" t="s">
        <v>109</v>
      </c>
      <c r="E705" t="s">
        <v>111</v>
      </c>
      <c r="F705" s="2">
        <v>41001</v>
      </c>
      <c r="G705" s="2">
        <v>2511</v>
      </c>
      <c r="H705">
        <v>0</v>
      </c>
      <c r="I705" t="str">
        <f>_xlfn.XLOOKUP($C705,战区信息!$A$1:$A$5,战区信息!$B$1:$B$5)</f>
        <v>001</v>
      </c>
      <c r="J705" t="str">
        <f>_xlfn.XLOOKUP($C705,战区信息!$A$1:$A$5,战区信息!$C$1:$C$5)</f>
        <v>江永</v>
      </c>
      <c r="K705" t="str">
        <f>_xlfn.XLOOKUP($C705,战区信息!$A$1:$A$5,战区信息!$D$1:$D$5)</f>
        <v>一级战区</v>
      </c>
      <c r="L705" t="str">
        <f>_xlfn.XLOOKUP($D705,城市信息!$B$1:$B$14,城市信息!$A$1:$A$14)</f>
        <v>013</v>
      </c>
      <c r="M705" t="str">
        <f>_xlfn.XLOOKUP($D705,城市信息!$B$1:$B$14,城市信息!$C$1:$C$14)</f>
        <v>张建</v>
      </c>
      <c r="N705" t="str">
        <f>_xlfn.XLOOKUP($D705,城市信息!$B$1:$B$14,城市信息!$D$1:$D$14)</f>
        <v>二线</v>
      </c>
      <c r="O705">
        <f>_xlfn.XLOOKUP($D705,城市信息!$B$1:$B$14,城市信息!$E$1:$E$14)</f>
        <v>8800</v>
      </c>
      <c r="P705" cm="1">
        <f t="array" ref="P705:U705">_xlfn.XLOOKUP(A705&amp;B705,'[1]2.4自动化报表-8月获客数据-非乱码'!$A:$A&amp;'[1]2.4自动化报表-8月获客数据-非乱码'!$B:$B,'[1]2.4自动化报表-8月获客数据-非乱码'!$C:$H)</f>
        <v>89</v>
      </c>
      <c r="Q705">
        <v>85</v>
      </c>
      <c r="R705">
        <v>80</v>
      </c>
      <c r="S705">
        <v>29</v>
      </c>
      <c r="T705">
        <v>20</v>
      </c>
      <c r="U705">
        <v>696</v>
      </c>
    </row>
    <row r="706" spans="1:21" x14ac:dyDescent="0.3">
      <c r="A706" s="1">
        <v>44069</v>
      </c>
      <c r="B706" t="s">
        <v>21</v>
      </c>
      <c r="C706" t="s">
        <v>108</v>
      </c>
      <c r="D706" t="s">
        <v>109</v>
      </c>
      <c r="E706" t="s">
        <v>112</v>
      </c>
      <c r="F706" s="2">
        <v>236155</v>
      </c>
      <c r="G706" s="2">
        <v>12043</v>
      </c>
      <c r="H706">
        <v>0</v>
      </c>
      <c r="I706" t="str">
        <f>_xlfn.XLOOKUP($C706,战区信息!$A$1:$A$5,战区信息!$B$1:$B$5)</f>
        <v>001</v>
      </c>
      <c r="J706" t="str">
        <f>_xlfn.XLOOKUP($C706,战区信息!$A$1:$A$5,战区信息!$C$1:$C$5)</f>
        <v>江永</v>
      </c>
      <c r="K706" t="str">
        <f>_xlfn.XLOOKUP($C706,战区信息!$A$1:$A$5,战区信息!$D$1:$D$5)</f>
        <v>一级战区</v>
      </c>
      <c r="L706" t="str">
        <f>_xlfn.XLOOKUP($D706,城市信息!$B$1:$B$14,城市信息!$A$1:$A$14)</f>
        <v>013</v>
      </c>
      <c r="M706" t="str">
        <f>_xlfn.XLOOKUP($D706,城市信息!$B$1:$B$14,城市信息!$C$1:$C$14)</f>
        <v>张建</v>
      </c>
      <c r="N706" t="str">
        <f>_xlfn.XLOOKUP($D706,城市信息!$B$1:$B$14,城市信息!$D$1:$D$14)</f>
        <v>二线</v>
      </c>
      <c r="O706">
        <f>_xlfn.XLOOKUP($D706,城市信息!$B$1:$B$14,城市信息!$E$1:$E$14)</f>
        <v>8800</v>
      </c>
      <c r="P706" cm="1">
        <f t="array" ref="P706:U706">_xlfn.XLOOKUP(A706&amp;B706,'[1]2.4自动化报表-8月获客数据-非乱码'!$A:$A&amp;'[1]2.4自动化报表-8月获客数据-非乱码'!$B:$B,'[1]2.4自动化报表-8月获客数据-非乱码'!$C:$H)</f>
        <v>6991</v>
      </c>
      <c r="Q706">
        <v>6712</v>
      </c>
      <c r="R706">
        <v>6377</v>
      </c>
      <c r="S706">
        <v>3687</v>
      </c>
      <c r="T706">
        <v>2001</v>
      </c>
      <c r="U706">
        <v>695</v>
      </c>
    </row>
    <row r="707" spans="1:21" x14ac:dyDescent="0.3">
      <c r="A707" s="1">
        <v>44069</v>
      </c>
      <c r="B707" t="s">
        <v>20</v>
      </c>
      <c r="C707" t="s">
        <v>108</v>
      </c>
      <c r="D707" t="s">
        <v>56</v>
      </c>
      <c r="E707" t="s">
        <v>113</v>
      </c>
      <c r="F707" s="2">
        <v>235193</v>
      </c>
      <c r="G707" s="2">
        <v>11361</v>
      </c>
      <c r="H707">
        <v>477</v>
      </c>
      <c r="I707" t="str">
        <f>_xlfn.XLOOKUP($C707,战区信息!$A$1:$A$5,战区信息!$B$1:$B$5)</f>
        <v>001</v>
      </c>
      <c r="J707" t="str">
        <f>_xlfn.XLOOKUP($C707,战区信息!$A$1:$A$5,战区信息!$C$1:$C$5)</f>
        <v>江永</v>
      </c>
      <c r="K707" t="str">
        <f>_xlfn.XLOOKUP($C707,战区信息!$A$1:$A$5,战区信息!$D$1:$D$5)</f>
        <v>一级战区</v>
      </c>
      <c r="L707" t="str">
        <f>_xlfn.XLOOKUP($D707,城市信息!$B$1:$B$14,城市信息!$A$1:$A$14)</f>
        <v>001</v>
      </c>
      <c r="M707" t="str">
        <f>_xlfn.XLOOKUP($D707,城市信息!$B$1:$B$14,城市信息!$C$1:$C$14)</f>
        <v>吴刚</v>
      </c>
      <c r="N707" t="str">
        <f>_xlfn.XLOOKUP($D707,城市信息!$B$1:$B$14,城市信息!$D$1:$D$14)</f>
        <v>一线</v>
      </c>
      <c r="O707">
        <f>_xlfn.XLOOKUP($D707,城市信息!$B$1:$B$14,城市信息!$E$1:$E$14)</f>
        <v>12114</v>
      </c>
      <c r="P707" cm="1">
        <f t="array" ref="P707:U707">_xlfn.XLOOKUP(A707&amp;B707,'[1]2.4自动化报表-8月获客数据-非乱码'!$A:$A&amp;'[1]2.4自动化报表-8月获客数据-非乱码'!$B:$B,'[1]2.4自动化报表-8月获客数据-非乱码'!$C:$H)</f>
        <v>4626</v>
      </c>
      <c r="Q707">
        <v>4473</v>
      </c>
      <c r="R707">
        <v>4294</v>
      </c>
      <c r="S707">
        <v>2606</v>
      </c>
      <c r="T707">
        <v>1506</v>
      </c>
      <c r="U707">
        <v>696</v>
      </c>
    </row>
    <row r="708" spans="1:21" x14ac:dyDescent="0.3">
      <c r="A708" s="1">
        <v>44069</v>
      </c>
      <c r="B708" t="s">
        <v>19</v>
      </c>
      <c r="C708" t="s">
        <v>108</v>
      </c>
      <c r="D708" t="s">
        <v>56</v>
      </c>
      <c r="E708" t="s">
        <v>114</v>
      </c>
      <c r="F708" s="2">
        <v>184008</v>
      </c>
      <c r="G708" s="2">
        <v>9799</v>
      </c>
      <c r="H708">
        <v>0</v>
      </c>
      <c r="I708" t="str">
        <f>_xlfn.XLOOKUP($C708,战区信息!$A$1:$A$5,战区信息!$B$1:$B$5)</f>
        <v>001</v>
      </c>
      <c r="J708" t="str">
        <f>_xlfn.XLOOKUP($C708,战区信息!$A$1:$A$5,战区信息!$C$1:$C$5)</f>
        <v>江永</v>
      </c>
      <c r="K708" t="str">
        <f>_xlfn.XLOOKUP($C708,战区信息!$A$1:$A$5,战区信息!$D$1:$D$5)</f>
        <v>一级战区</v>
      </c>
      <c r="L708" t="str">
        <f>_xlfn.XLOOKUP($D708,城市信息!$B$1:$B$14,城市信息!$A$1:$A$14)</f>
        <v>001</v>
      </c>
      <c r="M708" t="str">
        <f>_xlfn.XLOOKUP($D708,城市信息!$B$1:$B$14,城市信息!$C$1:$C$14)</f>
        <v>吴刚</v>
      </c>
      <c r="N708" t="str">
        <f>_xlfn.XLOOKUP($D708,城市信息!$B$1:$B$14,城市信息!$D$1:$D$14)</f>
        <v>一线</v>
      </c>
      <c r="O708">
        <f>_xlfn.XLOOKUP($D708,城市信息!$B$1:$B$14,城市信息!$E$1:$E$14)</f>
        <v>12114</v>
      </c>
      <c r="P708" cm="1">
        <f t="array" ref="P708:U708">_xlfn.XLOOKUP(A708&amp;B708,'[1]2.4自动化报表-8月获客数据-非乱码'!$A:$A&amp;'[1]2.4自动化报表-8月获客数据-非乱码'!$B:$B,'[1]2.4自动化报表-8月获客数据-非乱码'!$C:$H)</f>
        <v>3281</v>
      </c>
      <c r="Q708">
        <v>3198</v>
      </c>
      <c r="R708">
        <v>3076</v>
      </c>
      <c r="S708">
        <v>1800</v>
      </c>
      <c r="T708">
        <v>1083</v>
      </c>
      <c r="U708">
        <v>696</v>
      </c>
    </row>
    <row r="709" spans="1:21" x14ac:dyDescent="0.3">
      <c r="A709" s="1">
        <v>44069</v>
      </c>
      <c r="B709" t="s">
        <v>18</v>
      </c>
      <c r="C709" t="s">
        <v>108</v>
      </c>
      <c r="D709" t="s">
        <v>56</v>
      </c>
      <c r="E709" t="s">
        <v>115</v>
      </c>
      <c r="F709" s="2">
        <v>252988</v>
      </c>
      <c r="G709" s="2">
        <v>14433</v>
      </c>
      <c r="H709">
        <v>0</v>
      </c>
      <c r="I709" t="str">
        <f>_xlfn.XLOOKUP($C709,战区信息!$A$1:$A$5,战区信息!$B$1:$B$5)</f>
        <v>001</v>
      </c>
      <c r="J709" t="str">
        <f>_xlfn.XLOOKUP($C709,战区信息!$A$1:$A$5,战区信息!$C$1:$C$5)</f>
        <v>江永</v>
      </c>
      <c r="K709" t="str">
        <f>_xlfn.XLOOKUP($C709,战区信息!$A$1:$A$5,战区信息!$D$1:$D$5)</f>
        <v>一级战区</v>
      </c>
      <c r="L709" t="str">
        <f>_xlfn.XLOOKUP($D709,城市信息!$B$1:$B$14,城市信息!$A$1:$A$14)</f>
        <v>001</v>
      </c>
      <c r="M709" t="str">
        <f>_xlfn.XLOOKUP($D709,城市信息!$B$1:$B$14,城市信息!$C$1:$C$14)</f>
        <v>吴刚</v>
      </c>
      <c r="N709" t="str">
        <f>_xlfn.XLOOKUP($D709,城市信息!$B$1:$B$14,城市信息!$D$1:$D$14)</f>
        <v>一线</v>
      </c>
      <c r="O709">
        <f>_xlfn.XLOOKUP($D709,城市信息!$B$1:$B$14,城市信息!$E$1:$E$14)</f>
        <v>12114</v>
      </c>
      <c r="P709" cm="1">
        <f t="array" ref="P709:U709">_xlfn.XLOOKUP(A709&amp;B709,'[1]2.4自动化报表-8月获客数据-非乱码'!$A:$A&amp;'[1]2.4自动化报表-8月获客数据-非乱码'!$B:$B,'[1]2.4自动化报表-8月获客数据-非乱码'!$C:$H)</f>
        <v>2970</v>
      </c>
      <c r="Q709">
        <v>2916</v>
      </c>
      <c r="R709">
        <v>2790</v>
      </c>
      <c r="S709">
        <v>1674</v>
      </c>
      <c r="T709">
        <v>905</v>
      </c>
      <c r="U709">
        <v>691</v>
      </c>
    </row>
    <row r="710" spans="1:21" x14ac:dyDescent="0.3">
      <c r="A710" s="1">
        <v>44069</v>
      </c>
      <c r="B710" t="s">
        <v>17</v>
      </c>
      <c r="C710" t="s">
        <v>108</v>
      </c>
      <c r="D710" t="s">
        <v>59</v>
      </c>
      <c r="E710" t="s">
        <v>116</v>
      </c>
      <c r="F710" s="2">
        <v>150766</v>
      </c>
      <c r="G710" s="2">
        <v>9291</v>
      </c>
      <c r="H710">
        <v>0</v>
      </c>
      <c r="I710" t="str">
        <f>_xlfn.XLOOKUP($C710,战区信息!$A$1:$A$5,战区信息!$B$1:$B$5)</f>
        <v>001</v>
      </c>
      <c r="J710" t="str">
        <f>_xlfn.XLOOKUP($C710,战区信息!$A$1:$A$5,战区信息!$C$1:$C$5)</f>
        <v>江永</v>
      </c>
      <c r="K710" t="str">
        <f>_xlfn.XLOOKUP($C710,战区信息!$A$1:$A$5,战区信息!$D$1:$D$5)</f>
        <v>一级战区</v>
      </c>
      <c r="L710" t="str">
        <f>_xlfn.XLOOKUP($D710,城市信息!$B$1:$B$14,城市信息!$A$1:$A$14)</f>
        <v>004</v>
      </c>
      <c r="M710" t="str">
        <f>_xlfn.XLOOKUP($D710,城市信息!$B$1:$B$14,城市信息!$C$1:$C$14)</f>
        <v>苏川</v>
      </c>
      <c r="N710" t="str">
        <f>_xlfn.XLOOKUP($D710,城市信息!$B$1:$B$14,城市信息!$D$1:$D$14)</f>
        <v>二线</v>
      </c>
      <c r="O710">
        <f>_xlfn.XLOOKUP($D710,城市信息!$B$1:$B$14,城市信息!$E$1:$E$14)</f>
        <v>9912</v>
      </c>
      <c r="P710" cm="1">
        <f t="array" ref="P710:U710">_xlfn.XLOOKUP(A710&amp;B710,'[1]2.4自动化报表-8月获客数据-非乱码'!$A:$A&amp;'[1]2.4自动化报表-8月获客数据-非乱码'!$B:$B,'[1]2.4自动化报表-8月获客数据-非乱码'!$C:$H)</f>
        <v>3157</v>
      </c>
      <c r="Q710">
        <v>3087</v>
      </c>
      <c r="R710">
        <v>2975</v>
      </c>
      <c r="S710">
        <v>1739</v>
      </c>
      <c r="T710">
        <v>971</v>
      </c>
      <c r="U710">
        <v>698</v>
      </c>
    </row>
    <row r="711" spans="1:21" x14ac:dyDescent="0.3">
      <c r="A711" s="1">
        <v>44069</v>
      </c>
      <c r="B711" t="s">
        <v>16</v>
      </c>
      <c r="C711" t="s">
        <v>108</v>
      </c>
      <c r="D711" t="s">
        <v>59</v>
      </c>
      <c r="E711" t="s">
        <v>117</v>
      </c>
      <c r="F711" s="2">
        <v>63003</v>
      </c>
      <c r="G711" s="2">
        <v>2847</v>
      </c>
      <c r="H711">
        <v>0</v>
      </c>
      <c r="I711" t="str">
        <f>_xlfn.XLOOKUP($C711,战区信息!$A$1:$A$5,战区信息!$B$1:$B$5)</f>
        <v>001</v>
      </c>
      <c r="J711" t="str">
        <f>_xlfn.XLOOKUP($C711,战区信息!$A$1:$A$5,战区信息!$C$1:$C$5)</f>
        <v>江永</v>
      </c>
      <c r="K711" t="str">
        <f>_xlfn.XLOOKUP($C711,战区信息!$A$1:$A$5,战区信息!$D$1:$D$5)</f>
        <v>一级战区</v>
      </c>
      <c r="L711" t="str">
        <f>_xlfn.XLOOKUP($D711,城市信息!$B$1:$B$14,城市信息!$A$1:$A$14)</f>
        <v>004</v>
      </c>
      <c r="M711" t="str">
        <f>_xlfn.XLOOKUP($D711,城市信息!$B$1:$B$14,城市信息!$C$1:$C$14)</f>
        <v>苏川</v>
      </c>
      <c r="N711" t="str">
        <f>_xlfn.XLOOKUP($D711,城市信息!$B$1:$B$14,城市信息!$D$1:$D$14)</f>
        <v>二线</v>
      </c>
      <c r="O711">
        <f>_xlfn.XLOOKUP($D711,城市信息!$B$1:$B$14,城市信息!$E$1:$E$14)</f>
        <v>9912</v>
      </c>
      <c r="P711" cm="1">
        <f t="array" ref="P711:U711">_xlfn.XLOOKUP(A711&amp;B711,'[1]2.4自动化报表-8月获客数据-非乱码'!$A:$A&amp;'[1]2.4自动化报表-8月获客数据-非乱码'!$B:$B,'[1]2.4自动化报表-8月获客数据-非乱码'!$C:$H)</f>
        <v>2610</v>
      </c>
      <c r="Q711">
        <v>2528</v>
      </c>
      <c r="R711">
        <v>2411</v>
      </c>
      <c r="S711">
        <v>1402</v>
      </c>
      <c r="T711">
        <v>776</v>
      </c>
      <c r="U711">
        <v>696</v>
      </c>
    </row>
    <row r="712" spans="1:21" x14ac:dyDescent="0.3">
      <c r="A712" s="1">
        <v>44069</v>
      </c>
      <c r="B712" t="s">
        <v>15</v>
      </c>
      <c r="C712" t="s">
        <v>108</v>
      </c>
      <c r="D712" t="s">
        <v>59</v>
      </c>
      <c r="E712" t="s">
        <v>118</v>
      </c>
      <c r="F712" s="2">
        <v>115003</v>
      </c>
      <c r="G712" s="2">
        <v>5831</v>
      </c>
      <c r="H712">
        <v>0</v>
      </c>
      <c r="I712" t="str">
        <f>_xlfn.XLOOKUP($C712,战区信息!$A$1:$A$5,战区信息!$B$1:$B$5)</f>
        <v>001</v>
      </c>
      <c r="J712" t="str">
        <f>_xlfn.XLOOKUP($C712,战区信息!$A$1:$A$5,战区信息!$C$1:$C$5)</f>
        <v>江永</v>
      </c>
      <c r="K712" t="str">
        <f>_xlfn.XLOOKUP($C712,战区信息!$A$1:$A$5,战区信息!$D$1:$D$5)</f>
        <v>一级战区</v>
      </c>
      <c r="L712" t="str">
        <f>_xlfn.XLOOKUP($D712,城市信息!$B$1:$B$14,城市信息!$A$1:$A$14)</f>
        <v>004</v>
      </c>
      <c r="M712" t="str">
        <f>_xlfn.XLOOKUP($D712,城市信息!$B$1:$B$14,城市信息!$C$1:$C$14)</f>
        <v>苏川</v>
      </c>
      <c r="N712" t="str">
        <f>_xlfn.XLOOKUP($D712,城市信息!$B$1:$B$14,城市信息!$D$1:$D$14)</f>
        <v>二线</v>
      </c>
      <c r="O712">
        <f>_xlfn.XLOOKUP($D712,城市信息!$B$1:$B$14,城市信息!$E$1:$E$14)</f>
        <v>9912</v>
      </c>
      <c r="P712" cm="1">
        <f t="array" ref="P712:U712">_xlfn.XLOOKUP(A712&amp;B712,'[1]2.4自动化报表-8月获客数据-非乱码'!$A:$A&amp;'[1]2.4自动化报表-8月获客数据-非乱码'!$B:$B,'[1]2.4自动化报表-8月获客数据-非乱码'!$C:$H)</f>
        <v>2869</v>
      </c>
      <c r="Q712">
        <v>2815</v>
      </c>
      <c r="R712">
        <v>2713</v>
      </c>
      <c r="S712">
        <v>1648</v>
      </c>
      <c r="T712">
        <v>829</v>
      </c>
      <c r="U712">
        <v>698</v>
      </c>
    </row>
    <row r="713" spans="1:21" x14ac:dyDescent="0.3">
      <c r="A713" s="1">
        <v>44069</v>
      </c>
      <c r="B713" t="s">
        <v>14</v>
      </c>
      <c r="C713" t="s">
        <v>108</v>
      </c>
      <c r="D713" t="s">
        <v>59</v>
      </c>
      <c r="E713" t="s">
        <v>119</v>
      </c>
      <c r="F713" s="2">
        <v>177281</v>
      </c>
      <c r="G713" s="2">
        <v>9653</v>
      </c>
      <c r="H713">
        <v>0</v>
      </c>
      <c r="I713" t="str">
        <f>_xlfn.XLOOKUP($C713,战区信息!$A$1:$A$5,战区信息!$B$1:$B$5)</f>
        <v>001</v>
      </c>
      <c r="J713" t="str">
        <f>_xlfn.XLOOKUP($C713,战区信息!$A$1:$A$5,战区信息!$C$1:$C$5)</f>
        <v>江永</v>
      </c>
      <c r="K713" t="str">
        <f>_xlfn.XLOOKUP($C713,战区信息!$A$1:$A$5,战区信息!$D$1:$D$5)</f>
        <v>一级战区</v>
      </c>
      <c r="L713" t="str">
        <f>_xlfn.XLOOKUP($D713,城市信息!$B$1:$B$14,城市信息!$A$1:$A$14)</f>
        <v>004</v>
      </c>
      <c r="M713" t="str">
        <f>_xlfn.XLOOKUP($D713,城市信息!$B$1:$B$14,城市信息!$C$1:$C$14)</f>
        <v>苏川</v>
      </c>
      <c r="N713" t="str">
        <f>_xlfn.XLOOKUP($D713,城市信息!$B$1:$B$14,城市信息!$D$1:$D$14)</f>
        <v>二线</v>
      </c>
      <c r="O713">
        <f>_xlfn.XLOOKUP($D713,城市信息!$B$1:$B$14,城市信息!$E$1:$E$14)</f>
        <v>9912</v>
      </c>
      <c r="P713" cm="1">
        <f t="array" ref="P713:U713">_xlfn.XLOOKUP(A713&amp;B713,'[1]2.4自动化报表-8月获客数据-非乱码'!$A:$A&amp;'[1]2.4自动化报表-8月获客数据-非乱码'!$B:$B,'[1]2.4自动化报表-8月获客数据-非乱码'!$C:$H)</f>
        <v>2897</v>
      </c>
      <c r="Q713">
        <v>2795</v>
      </c>
      <c r="R713">
        <v>2680</v>
      </c>
      <c r="S713">
        <v>1671</v>
      </c>
      <c r="T713">
        <v>838</v>
      </c>
      <c r="U713">
        <v>698</v>
      </c>
    </row>
    <row r="714" spans="1:21" x14ac:dyDescent="0.3">
      <c r="A714" s="1">
        <v>44069</v>
      </c>
      <c r="B714" t="s">
        <v>13</v>
      </c>
      <c r="C714" t="s">
        <v>108</v>
      </c>
      <c r="D714" t="s">
        <v>60</v>
      </c>
      <c r="E714" t="s">
        <v>120</v>
      </c>
      <c r="F714" s="2">
        <v>133342</v>
      </c>
      <c r="G714" s="2">
        <v>5861</v>
      </c>
      <c r="H714">
        <v>767</v>
      </c>
      <c r="I714" t="str">
        <f>_xlfn.XLOOKUP($C714,战区信息!$A$1:$A$5,战区信息!$B$1:$B$5)</f>
        <v>001</v>
      </c>
      <c r="J714" t="str">
        <f>_xlfn.XLOOKUP($C714,战区信息!$A$1:$A$5,战区信息!$C$1:$C$5)</f>
        <v>江永</v>
      </c>
      <c r="K714" t="str">
        <f>_xlfn.XLOOKUP($C714,战区信息!$A$1:$A$5,战区信息!$D$1:$D$5)</f>
        <v>一级战区</v>
      </c>
      <c r="L714" t="str">
        <f>_xlfn.XLOOKUP($D714,城市信息!$B$1:$B$14,城市信息!$A$1:$A$14)</f>
        <v>005</v>
      </c>
      <c r="M714" t="str">
        <f>_xlfn.XLOOKUP($D714,城市信息!$B$1:$B$14,城市信息!$C$1:$C$14)</f>
        <v>侯阳冰</v>
      </c>
      <c r="N714" t="str">
        <f>_xlfn.XLOOKUP($D714,城市信息!$B$1:$B$14,城市信息!$D$1:$D$14)</f>
        <v>二线</v>
      </c>
      <c r="O714">
        <f>_xlfn.XLOOKUP($D714,城市信息!$B$1:$B$14,城市信息!$E$1:$E$14)</f>
        <v>8694</v>
      </c>
      <c r="P714" cm="1">
        <f t="array" ref="P714:U714">_xlfn.XLOOKUP(A714&amp;B714,'[1]2.4自动化报表-8月获客数据-非乱码'!$A:$A&amp;'[1]2.4自动化报表-8月获客数据-非乱码'!$B:$B,'[1]2.4自动化报表-8月获客数据-非乱码'!$C:$H)</f>
        <v>4273</v>
      </c>
      <c r="Q714">
        <v>4165</v>
      </c>
      <c r="R714">
        <v>3968</v>
      </c>
      <c r="S714">
        <v>2460</v>
      </c>
      <c r="T714">
        <v>1225</v>
      </c>
      <c r="U714">
        <v>696</v>
      </c>
    </row>
    <row r="715" spans="1:21" x14ac:dyDescent="0.3">
      <c r="A715" s="1">
        <v>44069</v>
      </c>
      <c r="B715" t="s">
        <v>12</v>
      </c>
      <c r="C715" t="s">
        <v>108</v>
      </c>
      <c r="D715" t="s">
        <v>60</v>
      </c>
      <c r="E715" t="s">
        <v>121</v>
      </c>
      <c r="F715" s="2">
        <v>31510</v>
      </c>
      <c r="G715" s="2">
        <v>2013</v>
      </c>
      <c r="H715">
        <v>707</v>
      </c>
      <c r="I715" t="str">
        <f>_xlfn.XLOOKUP($C715,战区信息!$A$1:$A$5,战区信息!$B$1:$B$5)</f>
        <v>001</v>
      </c>
      <c r="J715" t="str">
        <f>_xlfn.XLOOKUP($C715,战区信息!$A$1:$A$5,战区信息!$C$1:$C$5)</f>
        <v>江永</v>
      </c>
      <c r="K715" t="str">
        <f>_xlfn.XLOOKUP($C715,战区信息!$A$1:$A$5,战区信息!$D$1:$D$5)</f>
        <v>一级战区</v>
      </c>
      <c r="L715" t="str">
        <f>_xlfn.XLOOKUP($D715,城市信息!$B$1:$B$14,城市信息!$A$1:$A$14)</f>
        <v>005</v>
      </c>
      <c r="M715" t="str">
        <f>_xlfn.XLOOKUP($D715,城市信息!$B$1:$B$14,城市信息!$C$1:$C$14)</f>
        <v>侯阳冰</v>
      </c>
      <c r="N715" t="str">
        <f>_xlfn.XLOOKUP($D715,城市信息!$B$1:$B$14,城市信息!$D$1:$D$14)</f>
        <v>二线</v>
      </c>
      <c r="O715">
        <f>_xlfn.XLOOKUP($D715,城市信息!$B$1:$B$14,城市信息!$E$1:$E$14)</f>
        <v>8694</v>
      </c>
      <c r="P715" cm="1">
        <f t="array" ref="P715:U715">_xlfn.XLOOKUP(A715&amp;B715,'[1]2.4自动化报表-8月获客数据-非乱码'!$A:$A&amp;'[1]2.4自动化报表-8月获客数据-非乱码'!$B:$B,'[1]2.4自动化报表-8月获客数据-非乱码'!$C:$H)</f>
        <v>998</v>
      </c>
      <c r="Q715">
        <v>981</v>
      </c>
      <c r="R715">
        <v>949</v>
      </c>
      <c r="S715">
        <v>595</v>
      </c>
      <c r="T715">
        <v>323</v>
      </c>
      <c r="U715">
        <v>695</v>
      </c>
    </row>
    <row r="716" spans="1:21" x14ac:dyDescent="0.3">
      <c r="A716" s="1">
        <v>44069</v>
      </c>
      <c r="B716" t="s">
        <v>11</v>
      </c>
      <c r="C716" t="s">
        <v>108</v>
      </c>
      <c r="D716" t="s">
        <v>58</v>
      </c>
      <c r="E716" t="s">
        <v>122</v>
      </c>
      <c r="F716" s="2">
        <v>242719</v>
      </c>
      <c r="G716" s="2">
        <v>10871</v>
      </c>
      <c r="H716" s="2">
        <v>10901</v>
      </c>
      <c r="I716" t="str">
        <f>_xlfn.XLOOKUP($C716,战区信息!$A$1:$A$5,战区信息!$B$1:$B$5)</f>
        <v>001</v>
      </c>
      <c r="J716" t="str">
        <f>_xlfn.XLOOKUP($C716,战区信息!$A$1:$A$5,战区信息!$C$1:$C$5)</f>
        <v>江永</v>
      </c>
      <c r="K716" t="str">
        <f>_xlfn.XLOOKUP($C716,战区信息!$A$1:$A$5,战区信息!$D$1:$D$5)</f>
        <v>一级战区</v>
      </c>
      <c r="L716" t="str">
        <f>_xlfn.XLOOKUP($D716,城市信息!$B$1:$B$14,城市信息!$A$1:$A$14)</f>
        <v>003</v>
      </c>
      <c r="M716" t="str">
        <f>_xlfn.XLOOKUP($D716,城市信息!$B$1:$B$14,城市信息!$C$1:$C$14)</f>
        <v>杜光亮</v>
      </c>
      <c r="N716" t="str">
        <f>_xlfn.XLOOKUP($D716,城市信息!$B$1:$B$14,城市信息!$D$1:$D$14)</f>
        <v>二线</v>
      </c>
      <c r="O716">
        <f>_xlfn.XLOOKUP($D716,城市信息!$B$1:$B$14,城市信息!$E$1:$E$14)</f>
        <v>10499</v>
      </c>
      <c r="P716" cm="1">
        <f t="array" ref="P716:U716">_xlfn.XLOOKUP(A716&amp;B716,'[1]2.4自动化报表-8月获客数据-非乱码'!$A:$A&amp;'[1]2.4自动化报表-8月获客数据-非乱码'!$B:$B,'[1]2.4自动化报表-8月获客数据-非乱码'!$C:$H)</f>
        <v>5706</v>
      </c>
      <c r="Q716">
        <v>5483</v>
      </c>
      <c r="R716">
        <v>5202</v>
      </c>
      <c r="S716">
        <v>3210</v>
      </c>
      <c r="T716">
        <v>1527</v>
      </c>
      <c r="U716">
        <v>702</v>
      </c>
    </row>
    <row r="717" spans="1:21" x14ac:dyDescent="0.3">
      <c r="A717" s="1">
        <v>44069</v>
      </c>
      <c r="B717" t="s">
        <v>10</v>
      </c>
      <c r="C717" t="s">
        <v>108</v>
      </c>
      <c r="D717" t="s">
        <v>58</v>
      </c>
      <c r="E717" t="s">
        <v>123</v>
      </c>
      <c r="F717" s="2">
        <v>50839</v>
      </c>
      <c r="G717" s="2">
        <v>2768</v>
      </c>
      <c r="H717">
        <v>0</v>
      </c>
      <c r="I717" t="str">
        <f>_xlfn.XLOOKUP($C717,战区信息!$A$1:$A$5,战区信息!$B$1:$B$5)</f>
        <v>001</v>
      </c>
      <c r="J717" t="str">
        <f>_xlfn.XLOOKUP($C717,战区信息!$A$1:$A$5,战区信息!$C$1:$C$5)</f>
        <v>江永</v>
      </c>
      <c r="K717" t="str">
        <f>_xlfn.XLOOKUP($C717,战区信息!$A$1:$A$5,战区信息!$D$1:$D$5)</f>
        <v>一级战区</v>
      </c>
      <c r="L717" t="str">
        <f>_xlfn.XLOOKUP($D717,城市信息!$B$1:$B$14,城市信息!$A$1:$A$14)</f>
        <v>003</v>
      </c>
      <c r="M717" t="str">
        <f>_xlfn.XLOOKUP($D717,城市信息!$B$1:$B$14,城市信息!$C$1:$C$14)</f>
        <v>杜光亮</v>
      </c>
      <c r="N717" t="str">
        <f>_xlfn.XLOOKUP($D717,城市信息!$B$1:$B$14,城市信息!$D$1:$D$14)</f>
        <v>二线</v>
      </c>
      <c r="O717">
        <f>_xlfn.XLOOKUP($D717,城市信息!$B$1:$B$14,城市信息!$E$1:$E$14)</f>
        <v>10499</v>
      </c>
      <c r="P717" cm="1">
        <f t="array" ref="P717:U717">_xlfn.XLOOKUP(A717&amp;B717,'[1]2.4自动化报表-8月获客数据-非乱码'!$A:$A&amp;'[1]2.4自动化报表-8月获客数据-非乱码'!$B:$B,'[1]2.4自动化报表-8月获客数据-非乱码'!$C:$H)</f>
        <v>1773</v>
      </c>
      <c r="Q717">
        <v>1738</v>
      </c>
      <c r="R717">
        <v>1690</v>
      </c>
      <c r="S717">
        <v>1017</v>
      </c>
      <c r="T717">
        <v>614</v>
      </c>
      <c r="U717">
        <v>701</v>
      </c>
    </row>
    <row r="718" spans="1:21" x14ac:dyDescent="0.3">
      <c r="A718" s="1">
        <v>44069</v>
      </c>
      <c r="B718" t="s">
        <v>9</v>
      </c>
      <c r="C718" t="s">
        <v>108</v>
      </c>
      <c r="D718" t="s">
        <v>58</v>
      </c>
      <c r="E718" t="s">
        <v>124</v>
      </c>
      <c r="F718" s="2">
        <v>303307</v>
      </c>
      <c r="G718" s="2">
        <v>14605</v>
      </c>
      <c r="H718">
        <v>0</v>
      </c>
      <c r="I718" t="str">
        <f>_xlfn.XLOOKUP($C718,战区信息!$A$1:$A$5,战区信息!$B$1:$B$5)</f>
        <v>001</v>
      </c>
      <c r="J718" t="str">
        <f>_xlfn.XLOOKUP($C718,战区信息!$A$1:$A$5,战区信息!$C$1:$C$5)</f>
        <v>江永</v>
      </c>
      <c r="K718" t="str">
        <f>_xlfn.XLOOKUP($C718,战区信息!$A$1:$A$5,战区信息!$D$1:$D$5)</f>
        <v>一级战区</v>
      </c>
      <c r="L718" t="str">
        <f>_xlfn.XLOOKUP($D718,城市信息!$B$1:$B$14,城市信息!$A$1:$A$14)</f>
        <v>003</v>
      </c>
      <c r="M718" t="str">
        <f>_xlfn.XLOOKUP($D718,城市信息!$B$1:$B$14,城市信息!$C$1:$C$14)</f>
        <v>杜光亮</v>
      </c>
      <c r="N718" t="str">
        <f>_xlfn.XLOOKUP($D718,城市信息!$B$1:$B$14,城市信息!$D$1:$D$14)</f>
        <v>二线</v>
      </c>
      <c r="O718">
        <f>_xlfn.XLOOKUP($D718,城市信息!$B$1:$B$14,城市信息!$E$1:$E$14)</f>
        <v>10499</v>
      </c>
      <c r="P718" cm="1">
        <f t="array" ref="P718:U718">_xlfn.XLOOKUP(A718&amp;B718,'[1]2.4自动化报表-8月获客数据-非乱码'!$A:$A&amp;'[1]2.4自动化报表-8月获客数据-非乱码'!$B:$B,'[1]2.4自动化报表-8月获客数据-非乱码'!$C:$H)</f>
        <v>4798</v>
      </c>
      <c r="Q718">
        <v>4684</v>
      </c>
      <c r="R718">
        <v>4543</v>
      </c>
      <c r="S718">
        <v>2545</v>
      </c>
      <c r="T718">
        <v>1483</v>
      </c>
      <c r="U718">
        <v>694</v>
      </c>
    </row>
    <row r="719" spans="1:21" x14ac:dyDescent="0.3">
      <c r="A719" s="1">
        <v>44069</v>
      </c>
      <c r="B719" t="s">
        <v>8</v>
      </c>
      <c r="C719" t="s">
        <v>125</v>
      </c>
      <c r="D719" t="s">
        <v>66</v>
      </c>
      <c r="E719" t="s">
        <v>126</v>
      </c>
      <c r="F719" s="2">
        <v>160901</v>
      </c>
      <c r="G719" s="2">
        <v>7867</v>
      </c>
      <c r="H719" s="2">
        <v>3001</v>
      </c>
      <c r="I719" t="str">
        <f>_xlfn.XLOOKUP($C719,战区信息!$A$1:$A$5,战区信息!$B$1:$B$5)</f>
        <v>004</v>
      </c>
      <c r="J719" t="str">
        <f>_xlfn.XLOOKUP($C719,战区信息!$A$1:$A$5,战区信息!$C$1:$C$5)</f>
        <v>沈乐欣</v>
      </c>
      <c r="K719" t="str">
        <f>_xlfn.XLOOKUP($C719,战区信息!$A$1:$A$5,战区信息!$D$1:$D$5)</f>
        <v>三级战区</v>
      </c>
      <c r="L719" t="str">
        <f>_xlfn.XLOOKUP($D719,城市信息!$B$1:$B$14,城市信息!$A$1:$A$14)</f>
        <v>011</v>
      </c>
      <c r="M719" t="str">
        <f>_xlfn.XLOOKUP($D719,城市信息!$B$1:$B$14,城市信息!$C$1:$C$14)</f>
        <v>冯谦</v>
      </c>
      <c r="N719" t="str">
        <f>_xlfn.XLOOKUP($D719,城市信息!$B$1:$B$14,城市信息!$D$1:$D$14)</f>
        <v>一线</v>
      </c>
      <c r="O719">
        <f>_xlfn.XLOOKUP($D719,城市信息!$B$1:$B$14,城市信息!$E$1:$E$14)</f>
        <v>8244</v>
      </c>
      <c r="P719" cm="1">
        <f t="array" ref="P719:U719">_xlfn.XLOOKUP(A719&amp;B719,'[1]2.4自动化报表-8月获客数据-非乱码'!$A:$A&amp;'[1]2.4自动化报表-8月获客数据-非乱码'!$B:$B,'[1]2.4自动化报表-8月获客数据-非乱码'!$C:$H)</f>
        <v>1686</v>
      </c>
      <c r="Q719">
        <v>1667</v>
      </c>
      <c r="R719">
        <v>1612</v>
      </c>
      <c r="S719">
        <v>903</v>
      </c>
      <c r="T719">
        <v>570</v>
      </c>
      <c r="U719">
        <v>686</v>
      </c>
    </row>
    <row r="720" spans="1:21" x14ac:dyDescent="0.3">
      <c r="A720" s="1">
        <v>44069</v>
      </c>
      <c r="B720" t="s">
        <v>7</v>
      </c>
      <c r="C720" t="s">
        <v>125</v>
      </c>
      <c r="D720" t="s">
        <v>62</v>
      </c>
      <c r="E720" t="s">
        <v>127</v>
      </c>
      <c r="F720" s="2">
        <v>1030</v>
      </c>
      <c r="G720">
        <v>59</v>
      </c>
      <c r="H720">
        <v>0</v>
      </c>
      <c r="I720" t="str">
        <f>_xlfn.XLOOKUP($C720,战区信息!$A$1:$A$5,战区信息!$B$1:$B$5)</f>
        <v>004</v>
      </c>
      <c r="J720" t="str">
        <f>_xlfn.XLOOKUP($C720,战区信息!$A$1:$A$5,战区信息!$C$1:$C$5)</f>
        <v>沈乐欣</v>
      </c>
      <c r="K720" t="str">
        <f>_xlfn.XLOOKUP($C720,战区信息!$A$1:$A$5,战区信息!$D$1:$D$5)</f>
        <v>三级战区</v>
      </c>
      <c r="L720" t="str">
        <f>_xlfn.XLOOKUP($D720,城市信息!$B$1:$B$14,城市信息!$A$1:$A$14)</f>
        <v>007</v>
      </c>
      <c r="M720" t="str">
        <f>_xlfn.XLOOKUP($D720,城市信息!$B$1:$B$14,城市信息!$C$1:$C$14)</f>
        <v>范俊发</v>
      </c>
      <c r="N720" t="str">
        <f>_xlfn.XLOOKUP($D720,城市信息!$B$1:$B$14,城市信息!$D$1:$D$14)</f>
        <v>一线</v>
      </c>
      <c r="O720">
        <f>_xlfn.XLOOKUP($D720,城市信息!$B$1:$B$14,城市信息!$E$1:$E$14)</f>
        <v>12358</v>
      </c>
      <c r="P720" cm="1">
        <f t="array" ref="P720:U720">_xlfn.XLOOKUP(A720&amp;B720,'[1]2.4自动化报表-8月获客数据-非乱码'!$A:$A&amp;'[1]2.4自动化报表-8月获客数据-非乱码'!$B:$B,'[1]2.4自动化报表-8月获客数据-非乱码'!$C:$H)</f>
        <v>14</v>
      </c>
      <c r="Q720">
        <v>14</v>
      </c>
      <c r="R720">
        <v>14</v>
      </c>
      <c r="S720">
        <v>7</v>
      </c>
      <c r="T720">
        <v>4</v>
      </c>
      <c r="U720">
        <v>667</v>
      </c>
    </row>
    <row r="721" spans="1:21" x14ac:dyDescent="0.3">
      <c r="A721" s="1">
        <v>44069</v>
      </c>
      <c r="B721" t="s">
        <v>6</v>
      </c>
      <c r="C721" t="s">
        <v>125</v>
      </c>
      <c r="D721" t="s">
        <v>62</v>
      </c>
      <c r="E721" t="s">
        <v>128</v>
      </c>
      <c r="F721" s="2">
        <v>58319</v>
      </c>
      <c r="G721" s="2">
        <v>3238</v>
      </c>
      <c r="H721">
        <v>0</v>
      </c>
      <c r="I721" t="str">
        <f>_xlfn.XLOOKUP($C721,战区信息!$A$1:$A$5,战区信息!$B$1:$B$5)</f>
        <v>004</v>
      </c>
      <c r="J721" t="str">
        <f>_xlfn.XLOOKUP($C721,战区信息!$A$1:$A$5,战区信息!$C$1:$C$5)</f>
        <v>沈乐欣</v>
      </c>
      <c r="K721" t="str">
        <f>_xlfn.XLOOKUP($C721,战区信息!$A$1:$A$5,战区信息!$D$1:$D$5)</f>
        <v>三级战区</v>
      </c>
      <c r="L721" t="str">
        <f>_xlfn.XLOOKUP($D721,城市信息!$B$1:$B$14,城市信息!$A$1:$A$14)</f>
        <v>007</v>
      </c>
      <c r="M721" t="str">
        <f>_xlfn.XLOOKUP($D721,城市信息!$B$1:$B$14,城市信息!$C$1:$C$14)</f>
        <v>范俊发</v>
      </c>
      <c r="N721" t="str">
        <f>_xlfn.XLOOKUP($D721,城市信息!$B$1:$B$14,城市信息!$D$1:$D$14)</f>
        <v>一线</v>
      </c>
      <c r="O721">
        <f>_xlfn.XLOOKUP($D721,城市信息!$B$1:$B$14,城市信息!$E$1:$E$14)</f>
        <v>12358</v>
      </c>
      <c r="P721" cm="1">
        <f t="array" ref="P721:U721">_xlfn.XLOOKUP(A721&amp;B721,'[1]2.4自动化报表-8月获客数据-非乱码'!$A:$A&amp;'[1]2.4自动化报表-8月获客数据-非乱码'!$B:$B,'[1]2.4自动化报表-8月获客数据-非乱码'!$C:$H)</f>
        <v>2088</v>
      </c>
      <c r="Q721">
        <v>2054</v>
      </c>
      <c r="R721">
        <v>2003</v>
      </c>
      <c r="S721">
        <v>1214</v>
      </c>
      <c r="T721">
        <v>676</v>
      </c>
      <c r="U721">
        <v>688</v>
      </c>
    </row>
    <row r="722" spans="1:21" x14ac:dyDescent="0.3">
      <c r="A722" s="1">
        <v>44069</v>
      </c>
      <c r="B722" t="s">
        <v>5</v>
      </c>
      <c r="C722" t="s">
        <v>125</v>
      </c>
      <c r="D722" t="s">
        <v>62</v>
      </c>
      <c r="E722" t="s">
        <v>129</v>
      </c>
      <c r="F722" s="2">
        <v>167508</v>
      </c>
      <c r="G722" s="2">
        <v>8471</v>
      </c>
      <c r="H722">
        <v>472</v>
      </c>
      <c r="I722" t="str">
        <f>_xlfn.XLOOKUP($C722,战区信息!$A$1:$A$5,战区信息!$B$1:$B$5)</f>
        <v>004</v>
      </c>
      <c r="J722" t="str">
        <f>_xlfn.XLOOKUP($C722,战区信息!$A$1:$A$5,战区信息!$C$1:$C$5)</f>
        <v>沈乐欣</v>
      </c>
      <c r="K722" t="str">
        <f>_xlfn.XLOOKUP($C722,战区信息!$A$1:$A$5,战区信息!$D$1:$D$5)</f>
        <v>三级战区</v>
      </c>
      <c r="L722" t="str">
        <f>_xlfn.XLOOKUP($D722,城市信息!$B$1:$B$14,城市信息!$A$1:$A$14)</f>
        <v>007</v>
      </c>
      <c r="M722" t="str">
        <f>_xlfn.XLOOKUP($D722,城市信息!$B$1:$B$14,城市信息!$C$1:$C$14)</f>
        <v>范俊发</v>
      </c>
      <c r="N722" t="str">
        <f>_xlfn.XLOOKUP($D722,城市信息!$B$1:$B$14,城市信息!$D$1:$D$14)</f>
        <v>一线</v>
      </c>
      <c r="O722">
        <f>_xlfn.XLOOKUP($D722,城市信息!$B$1:$B$14,城市信息!$E$1:$E$14)</f>
        <v>12358</v>
      </c>
      <c r="P722" cm="1">
        <f t="array" ref="P722:U722">_xlfn.XLOOKUP(A722&amp;B722,'[1]2.4自动化报表-8月获客数据-非乱码'!$A:$A&amp;'[1]2.4自动化报表-8月获客数据-非乱码'!$B:$B,'[1]2.4自动化报表-8月获客数据-非乱码'!$C:$H)</f>
        <v>2923</v>
      </c>
      <c r="Q722">
        <v>2867</v>
      </c>
      <c r="R722">
        <v>2749</v>
      </c>
      <c r="S722">
        <v>1701</v>
      </c>
      <c r="T722">
        <v>847</v>
      </c>
      <c r="U722">
        <v>690</v>
      </c>
    </row>
    <row r="723" spans="1:21" x14ac:dyDescent="0.3">
      <c r="A723" s="1">
        <v>44069</v>
      </c>
      <c r="B723" t="s">
        <v>33</v>
      </c>
      <c r="C723" t="s">
        <v>125</v>
      </c>
      <c r="D723" t="s">
        <v>62</v>
      </c>
      <c r="E723" t="s">
        <v>130</v>
      </c>
      <c r="F723" s="2">
        <v>15001</v>
      </c>
      <c r="G723">
        <v>625</v>
      </c>
      <c r="H723">
        <v>0</v>
      </c>
      <c r="I723" t="str">
        <f>_xlfn.XLOOKUP($C723,战区信息!$A$1:$A$5,战区信息!$B$1:$B$5)</f>
        <v>004</v>
      </c>
      <c r="J723" t="str">
        <f>_xlfn.XLOOKUP($C723,战区信息!$A$1:$A$5,战区信息!$C$1:$C$5)</f>
        <v>沈乐欣</v>
      </c>
      <c r="K723" t="str">
        <f>_xlfn.XLOOKUP($C723,战区信息!$A$1:$A$5,战区信息!$D$1:$D$5)</f>
        <v>三级战区</v>
      </c>
      <c r="L723" t="str">
        <f>_xlfn.XLOOKUP($D723,城市信息!$B$1:$B$14,城市信息!$A$1:$A$14)</f>
        <v>007</v>
      </c>
      <c r="M723" t="str">
        <f>_xlfn.XLOOKUP($D723,城市信息!$B$1:$B$14,城市信息!$C$1:$C$14)</f>
        <v>范俊发</v>
      </c>
      <c r="N723" t="str">
        <f>_xlfn.XLOOKUP($D723,城市信息!$B$1:$B$14,城市信息!$D$1:$D$14)</f>
        <v>一线</v>
      </c>
      <c r="O723">
        <f>_xlfn.XLOOKUP($D723,城市信息!$B$1:$B$14,城市信息!$E$1:$E$14)</f>
        <v>12358</v>
      </c>
      <c r="P723" cm="1">
        <f t="array" ref="P723:U723">_xlfn.XLOOKUP(A723&amp;B723,'[1]2.4自动化报表-8月获客数据-非乱码'!$A:$A&amp;'[1]2.4自动化报表-8月获客数据-非乱码'!$B:$B,'[1]2.4自动化报表-8月获客数据-非乱码'!$C:$H)</f>
        <v>207</v>
      </c>
      <c r="Q723">
        <v>204</v>
      </c>
      <c r="R723">
        <v>195</v>
      </c>
      <c r="S723">
        <v>121</v>
      </c>
      <c r="T723">
        <v>79</v>
      </c>
      <c r="U723">
        <v>696</v>
      </c>
    </row>
    <row r="724" spans="1:21" x14ac:dyDescent="0.3">
      <c r="A724" s="1">
        <v>44070</v>
      </c>
      <c r="B724" t="s">
        <v>32</v>
      </c>
      <c r="C724" t="s">
        <v>97</v>
      </c>
      <c r="D724" t="s">
        <v>67</v>
      </c>
      <c r="E724" t="s">
        <v>98</v>
      </c>
      <c r="F724" s="2">
        <v>103335</v>
      </c>
      <c r="G724" s="2">
        <v>4688</v>
      </c>
      <c r="H724">
        <v>0</v>
      </c>
      <c r="I724" t="str">
        <f>_xlfn.XLOOKUP($C724,战区信息!$A$1:$A$5,战区信息!$B$1:$B$5)</f>
        <v>003</v>
      </c>
      <c r="J724" t="str">
        <f>_xlfn.XLOOKUP($C724,战区信息!$A$1:$A$5,战区信息!$C$1:$C$5)</f>
        <v>田楠</v>
      </c>
      <c r="K724" t="str">
        <f>_xlfn.XLOOKUP($C724,战区信息!$A$1:$A$5,战区信息!$D$1:$D$5)</f>
        <v>二级战区</v>
      </c>
      <c r="L724" t="str">
        <f>_xlfn.XLOOKUP($D724,城市信息!$B$1:$B$14,城市信息!$A$1:$A$14)</f>
        <v>012</v>
      </c>
      <c r="M724" t="str">
        <f>_xlfn.XLOOKUP($D724,城市信息!$B$1:$B$14,城市信息!$C$1:$C$14)</f>
        <v>于子默</v>
      </c>
      <c r="N724" t="str">
        <f>_xlfn.XLOOKUP($D724,城市信息!$B$1:$B$14,城市信息!$D$1:$D$14)</f>
        <v>二线</v>
      </c>
      <c r="O724">
        <f>_xlfn.XLOOKUP($D724,城市信息!$B$1:$B$14,城市信息!$E$1:$E$14)</f>
        <v>9713</v>
      </c>
      <c r="P724" cm="1">
        <f t="array" ref="P724:U724">_xlfn.XLOOKUP(A724&amp;B724,'[1]2.4自动化报表-8月获客数据-非乱码'!$A:$A&amp;'[1]2.4自动化报表-8月获客数据-非乱码'!$B:$B,'[1]2.4自动化报表-8月获客数据-非乱码'!$C:$H)</f>
        <v>1763</v>
      </c>
      <c r="Q724">
        <v>1727</v>
      </c>
      <c r="R724">
        <v>1695</v>
      </c>
      <c r="S724">
        <v>1051</v>
      </c>
      <c r="T724">
        <v>602</v>
      </c>
      <c r="U724">
        <v>691</v>
      </c>
    </row>
    <row r="725" spans="1:21" x14ac:dyDescent="0.3">
      <c r="A725" s="1">
        <v>44070</v>
      </c>
      <c r="B725" t="s">
        <v>31</v>
      </c>
      <c r="C725" t="s">
        <v>97</v>
      </c>
      <c r="D725" t="s">
        <v>65</v>
      </c>
      <c r="E725" t="s">
        <v>99</v>
      </c>
      <c r="F725" s="2">
        <v>188973</v>
      </c>
      <c r="G725" s="2">
        <v>9733</v>
      </c>
      <c r="H725" s="2">
        <v>8050</v>
      </c>
      <c r="I725" t="str">
        <f>_xlfn.XLOOKUP($C725,战区信息!$A$1:$A$5,战区信息!$B$1:$B$5)</f>
        <v>003</v>
      </c>
      <c r="J725" t="str">
        <f>_xlfn.XLOOKUP($C725,战区信息!$A$1:$A$5,战区信息!$C$1:$C$5)</f>
        <v>田楠</v>
      </c>
      <c r="K725" t="str">
        <f>_xlfn.XLOOKUP($C725,战区信息!$A$1:$A$5,战区信息!$D$1:$D$5)</f>
        <v>二级战区</v>
      </c>
      <c r="L725" t="str">
        <f>_xlfn.XLOOKUP($D725,城市信息!$B$1:$B$14,城市信息!$A$1:$A$14)</f>
        <v>010</v>
      </c>
      <c r="M725" t="str">
        <f>_xlfn.XLOOKUP($D725,城市信息!$B$1:$B$14,城市信息!$C$1:$C$14)</f>
        <v>黄鹏天</v>
      </c>
      <c r="N725" t="str">
        <f>_xlfn.XLOOKUP($D725,城市信息!$B$1:$B$14,城市信息!$D$1:$D$14)</f>
        <v>二线</v>
      </c>
      <c r="O725">
        <f>_xlfn.XLOOKUP($D725,城市信息!$B$1:$B$14,城市信息!$E$1:$E$14)</f>
        <v>8295</v>
      </c>
      <c r="P725" cm="1">
        <f t="array" ref="P725:U725">_xlfn.XLOOKUP(A725&amp;B725,'[1]2.4自动化报表-8月获客数据-非乱码'!$A:$A&amp;'[1]2.4自动化报表-8月获客数据-非乱码'!$B:$B,'[1]2.4自动化报表-8月获客数据-非乱码'!$C:$H)</f>
        <v>2969</v>
      </c>
      <c r="Q725">
        <v>2920</v>
      </c>
      <c r="R725">
        <v>2830</v>
      </c>
      <c r="S725">
        <v>1732</v>
      </c>
      <c r="T725">
        <v>979</v>
      </c>
      <c r="U725">
        <v>692</v>
      </c>
    </row>
    <row r="726" spans="1:21" x14ac:dyDescent="0.3">
      <c r="A726" s="1">
        <v>44070</v>
      </c>
      <c r="B726" t="s">
        <v>30</v>
      </c>
      <c r="C726" t="s">
        <v>97</v>
      </c>
      <c r="D726" t="s">
        <v>61</v>
      </c>
      <c r="E726" t="s">
        <v>100</v>
      </c>
      <c r="F726" s="2">
        <v>241933</v>
      </c>
      <c r="G726" s="2">
        <v>12002</v>
      </c>
      <c r="H726">
        <v>0</v>
      </c>
      <c r="I726" t="str">
        <f>_xlfn.XLOOKUP($C726,战区信息!$A$1:$A$5,战区信息!$B$1:$B$5)</f>
        <v>003</v>
      </c>
      <c r="J726" t="str">
        <f>_xlfn.XLOOKUP($C726,战区信息!$A$1:$A$5,战区信息!$C$1:$C$5)</f>
        <v>田楠</v>
      </c>
      <c r="K726" t="str">
        <f>_xlfn.XLOOKUP($C726,战区信息!$A$1:$A$5,战区信息!$D$1:$D$5)</f>
        <v>二级战区</v>
      </c>
      <c r="L726" t="str">
        <f>_xlfn.XLOOKUP($D726,城市信息!$B$1:$B$14,城市信息!$A$1:$A$14)</f>
        <v>006</v>
      </c>
      <c r="M726" t="str">
        <f>_xlfn.XLOOKUP($D726,城市信息!$B$1:$B$14,城市信息!$C$1:$C$14)</f>
        <v>王刚</v>
      </c>
      <c r="N726" t="str">
        <f>_xlfn.XLOOKUP($D726,城市信息!$B$1:$B$14,城市信息!$D$1:$D$14)</f>
        <v>二线</v>
      </c>
      <c r="O726">
        <f>_xlfn.XLOOKUP($D726,城市信息!$B$1:$B$14,城市信息!$E$1:$E$14)</f>
        <v>9107</v>
      </c>
      <c r="P726" cm="1">
        <f t="array" ref="P726:U726">_xlfn.XLOOKUP(A726&amp;B726,'[1]2.4自动化报表-8月获客数据-非乱码'!$A:$A&amp;'[1]2.4自动化报表-8月获客数据-非乱码'!$B:$B,'[1]2.4自动化报表-8月获客数据-非乱码'!$C:$H)</f>
        <v>5244</v>
      </c>
      <c r="Q726">
        <v>5129</v>
      </c>
      <c r="R726">
        <v>4935</v>
      </c>
      <c r="S726">
        <v>3160</v>
      </c>
      <c r="T726">
        <v>1607</v>
      </c>
      <c r="U726">
        <v>701</v>
      </c>
    </row>
    <row r="727" spans="1:21" x14ac:dyDescent="0.3">
      <c r="A727" s="1">
        <v>44070</v>
      </c>
      <c r="B727" t="s">
        <v>29</v>
      </c>
      <c r="C727" t="s">
        <v>97</v>
      </c>
      <c r="D727" t="s">
        <v>64</v>
      </c>
      <c r="E727" t="s">
        <v>101</v>
      </c>
      <c r="F727" s="2">
        <v>98381</v>
      </c>
      <c r="G727" s="2">
        <v>5055</v>
      </c>
      <c r="H727">
        <v>0</v>
      </c>
      <c r="I727" t="str">
        <f>_xlfn.XLOOKUP($C727,战区信息!$A$1:$A$5,战区信息!$B$1:$B$5)</f>
        <v>003</v>
      </c>
      <c r="J727" t="str">
        <f>_xlfn.XLOOKUP($C727,战区信息!$A$1:$A$5,战区信息!$C$1:$C$5)</f>
        <v>田楠</v>
      </c>
      <c r="K727" t="str">
        <f>_xlfn.XLOOKUP($C727,战区信息!$A$1:$A$5,战区信息!$D$1:$D$5)</f>
        <v>二级战区</v>
      </c>
      <c r="L727" t="str">
        <f>_xlfn.XLOOKUP($D727,城市信息!$B$1:$B$14,城市信息!$A$1:$A$14)</f>
        <v>009</v>
      </c>
      <c r="M727" t="str">
        <f>_xlfn.XLOOKUP($D727,城市信息!$B$1:$B$14,城市信息!$C$1:$C$14)</f>
        <v>叶超</v>
      </c>
      <c r="N727" t="str">
        <f>_xlfn.XLOOKUP($D727,城市信息!$B$1:$B$14,城市信息!$D$1:$D$14)</f>
        <v>二线</v>
      </c>
      <c r="O727">
        <f>_xlfn.XLOOKUP($D727,城市信息!$B$1:$B$14,城市信息!$E$1:$E$14)</f>
        <v>9016</v>
      </c>
      <c r="P727" cm="1">
        <f t="array" ref="P727:U727">_xlfn.XLOOKUP(A727&amp;B727,'[1]2.4自动化报表-8月获客数据-非乱码'!$A:$A&amp;'[1]2.4自动化报表-8月获客数据-非乱码'!$B:$B,'[1]2.4自动化报表-8月获客数据-非乱码'!$C:$H)</f>
        <v>3078</v>
      </c>
      <c r="Q727">
        <v>3002</v>
      </c>
      <c r="R727">
        <v>2893</v>
      </c>
      <c r="S727">
        <v>1861</v>
      </c>
      <c r="T727">
        <v>1036</v>
      </c>
      <c r="U727">
        <v>690</v>
      </c>
    </row>
    <row r="728" spans="1:21" x14ac:dyDescent="0.3">
      <c r="A728" s="1">
        <v>44070</v>
      </c>
      <c r="B728" t="s">
        <v>28</v>
      </c>
      <c r="C728" t="s">
        <v>97</v>
      </c>
      <c r="D728" t="s">
        <v>64</v>
      </c>
      <c r="E728" t="s">
        <v>102</v>
      </c>
      <c r="F728" s="2">
        <v>10000</v>
      </c>
      <c r="G728">
        <v>654</v>
      </c>
      <c r="H728">
        <v>0</v>
      </c>
      <c r="I728" t="str">
        <f>_xlfn.XLOOKUP($C728,战区信息!$A$1:$A$5,战区信息!$B$1:$B$5)</f>
        <v>003</v>
      </c>
      <c r="J728" t="str">
        <f>_xlfn.XLOOKUP($C728,战区信息!$A$1:$A$5,战区信息!$C$1:$C$5)</f>
        <v>田楠</v>
      </c>
      <c r="K728" t="str">
        <f>_xlfn.XLOOKUP($C728,战区信息!$A$1:$A$5,战区信息!$D$1:$D$5)</f>
        <v>二级战区</v>
      </c>
      <c r="L728" t="str">
        <f>_xlfn.XLOOKUP($D728,城市信息!$B$1:$B$14,城市信息!$A$1:$A$14)</f>
        <v>009</v>
      </c>
      <c r="M728" t="str">
        <f>_xlfn.XLOOKUP($D728,城市信息!$B$1:$B$14,城市信息!$C$1:$C$14)</f>
        <v>叶超</v>
      </c>
      <c r="N728" t="str">
        <f>_xlfn.XLOOKUP($D728,城市信息!$B$1:$B$14,城市信息!$D$1:$D$14)</f>
        <v>二线</v>
      </c>
      <c r="O728">
        <f>_xlfn.XLOOKUP($D728,城市信息!$B$1:$B$14,城市信息!$E$1:$E$14)</f>
        <v>9016</v>
      </c>
      <c r="P728" cm="1">
        <f t="array" ref="P728:U728">_xlfn.XLOOKUP(A728&amp;B728,'[1]2.4自动化报表-8月获客数据-非乱码'!$A:$A&amp;'[1]2.4自动化报表-8月获客数据-非乱码'!$B:$B,'[1]2.4自动化报表-8月获客数据-非乱码'!$C:$H)</f>
        <v>672</v>
      </c>
      <c r="Q728">
        <v>662</v>
      </c>
      <c r="R728">
        <v>643</v>
      </c>
      <c r="S728">
        <v>443</v>
      </c>
      <c r="T728">
        <v>209</v>
      </c>
      <c r="U728">
        <v>692</v>
      </c>
    </row>
    <row r="729" spans="1:21" x14ac:dyDescent="0.3">
      <c r="A729" s="1">
        <v>44070</v>
      </c>
      <c r="B729" t="s">
        <v>27</v>
      </c>
      <c r="C729" t="s">
        <v>103</v>
      </c>
      <c r="D729" t="s">
        <v>63</v>
      </c>
      <c r="E729" t="s">
        <v>104</v>
      </c>
      <c r="F729" s="2">
        <v>168898</v>
      </c>
      <c r="G729" s="2">
        <v>8476</v>
      </c>
      <c r="H729">
        <v>0</v>
      </c>
      <c r="I729" t="str">
        <f>_xlfn.XLOOKUP($C729,战区信息!$A$1:$A$5,战区信息!$B$1:$B$5)</f>
        <v>002</v>
      </c>
      <c r="J729" t="str">
        <f>_xlfn.XLOOKUP($C729,战区信息!$A$1:$A$5,战区信息!$C$1:$C$5)</f>
        <v>高安平</v>
      </c>
      <c r="K729" t="str">
        <f>_xlfn.XLOOKUP($C729,战区信息!$A$1:$A$5,战区信息!$D$1:$D$5)</f>
        <v>二级战区</v>
      </c>
      <c r="L729" t="str">
        <f>_xlfn.XLOOKUP($D729,城市信息!$B$1:$B$14,城市信息!$A$1:$A$14)</f>
        <v>008</v>
      </c>
      <c r="M729" t="str">
        <f>_xlfn.XLOOKUP($D729,城市信息!$B$1:$B$14,城市信息!$C$1:$C$14)</f>
        <v>高弘壮</v>
      </c>
      <c r="N729" t="str">
        <f>_xlfn.XLOOKUP($D729,城市信息!$B$1:$B$14,城市信息!$D$1:$D$14)</f>
        <v>一线</v>
      </c>
      <c r="O729">
        <f>_xlfn.XLOOKUP($D729,城市信息!$B$1:$B$14,城市信息!$E$1:$E$14)</f>
        <v>11498</v>
      </c>
      <c r="P729" cm="1">
        <f t="array" ref="P729:U729">_xlfn.XLOOKUP(A729&amp;B729,'[1]2.4自动化报表-8月获客数据-非乱码'!$A:$A&amp;'[1]2.4自动化报表-8月获客数据-非乱码'!$B:$B,'[1]2.4自动化报表-8月获客数据-非乱码'!$C:$H)</f>
        <v>3823</v>
      </c>
      <c r="Q729">
        <v>3708</v>
      </c>
      <c r="R729">
        <v>3535</v>
      </c>
      <c r="S729">
        <v>2103</v>
      </c>
      <c r="T729">
        <v>1122</v>
      </c>
      <c r="U729">
        <v>689</v>
      </c>
    </row>
    <row r="730" spans="1:21" x14ac:dyDescent="0.3">
      <c r="A730" s="1">
        <v>44070</v>
      </c>
      <c r="B730" t="s">
        <v>26</v>
      </c>
      <c r="C730" t="s">
        <v>103</v>
      </c>
      <c r="D730" t="s">
        <v>57</v>
      </c>
      <c r="E730" t="s">
        <v>105</v>
      </c>
      <c r="F730" s="2">
        <v>333199</v>
      </c>
      <c r="G730" s="2">
        <v>16566</v>
      </c>
      <c r="H730">
        <v>446</v>
      </c>
      <c r="I730" t="str">
        <f>_xlfn.XLOOKUP($C730,战区信息!$A$1:$A$5,战区信息!$B$1:$B$5)</f>
        <v>002</v>
      </c>
      <c r="J730" t="str">
        <f>_xlfn.XLOOKUP($C730,战区信息!$A$1:$A$5,战区信息!$C$1:$C$5)</f>
        <v>高安平</v>
      </c>
      <c r="K730" t="str">
        <f>_xlfn.XLOOKUP($C730,战区信息!$A$1:$A$5,战区信息!$D$1:$D$5)</f>
        <v>二级战区</v>
      </c>
      <c r="L730" t="str">
        <f>_xlfn.XLOOKUP($D730,城市信息!$B$1:$B$14,城市信息!$A$1:$A$14)</f>
        <v>002</v>
      </c>
      <c r="M730" t="str">
        <f>_xlfn.XLOOKUP($D730,城市信息!$B$1:$B$14,城市信息!$C$1:$C$14)</f>
        <v>孙乒</v>
      </c>
      <c r="N730" t="str">
        <f>_xlfn.XLOOKUP($D730,城市信息!$B$1:$B$14,城市信息!$D$1:$D$14)</f>
        <v>一线</v>
      </c>
      <c r="O730">
        <f>_xlfn.XLOOKUP($D730,城市信息!$B$1:$B$14,城市信息!$E$1:$E$14)</f>
        <v>9854</v>
      </c>
      <c r="P730" cm="1">
        <f t="array" ref="P730:U730">_xlfn.XLOOKUP(A730&amp;B730,'[1]2.4自动化报表-8月获客数据-非乱码'!$A:$A&amp;'[1]2.4自动化报表-8月获客数据-非乱码'!$B:$B,'[1]2.4自动化报表-8月获客数据-非乱码'!$C:$H)</f>
        <v>7503</v>
      </c>
      <c r="Q730">
        <v>7322</v>
      </c>
      <c r="R730">
        <v>7026</v>
      </c>
      <c r="S730">
        <v>4356</v>
      </c>
      <c r="T730">
        <v>2396</v>
      </c>
      <c r="U730">
        <v>688</v>
      </c>
    </row>
    <row r="731" spans="1:21" x14ac:dyDescent="0.3">
      <c r="A731" s="1">
        <v>44070</v>
      </c>
      <c r="B731" t="s">
        <v>25</v>
      </c>
      <c r="C731" t="s">
        <v>103</v>
      </c>
      <c r="D731" t="s">
        <v>57</v>
      </c>
      <c r="E731" t="s">
        <v>106</v>
      </c>
      <c r="F731" s="2">
        <v>152521</v>
      </c>
      <c r="G731" s="2">
        <v>8041</v>
      </c>
      <c r="H731" s="2">
        <v>6759</v>
      </c>
      <c r="I731" t="str">
        <f>_xlfn.XLOOKUP($C731,战区信息!$A$1:$A$5,战区信息!$B$1:$B$5)</f>
        <v>002</v>
      </c>
      <c r="J731" t="str">
        <f>_xlfn.XLOOKUP($C731,战区信息!$A$1:$A$5,战区信息!$C$1:$C$5)</f>
        <v>高安平</v>
      </c>
      <c r="K731" t="str">
        <f>_xlfn.XLOOKUP($C731,战区信息!$A$1:$A$5,战区信息!$D$1:$D$5)</f>
        <v>二级战区</v>
      </c>
      <c r="L731" t="str">
        <f>_xlfn.XLOOKUP($D731,城市信息!$B$1:$B$14,城市信息!$A$1:$A$14)</f>
        <v>002</v>
      </c>
      <c r="M731" t="str">
        <f>_xlfn.XLOOKUP($D731,城市信息!$B$1:$B$14,城市信息!$C$1:$C$14)</f>
        <v>孙乒</v>
      </c>
      <c r="N731" t="str">
        <f>_xlfn.XLOOKUP($D731,城市信息!$B$1:$B$14,城市信息!$D$1:$D$14)</f>
        <v>一线</v>
      </c>
      <c r="O731">
        <f>_xlfn.XLOOKUP($D731,城市信息!$B$1:$B$14,城市信息!$E$1:$E$14)</f>
        <v>9854</v>
      </c>
      <c r="P731" cm="1">
        <f t="array" ref="P731:U731">_xlfn.XLOOKUP(A731&amp;B731,'[1]2.4自动化报表-8月获客数据-非乱码'!$A:$A&amp;'[1]2.4自动化报表-8月获客数据-非乱码'!$B:$B,'[1]2.4自动化报表-8月获客数据-非乱码'!$C:$H)</f>
        <v>3843</v>
      </c>
      <c r="Q731">
        <v>3731</v>
      </c>
      <c r="R731">
        <v>3538</v>
      </c>
      <c r="S731">
        <v>2120</v>
      </c>
      <c r="T731">
        <v>1235</v>
      </c>
      <c r="U731">
        <v>689</v>
      </c>
    </row>
    <row r="732" spans="1:21" x14ac:dyDescent="0.3">
      <c r="A732" s="1">
        <v>44070</v>
      </c>
      <c r="B732" t="s">
        <v>24</v>
      </c>
      <c r="C732" t="s">
        <v>103</v>
      </c>
      <c r="D732" t="s">
        <v>57</v>
      </c>
      <c r="E732" t="s">
        <v>107</v>
      </c>
      <c r="F732" s="2">
        <v>111398</v>
      </c>
      <c r="G732" s="2">
        <v>6209</v>
      </c>
      <c r="H732">
        <v>0</v>
      </c>
      <c r="I732" t="str">
        <f>_xlfn.XLOOKUP($C732,战区信息!$A$1:$A$5,战区信息!$B$1:$B$5)</f>
        <v>002</v>
      </c>
      <c r="J732" t="str">
        <f>_xlfn.XLOOKUP($C732,战区信息!$A$1:$A$5,战区信息!$C$1:$C$5)</f>
        <v>高安平</v>
      </c>
      <c r="K732" t="str">
        <f>_xlfn.XLOOKUP($C732,战区信息!$A$1:$A$5,战区信息!$D$1:$D$5)</f>
        <v>二级战区</v>
      </c>
      <c r="L732" t="str">
        <f>_xlfn.XLOOKUP($D732,城市信息!$B$1:$B$14,城市信息!$A$1:$A$14)</f>
        <v>002</v>
      </c>
      <c r="M732" t="str">
        <f>_xlfn.XLOOKUP($D732,城市信息!$B$1:$B$14,城市信息!$C$1:$C$14)</f>
        <v>孙乒</v>
      </c>
      <c r="N732" t="str">
        <f>_xlfn.XLOOKUP($D732,城市信息!$B$1:$B$14,城市信息!$D$1:$D$14)</f>
        <v>一线</v>
      </c>
      <c r="O732">
        <f>_xlfn.XLOOKUP($D732,城市信息!$B$1:$B$14,城市信息!$E$1:$E$14)</f>
        <v>9854</v>
      </c>
      <c r="P732" cm="1">
        <f t="array" ref="P732:U732">_xlfn.XLOOKUP(A732&amp;B732,'[1]2.4自动化报表-8月获客数据-非乱码'!$A:$A&amp;'[1]2.4自动化报表-8月获客数据-非乱码'!$B:$B,'[1]2.4自动化报表-8月获客数据-非乱码'!$C:$H)</f>
        <v>4769</v>
      </c>
      <c r="Q732">
        <v>4672</v>
      </c>
      <c r="R732">
        <v>4468</v>
      </c>
      <c r="S732">
        <v>2745</v>
      </c>
      <c r="T732">
        <v>1595</v>
      </c>
      <c r="U732">
        <v>691</v>
      </c>
    </row>
    <row r="733" spans="1:21" x14ac:dyDescent="0.3">
      <c r="A733" s="1">
        <v>44070</v>
      </c>
      <c r="B733" t="s">
        <v>23</v>
      </c>
      <c r="C733" t="s">
        <v>108</v>
      </c>
      <c r="D733" t="s">
        <v>109</v>
      </c>
      <c r="E733" t="s">
        <v>110</v>
      </c>
      <c r="F733" s="2">
        <v>229894</v>
      </c>
      <c r="G733" s="2">
        <v>11466</v>
      </c>
      <c r="H733">
        <v>0</v>
      </c>
      <c r="I733" t="str">
        <f>_xlfn.XLOOKUP($C733,战区信息!$A$1:$A$5,战区信息!$B$1:$B$5)</f>
        <v>001</v>
      </c>
      <c r="J733" t="str">
        <f>_xlfn.XLOOKUP($C733,战区信息!$A$1:$A$5,战区信息!$C$1:$C$5)</f>
        <v>江永</v>
      </c>
      <c r="K733" t="str">
        <f>_xlfn.XLOOKUP($C733,战区信息!$A$1:$A$5,战区信息!$D$1:$D$5)</f>
        <v>一级战区</v>
      </c>
      <c r="L733" t="str">
        <f>_xlfn.XLOOKUP($D733,城市信息!$B$1:$B$14,城市信息!$A$1:$A$14)</f>
        <v>013</v>
      </c>
      <c r="M733" t="str">
        <f>_xlfn.XLOOKUP($D733,城市信息!$B$1:$B$14,城市信息!$C$1:$C$14)</f>
        <v>张建</v>
      </c>
      <c r="N733" t="str">
        <f>_xlfn.XLOOKUP($D733,城市信息!$B$1:$B$14,城市信息!$D$1:$D$14)</f>
        <v>二线</v>
      </c>
      <c r="O733">
        <f>_xlfn.XLOOKUP($D733,城市信息!$B$1:$B$14,城市信息!$E$1:$E$14)</f>
        <v>8800</v>
      </c>
      <c r="P733" cm="1">
        <f t="array" ref="P733:U733">_xlfn.XLOOKUP(A733&amp;B733,'[1]2.4自动化报表-8月获客数据-非乱码'!$A:$A&amp;'[1]2.4自动化报表-8月获客数据-非乱码'!$B:$B,'[1]2.4自动化报表-8月获客数据-非乱码'!$C:$H)</f>
        <v>5872</v>
      </c>
      <c r="Q733">
        <v>5647</v>
      </c>
      <c r="R733">
        <v>5382</v>
      </c>
      <c r="S733">
        <v>3301</v>
      </c>
      <c r="T733">
        <v>1710</v>
      </c>
      <c r="U733">
        <v>694</v>
      </c>
    </row>
    <row r="734" spans="1:21" x14ac:dyDescent="0.3">
      <c r="A734" s="1">
        <v>44070</v>
      </c>
      <c r="B734" t="s">
        <v>22</v>
      </c>
      <c r="C734" t="s">
        <v>108</v>
      </c>
      <c r="D734" t="s">
        <v>109</v>
      </c>
      <c r="E734" t="s">
        <v>111</v>
      </c>
      <c r="F734" s="2">
        <v>16471</v>
      </c>
      <c r="G734">
        <v>780</v>
      </c>
      <c r="H734">
        <v>848</v>
      </c>
      <c r="I734" t="str">
        <f>_xlfn.XLOOKUP($C734,战区信息!$A$1:$A$5,战区信息!$B$1:$B$5)</f>
        <v>001</v>
      </c>
      <c r="J734" t="str">
        <f>_xlfn.XLOOKUP($C734,战区信息!$A$1:$A$5,战区信息!$C$1:$C$5)</f>
        <v>江永</v>
      </c>
      <c r="K734" t="str">
        <f>_xlfn.XLOOKUP($C734,战区信息!$A$1:$A$5,战区信息!$D$1:$D$5)</f>
        <v>一级战区</v>
      </c>
      <c r="L734" t="str">
        <f>_xlfn.XLOOKUP($D734,城市信息!$B$1:$B$14,城市信息!$A$1:$A$14)</f>
        <v>013</v>
      </c>
      <c r="M734" t="str">
        <f>_xlfn.XLOOKUP($D734,城市信息!$B$1:$B$14,城市信息!$C$1:$C$14)</f>
        <v>张建</v>
      </c>
      <c r="N734" t="str">
        <f>_xlfn.XLOOKUP($D734,城市信息!$B$1:$B$14,城市信息!$D$1:$D$14)</f>
        <v>二线</v>
      </c>
      <c r="O734">
        <f>_xlfn.XLOOKUP($D734,城市信息!$B$1:$B$14,城市信息!$E$1:$E$14)</f>
        <v>8800</v>
      </c>
      <c r="P734" cm="1">
        <f t="array" ref="P734:U734">_xlfn.XLOOKUP(A734&amp;B734,'[1]2.4自动化报表-8月获客数据-非乱码'!$A:$A&amp;'[1]2.4自动化报表-8月获客数据-非乱码'!$B:$B,'[1]2.4自动化报表-8月获客数据-非乱码'!$C:$H)</f>
        <v>483</v>
      </c>
      <c r="Q734">
        <v>473</v>
      </c>
      <c r="R734">
        <v>445</v>
      </c>
      <c r="S734">
        <v>241</v>
      </c>
      <c r="T734">
        <v>152</v>
      </c>
      <c r="U734">
        <v>692</v>
      </c>
    </row>
    <row r="735" spans="1:21" x14ac:dyDescent="0.3">
      <c r="A735" s="1">
        <v>44070</v>
      </c>
      <c r="B735" t="s">
        <v>21</v>
      </c>
      <c r="C735" t="s">
        <v>108</v>
      </c>
      <c r="D735" t="s">
        <v>109</v>
      </c>
      <c r="E735" t="s">
        <v>112</v>
      </c>
      <c r="F735" s="2">
        <v>360865</v>
      </c>
      <c r="G735" s="2">
        <v>16834</v>
      </c>
      <c r="H735" s="2">
        <v>14535</v>
      </c>
      <c r="I735" t="str">
        <f>_xlfn.XLOOKUP($C735,战区信息!$A$1:$A$5,战区信息!$B$1:$B$5)</f>
        <v>001</v>
      </c>
      <c r="J735" t="str">
        <f>_xlfn.XLOOKUP($C735,战区信息!$A$1:$A$5,战区信息!$C$1:$C$5)</f>
        <v>江永</v>
      </c>
      <c r="K735" t="str">
        <f>_xlfn.XLOOKUP($C735,战区信息!$A$1:$A$5,战区信息!$D$1:$D$5)</f>
        <v>一级战区</v>
      </c>
      <c r="L735" t="str">
        <f>_xlfn.XLOOKUP($D735,城市信息!$B$1:$B$14,城市信息!$A$1:$A$14)</f>
        <v>013</v>
      </c>
      <c r="M735" t="str">
        <f>_xlfn.XLOOKUP($D735,城市信息!$B$1:$B$14,城市信息!$C$1:$C$14)</f>
        <v>张建</v>
      </c>
      <c r="N735" t="str">
        <f>_xlfn.XLOOKUP($D735,城市信息!$B$1:$B$14,城市信息!$D$1:$D$14)</f>
        <v>二线</v>
      </c>
      <c r="O735">
        <f>_xlfn.XLOOKUP($D735,城市信息!$B$1:$B$14,城市信息!$E$1:$E$14)</f>
        <v>8800</v>
      </c>
      <c r="P735" cm="1">
        <f t="array" ref="P735:U735">_xlfn.XLOOKUP(A735&amp;B735,'[1]2.4自动化报表-8月获客数据-非乱码'!$A:$A&amp;'[1]2.4自动化报表-8月获客数据-非乱码'!$B:$B,'[1]2.4自动化报表-8月获客数据-非乱码'!$C:$H)</f>
        <v>6344</v>
      </c>
      <c r="Q735">
        <v>6085</v>
      </c>
      <c r="R735">
        <v>5799</v>
      </c>
      <c r="S735">
        <v>3345</v>
      </c>
      <c r="T735">
        <v>1833</v>
      </c>
      <c r="U735">
        <v>695</v>
      </c>
    </row>
    <row r="736" spans="1:21" x14ac:dyDescent="0.3">
      <c r="A736" s="1">
        <v>44070</v>
      </c>
      <c r="B736" t="s">
        <v>20</v>
      </c>
      <c r="C736" t="s">
        <v>108</v>
      </c>
      <c r="D736" t="s">
        <v>56</v>
      </c>
      <c r="E736" t="s">
        <v>113</v>
      </c>
      <c r="F736" s="2">
        <v>228201</v>
      </c>
      <c r="G736" s="2">
        <v>10786</v>
      </c>
      <c r="H736">
        <v>0</v>
      </c>
      <c r="I736" t="str">
        <f>_xlfn.XLOOKUP($C736,战区信息!$A$1:$A$5,战区信息!$B$1:$B$5)</f>
        <v>001</v>
      </c>
      <c r="J736" t="str">
        <f>_xlfn.XLOOKUP($C736,战区信息!$A$1:$A$5,战区信息!$C$1:$C$5)</f>
        <v>江永</v>
      </c>
      <c r="K736" t="str">
        <f>_xlfn.XLOOKUP($C736,战区信息!$A$1:$A$5,战区信息!$D$1:$D$5)</f>
        <v>一级战区</v>
      </c>
      <c r="L736" t="str">
        <f>_xlfn.XLOOKUP($D736,城市信息!$B$1:$B$14,城市信息!$A$1:$A$14)</f>
        <v>001</v>
      </c>
      <c r="M736" t="str">
        <f>_xlfn.XLOOKUP($D736,城市信息!$B$1:$B$14,城市信息!$C$1:$C$14)</f>
        <v>吴刚</v>
      </c>
      <c r="N736" t="str">
        <f>_xlfn.XLOOKUP($D736,城市信息!$B$1:$B$14,城市信息!$D$1:$D$14)</f>
        <v>一线</v>
      </c>
      <c r="O736">
        <f>_xlfn.XLOOKUP($D736,城市信息!$B$1:$B$14,城市信息!$E$1:$E$14)</f>
        <v>12114</v>
      </c>
      <c r="P736" cm="1">
        <f t="array" ref="P736:U736">_xlfn.XLOOKUP(A736&amp;B736,'[1]2.4自动化报表-8月获客数据-非乱码'!$A:$A&amp;'[1]2.4自动化报表-8月获客数据-非乱码'!$B:$B,'[1]2.4自动化报表-8月获客数据-非乱码'!$C:$H)</f>
        <v>6583</v>
      </c>
      <c r="Q736">
        <v>6381</v>
      </c>
      <c r="R736">
        <v>6141</v>
      </c>
      <c r="S736">
        <v>3707</v>
      </c>
      <c r="T736">
        <v>2105</v>
      </c>
      <c r="U736">
        <v>695</v>
      </c>
    </row>
    <row r="737" spans="1:21" x14ac:dyDescent="0.3">
      <c r="A737" s="1">
        <v>44070</v>
      </c>
      <c r="B737" t="s">
        <v>19</v>
      </c>
      <c r="C737" t="s">
        <v>108</v>
      </c>
      <c r="D737" t="s">
        <v>56</v>
      </c>
      <c r="E737" t="s">
        <v>114</v>
      </c>
      <c r="F737" s="2">
        <v>191434</v>
      </c>
      <c r="G737" s="2">
        <v>9188</v>
      </c>
      <c r="H737">
        <v>0</v>
      </c>
      <c r="I737" t="str">
        <f>_xlfn.XLOOKUP($C737,战区信息!$A$1:$A$5,战区信息!$B$1:$B$5)</f>
        <v>001</v>
      </c>
      <c r="J737" t="str">
        <f>_xlfn.XLOOKUP($C737,战区信息!$A$1:$A$5,战区信息!$C$1:$C$5)</f>
        <v>江永</v>
      </c>
      <c r="K737" t="str">
        <f>_xlfn.XLOOKUP($C737,战区信息!$A$1:$A$5,战区信息!$D$1:$D$5)</f>
        <v>一级战区</v>
      </c>
      <c r="L737" t="str">
        <f>_xlfn.XLOOKUP($D737,城市信息!$B$1:$B$14,城市信息!$A$1:$A$14)</f>
        <v>001</v>
      </c>
      <c r="M737" t="str">
        <f>_xlfn.XLOOKUP($D737,城市信息!$B$1:$B$14,城市信息!$C$1:$C$14)</f>
        <v>吴刚</v>
      </c>
      <c r="N737" t="str">
        <f>_xlfn.XLOOKUP($D737,城市信息!$B$1:$B$14,城市信息!$D$1:$D$14)</f>
        <v>一线</v>
      </c>
      <c r="O737">
        <f>_xlfn.XLOOKUP($D737,城市信息!$B$1:$B$14,城市信息!$E$1:$E$14)</f>
        <v>12114</v>
      </c>
      <c r="P737" cm="1">
        <f t="array" ref="P737:U737">_xlfn.XLOOKUP(A737&amp;B737,'[1]2.4自动化报表-8月获客数据-非乱码'!$A:$A&amp;'[1]2.4自动化报表-8月获客数据-非乱码'!$B:$B,'[1]2.4自动化报表-8月获客数据-非乱码'!$C:$H)</f>
        <v>2925</v>
      </c>
      <c r="Q737">
        <v>2858</v>
      </c>
      <c r="R737">
        <v>2747</v>
      </c>
      <c r="S737">
        <v>1612</v>
      </c>
      <c r="T737">
        <v>968</v>
      </c>
      <c r="U737">
        <v>696</v>
      </c>
    </row>
    <row r="738" spans="1:21" x14ac:dyDescent="0.3">
      <c r="A738" s="1">
        <v>44070</v>
      </c>
      <c r="B738" t="s">
        <v>18</v>
      </c>
      <c r="C738" t="s">
        <v>108</v>
      </c>
      <c r="D738" t="s">
        <v>56</v>
      </c>
      <c r="E738" t="s">
        <v>115</v>
      </c>
      <c r="F738" s="2">
        <v>124031</v>
      </c>
      <c r="G738" s="2">
        <v>5583</v>
      </c>
      <c r="H738">
        <v>0</v>
      </c>
      <c r="I738" t="str">
        <f>_xlfn.XLOOKUP($C738,战区信息!$A$1:$A$5,战区信息!$B$1:$B$5)</f>
        <v>001</v>
      </c>
      <c r="J738" t="str">
        <f>_xlfn.XLOOKUP($C738,战区信息!$A$1:$A$5,战区信息!$C$1:$C$5)</f>
        <v>江永</v>
      </c>
      <c r="K738" t="str">
        <f>_xlfn.XLOOKUP($C738,战区信息!$A$1:$A$5,战区信息!$D$1:$D$5)</f>
        <v>一级战区</v>
      </c>
      <c r="L738" t="str">
        <f>_xlfn.XLOOKUP($D738,城市信息!$B$1:$B$14,城市信息!$A$1:$A$14)</f>
        <v>001</v>
      </c>
      <c r="M738" t="str">
        <f>_xlfn.XLOOKUP($D738,城市信息!$B$1:$B$14,城市信息!$C$1:$C$14)</f>
        <v>吴刚</v>
      </c>
      <c r="N738" t="str">
        <f>_xlfn.XLOOKUP($D738,城市信息!$B$1:$B$14,城市信息!$D$1:$D$14)</f>
        <v>一线</v>
      </c>
      <c r="O738">
        <f>_xlfn.XLOOKUP($D738,城市信息!$B$1:$B$14,城市信息!$E$1:$E$14)</f>
        <v>12114</v>
      </c>
      <c r="P738" cm="1">
        <f t="array" ref="P738:U738">_xlfn.XLOOKUP(A738&amp;B738,'[1]2.4自动化报表-8月获客数据-非乱码'!$A:$A&amp;'[1]2.4自动化报表-8月获客数据-非乱码'!$B:$B,'[1]2.4自动化报表-8月获客数据-非乱码'!$C:$H)</f>
        <v>2679</v>
      </c>
      <c r="Q738">
        <v>2638</v>
      </c>
      <c r="R738">
        <v>2529</v>
      </c>
      <c r="S738">
        <v>1522</v>
      </c>
      <c r="T738">
        <v>813</v>
      </c>
      <c r="U738">
        <v>690</v>
      </c>
    </row>
    <row r="739" spans="1:21" x14ac:dyDescent="0.3">
      <c r="A739" s="1">
        <v>44070</v>
      </c>
      <c r="B739" t="s">
        <v>17</v>
      </c>
      <c r="C739" t="s">
        <v>108</v>
      </c>
      <c r="D739" t="s">
        <v>59</v>
      </c>
      <c r="E739" t="s">
        <v>116</v>
      </c>
      <c r="F739" s="2">
        <v>150872</v>
      </c>
      <c r="G739" s="2">
        <v>6480</v>
      </c>
      <c r="H739" s="2">
        <v>13417</v>
      </c>
      <c r="I739" t="str">
        <f>_xlfn.XLOOKUP($C739,战区信息!$A$1:$A$5,战区信息!$B$1:$B$5)</f>
        <v>001</v>
      </c>
      <c r="J739" t="str">
        <f>_xlfn.XLOOKUP($C739,战区信息!$A$1:$A$5,战区信息!$C$1:$C$5)</f>
        <v>江永</v>
      </c>
      <c r="K739" t="str">
        <f>_xlfn.XLOOKUP($C739,战区信息!$A$1:$A$5,战区信息!$D$1:$D$5)</f>
        <v>一级战区</v>
      </c>
      <c r="L739" t="str">
        <f>_xlfn.XLOOKUP($D739,城市信息!$B$1:$B$14,城市信息!$A$1:$A$14)</f>
        <v>004</v>
      </c>
      <c r="M739" t="str">
        <f>_xlfn.XLOOKUP($D739,城市信息!$B$1:$B$14,城市信息!$C$1:$C$14)</f>
        <v>苏川</v>
      </c>
      <c r="N739" t="str">
        <f>_xlfn.XLOOKUP($D739,城市信息!$B$1:$B$14,城市信息!$D$1:$D$14)</f>
        <v>二线</v>
      </c>
      <c r="O739">
        <f>_xlfn.XLOOKUP($D739,城市信息!$B$1:$B$14,城市信息!$E$1:$E$14)</f>
        <v>9912</v>
      </c>
      <c r="P739" cm="1">
        <f t="array" ref="P739:U739">_xlfn.XLOOKUP(A739&amp;B739,'[1]2.4自动化报表-8月获客数据-非乱码'!$A:$A&amp;'[1]2.4自动化报表-8月获客数据-非乱码'!$B:$B,'[1]2.4自动化报表-8月获客数据-非乱码'!$C:$H)</f>
        <v>3970</v>
      </c>
      <c r="Q739">
        <v>3887</v>
      </c>
      <c r="R739">
        <v>3751</v>
      </c>
      <c r="S739">
        <v>2153</v>
      </c>
      <c r="T739">
        <v>1206</v>
      </c>
      <c r="U739">
        <v>697</v>
      </c>
    </row>
    <row r="740" spans="1:21" x14ac:dyDescent="0.3">
      <c r="A740" s="1">
        <v>44070</v>
      </c>
      <c r="B740" t="s">
        <v>16</v>
      </c>
      <c r="C740" t="s">
        <v>108</v>
      </c>
      <c r="D740" t="s">
        <v>59</v>
      </c>
      <c r="E740" t="s">
        <v>117</v>
      </c>
      <c r="F740" s="2">
        <v>80399</v>
      </c>
      <c r="G740" s="2">
        <v>3935</v>
      </c>
      <c r="H740">
        <v>0</v>
      </c>
      <c r="I740" t="str">
        <f>_xlfn.XLOOKUP($C740,战区信息!$A$1:$A$5,战区信息!$B$1:$B$5)</f>
        <v>001</v>
      </c>
      <c r="J740" t="str">
        <f>_xlfn.XLOOKUP($C740,战区信息!$A$1:$A$5,战区信息!$C$1:$C$5)</f>
        <v>江永</v>
      </c>
      <c r="K740" t="str">
        <f>_xlfn.XLOOKUP($C740,战区信息!$A$1:$A$5,战区信息!$D$1:$D$5)</f>
        <v>一级战区</v>
      </c>
      <c r="L740" t="str">
        <f>_xlfn.XLOOKUP($D740,城市信息!$B$1:$B$14,城市信息!$A$1:$A$14)</f>
        <v>004</v>
      </c>
      <c r="M740" t="str">
        <f>_xlfn.XLOOKUP($D740,城市信息!$B$1:$B$14,城市信息!$C$1:$C$14)</f>
        <v>苏川</v>
      </c>
      <c r="N740" t="str">
        <f>_xlfn.XLOOKUP($D740,城市信息!$B$1:$B$14,城市信息!$D$1:$D$14)</f>
        <v>二线</v>
      </c>
      <c r="O740">
        <f>_xlfn.XLOOKUP($D740,城市信息!$B$1:$B$14,城市信息!$E$1:$E$14)</f>
        <v>9912</v>
      </c>
      <c r="P740" cm="1">
        <f t="array" ref="P740:U740">_xlfn.XLOOKUP(A740&amp;B740,'[1]2.4自动化报表-8月获客数据-非乱码'!$A:$A&amp;'[1]2.4自动化报表-8月获客数据-非乱码'!$B:$B,'[1]2.4自动化报表-8月获客数据-非乱码'!$C:$H)</f>
        <v>2610</v>
      </c>
      <c r="Q740">
        <v>2528</v>
      </c>
      <c r="R740">
        <v>2411</v>
      </c>
      <c r="S740">
        <v>1402</v>
      </c>
      <c r="T740">
        <v>776</v>
      </c>
      <c r="U740">
        <v>696</v>
      </c>
    </row>
    <row r="741" spans="1:21" x14ac:dyDescent="0.3">
      <c r="A741" s="1">
        <v>44070</v>
      </c>
      <c r="B741" t="s">
        <v>15</v>
      </c>
      <c r="C741" t="s">
        <v>108</v>
      </c>
      <c r="D741" t="s">
        <v>59</v>
      </c>
      <c r="E741" t="s">
        <v>118</v>
      </c>
      <c r="F741" s="2">
        <v>69500</v>
      </c>
      <c r="G741" s="2">
        <v>4138</v>
      </c>
      <c r="H741">
        <v>0</v>
      </c>
      <c r="I741" t="str">
        <f>_xlfn.XLOOKUP($C741,战区信息!$A$1:$A$5,战区信息!$B$1:$B$5)</f>
        <v>001</v>
      </c>
      <c r="J741" t="str">
        <f>_xlfn.XLOOKUP($C741,战区信息!$A$1:$A$5,战区信息!$C$1:$C$5)</f>
        <v>江永</v>
      </c>
      <c r="K741" t="str">
        <f>_xlfn.XLOOKUP($C741,战区信息!$A$1:$A$5,战区信息!$D$1:$D$5)</f>
        <v>一级战区</v>
      </c>
      <c r="L741" t="str">
        <f>_xlfn.XLOOKUP($D741,城市信息!$B$1:$B$14,城市信息!$A$1:$A$14)</f>
        <v>004</v>
      </c>
      <c r="M741" t="str">
        <f>_xlfn.XLOOKUP($D741,城市信息!$B$1:$B$14,城市信息!$C$1:$C$14)</f>
        <v>苏川</v>
      </c>
      <c r="N741" t="str">
        <f>_xlfn.XLOOKUP($D741,城市信息!$B$1:$B$14,城市信息!$D$1:$D$14)</f>
        <v>二线</v>
      </c>
      <c r="O741">
        <f>_xlfn.XLOOKUP($D741,城市信息!$B$1:$B$14,城市信息!$E$1:$E$14)</f>
        <v>9912</v>
      </c>
      <c r="P741" cm="1">
        <f t="array" ref="P741:U741">_xlfn.XLOOKUP(A741&amp;B741,'[1]2.4自动化报表-8月获客数据-非乱码'!$A:$A&amp;'[1]2.4自动化报表-8月获客数据-非乱码'!$B:$B,'[1]2.4自动化报表-8月获客数据-非乱码'!$C:$H)</f>
        <v>2869</v>
      </c>
      <c r="Q741">
        <v>2815</v>
      </c>
      <c r="R741">
        <v>2713</v>
      </c>
      <c r="S741">
        <v>1648</v>
      </c>
      <c r="T741">
        <v>829</v>
      </c>
      <c r="U741">
        <v>698</v>
      </c>
    </row>
    <row r="742" spans="1:21" x14ac:dyDescent="0.3">
      <c r="A742" s="1">
        <v>44070</v>
      </c>
      <c r="B742" t="s">
        <v>14</v>
      </c>
      <c r="C742" t="s">
        <v>108</v>
      </c>
      <c r="D742" t="s">
        <v>59</v>
      </c>
      <c r="E742" t="s">
        <v>119</v>
      </c>
      <c r="F742" s="2">
        <v>113885</v>
      </c>
      <c r="G742" s="2">
        <v>4946</v>
      </c>
      <c r="H742" s="2">
        <v>1677</v>
      </c>
      <c r="I742" t="str">
        <f>_xlfn.XLOOKUP($C742,战区信息!$A$1:$A$5,战区信息!$B$1:$B$5)</f>
        <v>001</v>
      </c>
      <c r="J742" t="str">
        <f>_xlfn.XLOOKUP($C742,战区信息!$A$1:$A$5,战区信息!$C$1:$C$5)</f>
        <v>江永</v>
      </c>
      <c r="K742" t="str">
        <f>_xlfn.XLOOKUP($C742,战区信息!$A$1:$A$5,战区信息!$D$1:$D$5)</f>
        <v>一级战区</v>
      </c>
      <c r="L742" t="str">
        <f>_xlfn.XLOOKUP($D742,城市信息!$B$1:$B$14,城市信息!$A$1:$A$14)</f>
        <v>004</v>
      </c>
      <c r="M742" t="str">
        <f>_xlfn.XLOOKUP($D742,城市信息!$B$1:$B$14,城市信息!$C$1:$C$14)</f>
        <v>苏川</v>
      </c>
      <c r="N742" t="str">
        <f>_xlfn.XLOOKUP($D742,城市信息!$B$1:$B$14,城市信息!$D$1:$D$14)</f>
        <v>二线</v>
      </c>
      <c r="O742">
        <f>_xlfn.XLOOKUP($D742,城市信息!$B$1:$B$14,城市信息!$E$1:$E$14)</f>
        <v>9912</v>
      </c>
      <c r="P742" cm="1">
        <f t="array" ref="P742:U742">_xlfn.XLOOKUP(A742&amp;B742,'[1]2.4自动化报表-8月获客数据-非乱码'!$A:$A&amp;'[1]2.4自动化报表-8月获客数据-非乱码'!$B:$B,'[1]2.4自动化报表-8月获客数据-非乱码'!$C:$H)</f>
        <v>2335</v>
      </c>
      <c r="Q742">
        <v>2261</v>
      </c>
      <c r="R742">
        <v>2171</v>
      </c>
      <c r="S742">
        <v>1353</v>
      </c>
      <c r="T742">
        <v>722</v>
      </c>
      <c r="U742">
        <v>698</v>
      </c>
    </row>
    <row r="743" spans="1:21" x14ac:dyDescent="0.3">
      <c r="A743" s="1">
        <v>44070</v>
      </c>
      <c r="B743" t="s">
        <v>13</v>
      </c>
      <c r="C743" t="s">
        <v>108</v>
      </c>
      <c r="D743" t="s">
        <v>60</v>
      </c>
      <c r="E743" t="s">
        <v>120</v>
      </c>
      <c r="F743" s="2">
        <v>286740</v>
      </c>
      <c r="G743" s="2">
        <v>14462</v>
      </c>
      <c r="H743" s="2">
        <v>15816</v>
      </c>
      <c r="I743" t="str">
        <f>_xlfn.XLOOKUP($C743,战区信息!$A$1:$A$5,战区信息!$B$1:$B$5)</f>
        <v>001</v>
      </c>
      <c r="J743" t="str">
        <f>_xlfn.XLOOKUP($C743,战区信息!$A$1:$A$5,战区信息!$C$1:$C$5)</f>
        <v>江永</v>
      </c>
      <c r="K743" t="str">
        <f>_xlfn.XLOOKUP($C743,战区信息!$A$1:$A$5,战区信息!$D$1:$D$5)</f>
        <v>一级战区</v>
      </c>
      <c r="L743" t="str">
        <f>_xlfn.XLOOKUP($D743,城市信息!$B$1:$B$14,城市信息!$A$1:$A$14)</f>
        <v>005</v>
      </c>
      <c r="M743" t="str">
        <f>_xlfn.XLOOKUP($D743,城市信息!$B$1:$B$14,城市信息!$C$1:$C$14)</f>
        <v>侯阳冰</v>
      </c>
      <c r="N743" t="str">
        <f>_xlfn.XLOOKUP($D743,城市信息!$B$1:$B$14,城市信息!$D$1:$D$14)</f>
        <v>二线</v>
      </c>
      <c r="O743">
        <f>_xlfn.XLOOKUP($D743,城市信息!$B$1:$B$14,城市信息!$E$1:$E$14)</f>
        <v>8694</v>
      </c>
      <c r="P743" cm="1">
        <f t="array" ref="P743:U743">_xlfn.XLOOKUP(A743&amp;B743,'[1]2.4自动化报表-8月获客数据-非乱码'!$A:$A&amp;'[1]2.4自动化报表-8月获客数据-非乱码'!$B:$B,'[1]2.4自动化报表-8月获客数据-非乱码'!$C:$H)</f>
        <v>5329</v>
      </c>
      <c r="Q743">
        <v>5195</v>
      </c>
      <c r="R743">
        <v>4953</v>
      </c>
      <c r="S743">
        <v>3105</v>
      </c>
      <c r="T743">
        <v>1523</v>
      </c>
      <c r="U743">
        <v>696</v>
      </c>
    </row>
    <row r="744" spans="1:21" x14ac:dyDescent="0.3">
      <c r="A744" s="1">
        <v>44070</v>
      </c>
      <c r="B744" t="s">
        <v>12</v>
      </c>
      <c r="C744" t="s">
        <v>108</v>
      </c>
      <c r="D744" t="s">
        <v>60</v>
      </c>
      <c r="E744" t="s">
        <v>121</v>
      </c>
      <c r="F744" s="2">
        <v>84376</v>
      </c>
      <c r="G744" s="2">
        <v>6100</v>
      </c>
      <c r="H744" s="2">
        <v>8769</v>
      </c>
      <c r="I744" t="str">
        <f>_xlfn.XLOOKUP($C744,战区信息!$A$1:$A$5,战区信息!$B$1:$B$5)</f>
        <v>001</v>
      </c>
      <c r="J744" t="str">
        <f>_xlfn.XLOOKUP($C744,战区信息!$A$1:$A$5,战区信息!$C$1:$C$5)</f>
        <v>江永</v>
      </c>
      <c r="K744" t="str">
        <f>_xlfn.XLOOKUP($C744,战区信息!$A$1:$A$5,战区信息!$D$1:$D$5)</f>
        <v>一级战区</v>
      </c>
      <c r="L744" t="str">
        <f>_xlfn.XLOOKUP($D744,城市信息!$B$1:$B$14,城市信息!$A$1:$A$14)</f>
        <v>005</v>
      </c>
      <c r="M744" t="str">
        <f>_xlfn.XLOOKUP($D744,城市信息!$B$1:$B$14,城市信息!$C$1:$C$14)</f>
        <v>侯阳冰</v>
      </c>
      <c r="N744" t="str">
        <f>_xlfn.XLOOKUP($D744,城市信息!$B$1:$B$14,城市信息!$D$1:$D$14)</f>
        <v>二线</v>
      </c>
      <c r="O744">
        <f>_xlfn.XLOOKUP($D744,城市信息!$B$1:$B$14,城市信息!$E$1:$E$14)</f>
        <v>8694</v>
      </c>
      <c r="P744" cm="1">
        <f t="array" ref="P744:U744">_xlfn.XLOOKUP(A744&amp;B744,'[1]2.4自动化报表-8月获客数据-非乱码'!$A:$A&amp;'[1]2.4自动化报表-8月获客数据-非乱码'!$B:$B,'[1]2.4自动化报表-8月获客数据-非乱码'!$C:$H)</f>
        <v>1078</v>
      </c>
      <c r="Q744">
        <v>1058</v>
      </c>
      <c r="R744">
        <v>1019</v>
      </c>
      <c r="S744">
        <v>634</v>
      </c>
      <c r="T744">
        <v>345</v>
      </c>
      <c r="U744">
        <v>695</v>
      </c>
    </row>
    <row r="745" spans="1:21" x14ac:dyDescent="0.3">
      <c r="A745" s="1">
        <v>44070</v>
      </c>
      <c r="B745" t="s">
        <v>11</v>
      </c>
      <c r="C745" t="s">
        <v>108</v>
      </c>
      <c r="D745" t="s">
        <v>58</v>
      </c>
      <c r="E745" t="s">
        <v>122</v>
      </c>
      <c r="F745" s="2">
        <v>199005</v>
      </c>
      <c r="G745" s="2">
        <v>9665</v>
      </c>
      <c r="H745" s="2">
        <v>1006</v>
      </c>
      <c r="I745" t="str">
        <f>_xlfn.XLOOKUP($C745,战区信息!$A$1:$A$5,战区信息!$B$1:$B$5)</f>
        <v>001</v>
      </c>
      <c r="J745" t="str">
        <f>_xlfn.XLOOKUP($C745,战区信息!$A$1:$A$5,战区信息!$C$1:$C$5)</f>
        <v>江永</v>
      </c>
      <c r="K745" t="str">
        <f>_xlfn.XLOOKUP($C745,战区信息!$A$1:$A$5,战区信息!$D$1:$D$5)</f>
        <v>一级战区</v>
      </c>
      <c r="L745" t="str">
        <f>_xlfn.XLOOKUP($D745,城市信息!$B$1:$B$14,城市信息!$A$1:$A$14)</f>
        <v>003</v>
      </c>
      <c r="M745" t="str">
        <f>_xlfn.XLOOKUP($D745,城市信息!$B$1:$B$14,城市信息!$C$1:$C$14)</f>
        <v>杜光亮</v>
      </c>
      <c r="N745" t="str">
        <f>_xlfn.XLOOKUP($D745,城市信息!$B$1:$B$14,城市信息!$D$1:$D$14)</f>
        <v>二线</v>
      </c>
      <c r="O745">
        <f>_xlfn.XLOOKUP($D745,城市信息!$B$1:$B$14,城市信息!$E$1:$E$14)</f>
        <v>10499</v>
      </c>
      <c r="P745" cm="1">
        <f t="array" ref="P745:U745">_xlfn.XLOOKUP(A745&amp;B745,'[1]2.4自动化报表-8月获客数据-非乱码'!$A:$A&amp;'[1]2.4自动化报表-8月获客数据-非乱码'!$B:$B,'[1]2.4自动化报表-8月获客数据-非乱码'!$C:$H)</f>
        <v>5529</v>
      </c>
      <c r="Q745">
        <v>5318</v>
      </c>
      <c r="R745">
        <v>5039</v>
      </c>
      <c r="S745">
        <v>3103</v>
      </c>
      <c r="T745">
        <v>1495</v>
      </c>
      <c r="U745">
        <v>701</v>
      </c>
    </row>
    <row r="746" spans="1:21" x14ac:dyDescent="0.3">
      <c r="A746" s="1">
        <v>44070</v>
      </c>
      <c r="B746" t="s">
        <v>10</v>
      </c>
      <c r="C746" t="s">
        <v>108</v>
      </c>
      <c r="D746" t="s">
        <v>58</v>
      </c>
      <c r="E746" t="s">
        <v>123</v>
      </c>
      <c r="F746" s="2">
        <v>81540</v>
      </c>
      <c r="G746" s="2">
        <v>3729</v>
      </c>
      <c r="H746">
        <v>0</v>
      </c>
      <c r="I746" t="str">
        <f>_xlfn.XLOOKUP($C746,战区信息!$A$1:$A$5,战区信息!$B$1:$B$5)</f>
        <v>001</v>
      </c>
      <c r="J746" t="str">
        <f>_xlfn.XLOOKUP($C746,战区信息!$A$1:$A$5,战区信息!$C$1:$C$5)</f>
        <v>江永</v>
      </c>
      <c r="K746" t="str">
        <f>_xlfn.XLOOKUP($C746,战区信息!$A$1:$A$5,战区信息!$D$1:$D$5)</f>
        <v>一级战区</v>
      </c>
      <c r="L746" t="str">
        <f>_xlfn.XLOOKUP($D746,城市信息!$B$1:$B$14,城市信息!$A$1:$A$14)</f>
        <v>003</v>
      </c>
      <c r="M746" t="str">
        <f>_xlfn.XLOOKUP($D746,城市信息!$B$1:$B$14,城市信息!$C$1:$C$14)</f>
        <v>杜光亮</v>
      </c>
      <c r="N746" t="str">
        <f>_xlfn.XLOOKUP($D746,城市信息!$B$1:$B$14,城市信息!$D$1:$D$14)</f>
        <v>二线</v>
      </c>
      <c r="O746">
        <f>_xlfn.XLOOKUP($D746,城市信息!$B$1:$B$14,城市信息!$E$1:$E$14)</f>
        <v>10499</v>
      </c>
      <c r="P746" cm="1">
        <f t="array" ref="P746:U746">_xlfn.XLOOKUP(A746&amp;B746,'[1]2.4自动化报表-8月获客数据-非乱码'!$A:$A&amp;'[1]2.4自动化报表-8月获客数据-非乱码'!$B:$B,'[1]2.4自动化报表-8月获客数据-非乱码'!$C:$H)</f>
        <v>1773</v>
      </c>
      <c r="Q746">
        <v>1738</v>
      </c>
      <c r="R746">
        <v>1690</v>
      </c>
      <c r="S746">
        <v>1017</v>
      </c>
      <c r="T746">
        <v>614</v>
      </c>
      <c r="U746">
        <v>701</v>
      </c>
    </row>
    <row r="747" spans="1:21" x14ac:dyDescent="0.3">
      <c r="A747" s="1">
        <v>44070</v>
      </c>
      <c r="B747" t="s">
        <v>9</v>
      </c>
      <c r="C747" t="s">
        <v>108</v>
      </c>
      <c r="D747" t="s">
        <v>58</v>
      </c>
      <c r="E747" t="s">
        <v>124</v>
      </c>
      <c r="F747" s="2">
        <v>98770</v>
      </c>
      <c r="G747" s="2">
        <v>5340</v>
      </c>
      <c r="H747" s="2">
        <v>10764</v>
      </c>
      <c r="I747" t="str">
        <f>_xlfn.XLOOKUP($C747,战区信息!$A$1:$A$5,战区信息!$B$1:$B$5)</f>
        <v>001</v>
      </c>
      <c r="J747" t="str">
        <f>_xlfn.XLOOKUP($C747,战区信息!$A$1:$A$5,战区信息!$C$1:$C$5)</f>
        <v>江永</v>
      </c>
      <c r="K747" t="str">
        <f>_xlfn.XLOOKUP($C747,战区信息!$A$1:$A$5,战区信息!$D$1:$D$5)</f>
        <v>一级战区</v>
      </c>
      <c r="L747" t="str">
        <f>_xlfn.XLOOKUP($D747,城市信息!$B$1:$B$14,城市信息!$A$1:$A$14)</f>
        <v>003</v>
      </c>
      <c r="M747" t="str">
        <f>_xlfn.XLOOKUP($D747,城市信息!$B$1:$B$14,城市信息!$C$1:$C$14)</f>
        <v>杜光亮</v>
      </c>
      <c r="N747" t="str">
        <f>_xlfn.XLOOKUP($D747,城市信息!$B$1:$B$14,城市信息!$D$1:$D$14)</f>
        <v>二线</v>
      </c>
      <c r="O747">
        <f>_xlfn.XLOOKUP($D747,城市信息!$B$1:$B$14,城市信息!$E$1:$E$14)</f>
        <v>10499</v>
      </c>
      <c r="P747" cm="1">
        <f t="array" ref="P747:U747">_xlfn.XLOOKUP(A747&amp;B747,'[1]2.4自动化报表-8月获客数据-非乱码'!$A:$A&amp;'[1]2.4自动化报表-8月获客数据-非乱码'!$B:$B,'[1]2.4自动化报表-8月获客数据-非乱码'!$C:$H)</f>
        <v>5340</v>
      </c>
      <c r="Q747">
        <v>5200</v>
      </c>
      <c r="R747">
        <v>5027</v>
      </c>
      <c r="S747">
        <v>2867</v>
      </c>
      <c r="T747">
        <v>1607</v>
      </c>
      <c r="U747">
        <v>694</v>
      </c>
    </row>
    <row r="748" spans="1:21" x14ac:dyDescent="0.3">
      <c r="A748" s="1">
        <v>44070</v>
      </c>
      <c r="B748" t="s">
        <v>8</v>
      </c>
      <c r="C748" t="s">
        <v>125</v>
      </c>
      <c r="D748" t="s">
        <v>66</v>
      </c>
      <c r="E748" t="s">
        <v>126</v>
      </c>
      <c r="F748" s="2">
        <v>186901</v>
      </c>
      <c r="G748" s="2">
        <v>9106</v>
      </c>
      <c r="H748" s="2">
        <v>6572</v>
      </c>
      <c r="I748" t="str">
        <f>_xlfn.XLOOKUP($C748,战区信息!$A$1:$A$5,战区信息!$B$1:$B$5)</f>
        <v>004</v>
      </c>
      <c r="J748" t="str">
        <f>_xlfn.XLOOKUP($C748,战区信息!$A$1:$A$5,战区信息!$C$1:$C$5)</f>
        <v>沈乐欣</v>
      </c>
      <c r="K748" t="str">
        <f>_xlfn.XLOOKUP($C748,战区信息!$A$1:$A$5,战区信息!$D$1:$D$5)</f>
        <v>三级战区</v>
      </c>
      <c r="L748" t="str">
        <f>_xlfn.XLOOKUP($D748,城市信息!$B$1:$B$14,城市信息!$A$1:$A$14)</f>
        <v>011</v>
      </c>
      <c r="M748" t="str">
        <f>_xlfn.XLOOKUP($D748,城市信息!$B$1:$B$14,城市信息!$C$1:$C$14)</f>
        <v>冯谦</v>
      </c>
      <c r="N748" t="str">
        <f>_xlfn.XLOOKUP($D748,城市信息!$B$1:$B$14,城市信息!$D$1:$D$14)</f>
        <v>一线</v>
      </c>
      <c r="O748">
        <f>_xlfn.XLOOKUP($D748,城市信息!$B$1:$B$14,城市信息!$E$1:$E$14)</f>
        <v>8244</v>
      </c>
      <c r="P748" cm="1">
        <f t="array" ref="P748:U748">_xlfn.XLOOKUP(A748&amp;B748,'[1]2.4自动化报表-8月获客数据-非乱码'!$A:$A&amp;'[1]2.4自动化报表-8月获客数据-非乱码'!$B:$B,'[1]2.4自动化报表-8月获客数据-非乱码'!$C:$H)</f>
        <v>1921</v>
      </c>
      <c r="Q748">
        <v>1900</v>
      </c>
      <c r="R748">
        <v>1840</v>
      </c>
      <c r="S748">
        <v>1061</v>
      </c>
      <c r="T748">
        <v>693</v>
      </c>
      <c r="U748">
        <v>686</v>
      </c>
    </row>
    <row r="749" spans="1:21" x14ac:dyDescent="0.3">
      <c r="A749" s="1">
        <v>44070</v>
      </c>
      <c r="B749" t="s">
        <v>7</v>
      </c>
      <c r="C749" t="s">
        <v>125</v>
      </c>
      <c r="D749" t="s">
        <v>62</v>
      </c>
      <c r="E749" t="s">
        <v>127</v>
      </c>
      <c r="F749" s="2">
        <v>21001</v>
      </c>
      <c r="G749" s="2">
        <v>1187</v>
      </c>
      <c r="H749">
        <v>0</v>
      </c>
      <c r="I749" t="str">
        <f>_xlfn.XLOOKUP($C749,战区信息!$A$1:$A$5,战区信息!$B$1:$B$5)</f>
        <v>004</v>
      </c>
      <c r="J749" t="str">
        <f>_xlfn.XLOOKUP($C749,战区信息!$A$1:$A$5,战区信息!$C$1:$C$5)</f>
        <v>沈乐欣</v>
      </c>
      <c r="K749" t="str">
        <f>_xlfn.XLOOKUP($C749,战区信息!$A$1:$A$5,战区信息!$D$1:$D$5)</f>
        <v>三级战区</v>
      </c>
      <c r="L749" t="str">
        <f>_xlfn.XLOOKUP($D749,城市信息!$B$1:$B$14,城市信息!$A$1:$A$14)</f>
        <v>007</v>
      </c>
      <c r="M749" t="str">
        <f>_xlfn.XLOOKUP($D749,城市信息!$B$1:$B$14,城市信息!$C$1:$C$14)</f>
        <v>范俊发</v>
      </c>
      <c r="N749" t="str">
        <f>_xlfn.XLOOKUP($D749,城市信息!$B$1:$B$14,城市信息!$D$1:$D$14)</f>
        <v>一线</v>
      </c>
      <c r="O749">
        <f>_xlfn.XLOOKUP($D749,城市信息!$B$1:$B$14,城市信息!$E$1:$E$14)</f>
        <v>12358</v>
      </c>
      <c r="P749" cm="1">
        <f t="array" ref="P749:U749">_xlfn.XLOOKUP(A749&amp;B749,'[1]2.4自动化报表-8月获客数据-非乱码'!$A:$A&amp;'[1]2.4自动化报表-8月获客数据-非乱码'!$B:$B,'[1]2.4自动化报表-8月获客数据-非乱码'!$C:$H)</f>
        <v>95</v>
      </c>
      <c r="Q749">
        <v>91</v>
      </c>
      <c r="R749">
        <v>85</v>
      </c>
      <c r="S749">
        <v>45</v>
      </c>
      <c r="T749">
        <v>25</v>
      </c>
      <c r="U749">
        <v>686</v>
      </c>
    </row>
    <row r="750" spans="1:21" x14ac:dyDescent="0.3">
      <c r="A750" s="1">
        <v>44070</v>
      </c>
      <c r="B750" t="s">
        <v>6</v>
      </c>
      <c r="C750" t="s">
        <v>125</v>
      </c>
      <c r="D750" t="s">
        <v>62</v>
      </c>
      <c r="E750" t="s">
        <v>128</v>
      </c>
      <c r="F750" s="2">
        <v>100696</v>
      </c>
      <c r="G750" s="2">
        <v>4279</v>
      </c>
      <c r="H750" s="2">
        <v>22064</v>
      </c>
      <c r="I750" t="str">
        <f>_xlfn.XLOOKUP($C750,战区信息!$A$1:$A$5,战区信息!$B$1:$B$5)</f>
        <v>004</v>
      </c>
      <c r="J750" t="str">
        <f>_xlfn.XLOOKUP($C750,战区信息!$A$1:$A$5,战区信息!$C$1:$C$5)</f>
        <v>沈乐欣</v>
      </c>
      <c r="K750" t="str">
        <f>_xlfn.XLOOKUP($C750,战区信息!$A$1:$A$5,战区信息!$D$1:$D$5)</f>
        <v>三级战区</v>
      </c>
      <c r="L750" t="str">
        <f>_xlfn.XLOOKUP($D750,城市信息!$B$1:$B$14,城市信息!$A$1:$A$14)</f>
        <v>007</v>
      </c>
      <c r="M750" t="str">
        <f>_xlfn.XLOOKUP($D750,城市信息!$B$1:$B$14,城市信息!$C$1:$C$14)</f>
        <v>范俊发</v>
      </c>
      <c r="N750" t="str">
        <f>_xlfn.XLOOKUP($D750,城市信息!$B$1:$B$14,城市信息!$D$1:$D$14)</f>
        <v>一线</v>
      </c>
      <c r="O750">
        <f>_xlfn.XLOOKUP($D750,城市信息!$B$1:$B$14,城市信息!$E$1:$E$14)</f>
        <v>12358</v>
      </c>
      <c r="P750" cm="1">
        <f t="array" ref="P750:U750">_xlfn.XLOOKUP(A750&amp;B750,'[1]2.4自动化报表-8月获客数据-非乱码'!$A:$A&amp;'[1]2.4自动化报表-8月获客数据-非乱码'!$B:$B,'[1]2.4自动化报表-8月获客数据-非乱码'!$C:$H)</f>
        <v>2555</v>
      </c>
      <c r="Q750">
        <v>2517</v>
      </c>
      <c r="R750">
        <v>2444</v>
      </c>
      <c r="S750">
        <v>1485</v>
      </c>
      <c r="T750">
        <v>830</v>
      </c>
      <c r="U750">
        <v>689</v>
      </c>
    </row>
    <row r="751" spans="1:21" x14ac:dyDescent="0.3">
      <c r="A751" s="1">
        <v>44070</v>
      </c>
      <c r="B751" t="s">
        <v>5</v>
      </c>
      <c r="C751" t="s">
        <v>125</v>
      </c>
      <c r="D751" t="s">
        <v>62</v>
      </c>
      <c r="E751" t="s">
        <v>129</v>
      </c>
      <c r="F751" s="2">
        <v>146561</v>
      </c>
      <c r="G751" s="2">
        <v>7047</v>
      </c>
      <c r="H751" s="2">
        <v>35346</v>
      </c>
      <c r="I751" t="str">
        <f>_xlfn.XLOOKUP($C751,战区信息!$A$1:$A$5,战区信息!$B$1:$B$5)</f>
        <v>004</v>
      </c>
      <c r="J751" t="str">
        <f>_xlfn.XLOOKUP($C751,战区信息!$A$1:$A$5,战区信息!$C$1:$C$5)</f>
        <v>沈乐欣</v>
      </c>
      <c r="K751" t="str">
        <f>_xlfn.XLOOKUP($C751,战区信息!$A$1:$A$5,战区信息!$D$1:$D$5)</f>
        <v>三级战区</v>
      </c>
      <c r="L751" t="str">
        <f>_xlfn.XLOOKUP($D751,城市信息!$B$1:$B$14,城市信息!$A$1:$A$14)</f>
        <v>007</v>
      </c>
      <c r="M751" t="str">
        <f>_xlfn.XLOOKUP($D751,城市信息!$B$1:$B$14,城市信息!$C$1:$C$14)</f>
        <v>范俊发</v>
      </c>
      <c r="N751" t="str">
        <f>_xlfn.XLOOKUP($D751,城市信息!$B$1:$B$14,城市信息!$D$1:$D$14)</f>
        <v>一线</v>
      </c>
      <c r="O751">
        <f>_xlfn.XLOOKUP($D751,城市信息!$B$1:$B$14,城市信息!$E$1:$E$14)</f>
        <v>12358</v>
      </c>
      <c r="P751" cm="1">
        <f t="array" ref="P751:U751">_xlfn.XLOOKUP(A751&amp;B751,'[1]2.4自动化报表-8月获客数据-非乱码'!$A:$A&amp;'[1]2.4自动化报表-8月获客数据-非乱码'!$B:$B,'[1]2.4自动化报表-8月获客数据-非乱码'!$C:$H)</f>
        <v>2821</v>
      </c>
      <c r="Q751">
        <v>2765</v>
      </c>
      <c r="R751">
        <v>2652</v>
      </c>
      <c r="S751">
        <v>1645</v>
      </c>
      <c r="T751">
        <v>826</v>
      </c>
      <c r="U751">
        <v>690</v>
      </c>
    </row>
    <row r="752" spans="1:21" x14ac:dyDescent="0.3">
      <c r="A752" s="1">
        <v>44070</v>
      </c>
      <c r="B752" t="s">
        <v>33</v>
      </c>
      <c r="C752" t="s">
        <v>125</v>
      </c>
      <c r="D752" t="s">
        <v>62</v>
      </c>
      <c r="E752" t="s">
        <v>130</v>
      </c>
      <c r="F752" s="2">
        <v>14000</v>
      </c>
      <c r="G752">
        <v>583</v>
      </c>
      <c r="H752">
        <v>0</v>
      </c>
      <c r="I752" t="str">
        <f>_xlfn.XLOOKUP($C752,战区信息!$A$1:$A$5,战区信息!$B$1:$B$5)</f>
        <v>004</v>
      </c>
      <c r="J752" t="str">
        <f>_xlfn.XLOOKUP($C752,战区信息!$A$1:$A$5,战区信息!$C$1:$C$5)</f>
        <v>沈乐欣</v>
      </c>
      <c r="K752" t="str">
        <f>_xlfn.XLOOKUP($C752,战区信息!$A$1:$A$5,战区信息!$D$1:$D$5)</f>
        <v>三级战区</v>
      </c>
      <c r="L752" t="str">
        <f>_xlfn.XLOOKUP($D752,城市信息!$B$1:$B$14,城市信息!$A$1:$A$14)</f>
        <v>007</v>
      </c>
      <c r="M752" t="str">
        <f>_xlfn.XLOOKUP($D752,城市信息!$B$1:$B$14,城市信息!$C$1:$C$14)</f>
        <v>范俊发</v>
      </c>
      <c r="N752" t="str">
        <f>_xlfn.XLOOKUP($D752,城市信息!$B$1:$B$14,城市信息!$D$1:$D$14)</f>
        <v>一线</v>
      </c>
      <c r="O752">
        <f>_xlfn.XLOOKUP($D752,城市信息!$B$1:$B$14,城市信息!$E$1:$E$14)</f>
        <v>12358</v>
      </c>
      <c r="P752" cm="1">
        <f t="array" ref="P752:U752">_xlfn.XLOOKUP(A752&amp;B752,'[1]2.4自动化报表-8月获客数据-非乱码'!$A:$A&amp;'[1]2.4自动化报表-8月获客数据-非乱码'!$B:$B,'[1]2.4自动化报表-8月获客数据-非乱码'!$C:$H)</f>
        <v>207</v>
      </c>
      <c r="Q752">
        <v>204</v>
      </c>
      <c r="R752">
        <v>195</v>
      </c>
      <c r="S752">
        <v>121</v>
      </c>
      <c r="T752">
        <v>79</v>
      </c>
      <c r="U752">
        <v>696</v>
      </c>
    </row>
    <row r="753" spans="1:21" x14ac:dyDescent="0.3">
      <c r="A753" s="1">
        <v>44071</v>
      </c>
      <c r="B753" t="s">
        <v>32</v>
      </c>
      <c r="C753" t="s">
        <v>97</v>
      </c>
      <c r="D753" t="s">
        <v>67</v>
      </c>
      <c r="E753" t="s">
        <v>98</v>
      </c>
      <c r="F753" s="2">
        <v>92976</v>
      </c>
      <c r="G753" s="2">
        <v>4765</v>
      </c>
      <c r="H753" s="2">
        <v>2738</v>
      </c>
      <c r="I753" t="str">
        <f>_xlfn.XLOOKUP($C753,战区信息!$A$1:$A$5,战区信息!$B$1:$B$5)</f>
        <v>003</v>
      </c>
      <c r="J753" t="str">
        <f>_xlfn.XLOOKUP($C753,战区信息!$A$1:$A$5,战区信息!$C$1:$C$5)</f>
        <v>田楠</v>
      </c>
      <c r="K753" t="str">
        <f>_xlfn.XLOOKUP($C753,战区信息!$A$1:$A$5,战区信息!$D$1:$D$5)</f>
        <v>二级战区</v>
      </c>
      <c r="L753" t="str">
        <f>_xlfn.XLOOKUP($D753,城市信息!$B$1:$B$14,城市信息!$A$1:$A$14)</f>
        <v>012</v>
      </c>
      <c r="M753" t="str">
        <f>_xlfn.XLOOKUP($D753,城市信息!$B$1:$B$14,城市信息!$C$1:$C$14)</f>
        <v>于子默</v>
      </c>
      <c r="N753" t="str">
        <f>_xlfn.XLOOKUP($D753,城市信息!$B$1:$B$14,城市信息!$D$1:$D$14)</f>
        <v>二线</v>
      </c>
      <c r="O753">
        <f>_xlfn.XLOOKUP($D753,城市信息!$B$1:$B$14,城市信息!$E$1:$E$14)</f>
        <v>9713</v>
      </c>
      <c r="P753" cm="1">
        <f t="array" ref="P753:U753">_xlfn.XLOOKUP(A753&amp;B753,'[1]2.4自动化报表-8月获客数据-非乱码'!$A:$A&amp;'[1]2.4自动化报表-8月获客数据-非乱码'!$B:$B,'[1]2.4自动化报表-8月获客数据-非乱码'!$C:$H)</f>
        <v>2583</v>
      </c>
      <c r="Q753">
        <v>2540</v>
      </c>
      <c r="R753">
        <v>2470</v>
      </c>
      <c r="S753">
        <v>1542</v>
      </c>
      <c r="T753">
        <v>855</v>
      </c>
      <c r="U753">
        <v>690</v>
      </c>
    </row>
    <row r="754" spans="1:21" x14ac:dyDescent="0.3">
      <c r="A754" s="1">
        <v>44071</v>
      </c>
      <c r="B754" t="s">
        <v>31</v>
      </c>
      <c r="C754" t="s">
        <v>97</v>
      </c>
      <c r="D754" t="s">
        <v>65</v>
      </c>
      <c r="E754" t="s">
        <v>99</v>
      </c>
      <c r="F754" s="2">
        <v>96871</v>
      </c>
      <c r="G754" s="2">
        <v>6074</v>
      </c>
      <c r="H754">
        <v>0</v>
      </c>
      <c r="I754" t="str">
        <f>_xlfn.XLOOKUP($C754,战区信息!$A$1:$A$5,战区信息!$B$1:$B$5)</f>
        <v>003</v>
      </c>
      <c r="J754" t="str">
        <f>_xlfn.XLOOKUP($C754,战区信息!$A$1:$A$5,战区信息!$C$1:$C$5)</f>
        <v>田楠</v>
      </c>
      <c r="K754" t="str">
        <f>_xlfn.XLOOKUP($C754,战区信息!$A$1:$A$5,战区信息!$D$1:$D$5)</f>
        <v>二级战区</v>
      </c>
      <c r="L754" t="str">
        <f>_xlfn.XLOOKUP($D754,城市信息!$B$1:$B$14,城市信息!$A$1:$A$14)</f>
        <v>010</v>
      </c>
      <c r="M754" t="str">
        <f>_xlfn.XLOOKUP($D754,城市信息!$B$1:$B$14,城市信息!$C$1:$C$14)</f>
        <v>黄鹏天</v>
      </c>
      <c r="N754" t="str">
        <f>_xlfn.XLOOKUP($D754,城市信息!$B$1:$B$14,城市信息!$D$1:$D$14)</f>
        <v>二线</v>
      </c>
      <c r="O754">
        <f>_xlfn.XLOOKUP($D754,城市信息!$B$1:$B$14,城市信息!$E$1:$E$14)</f>
        <v>8295</v>
      </c>
      <c r="P754" cm="1">
        <f t="array" ref="P754:U754">_xlfn.XLOOKUP(A754&amp;B754,'[1]2.4自动化报表-8月获客数据-非乱码'!$A:$A&amp;'[1]2.4自动化报表-8月获客数据-非乱码'!$B:$B,'[1]2.4自动化报表-8月获客数据-非乱码'!$C:$H)</f>
        <v>3717</v>
      </c>
      <c r="Q754">
        <v>3652</v>
      </c>
      <c r="R754">
        <v>3534</v>
      </c>
      <c r="S754">
        <v>2135</v>
      </c>
      <c r="T754">
        <v>1196</v>
      </c>
      <c r="U754">
        <v>691</v>
      </c>
    </row>
    <row r="755" spans="1:21" x14ac:dyDescent="0.3">
      <c r="A755" s="1">
        <v>44071</v>
      </c>
      <c r="B755" t="s">
        <v>30</v>
      </c>
      <c r="C755" t="s">
        <v>97</v>
      </c>
      <c r="D755" t="s">
        <v>61</v>
      </c>
      <c r="E755" t="s">
        <v>100</v>
      </c>
      <c r="F755" s="2">
        <v>116031</v>
      </c>
      <c r="G755" s="2">
        <v>5551</v>
      </c>
      <c r="H755">
        <v>0</v>
      </c>
      <c r="I755" t="str">
        <f>_xlfn.XLOOKUP($C755,战区信息!$A$1:$A$5,战区信息!$B$1:$B$5)</f>
        <v>003</v>
      </c>
      <c r="J755" t="str">
        <f>_xlfn.XLOOKUP($C755,战区信息!$A$1:$A$5,战区信息!$C$1:$C$5)</f>
        <v>田楠</v>
      </c>
      <c r="K755" t="str">
        <f>_xlfn.XLOOKUP($C755,战区信息!$A$1:$A$5,战区信息!$D$1:$D$5)</f>
        <v>二级战区</v>
      </c>
      <c r="L755" t="str">
        <f>_xlfn.XLOOKUP($D755,城市信息!$B$1:$B$14,城市信息!$A$1:$A$14)</f>
        <v>006</v>
      </c>
      <c r="M755" t="str">
        <f>_xlfn.XLOOKUP($D755,城市信息!$B$1:$B$14,城市信息!$C$1:$C$14)</f>
        <v>王刚</v>
      </c>
      <c r="N755" t="str">
        <f>_xlfn.XLOOKUP($D755,城市信息!$B$1:$B$14,城市信息!$D$1:$D$14)</f>
        <v>二线</v>
      </c>
      <c r="O755">
        <f>_xlfn.XLOOKUP($D755,城市信息!$B$1:$B$14,城市信息!$E$1:$E$14)</f>
        <v>9107</v>
      </c>
      <c r="P755" cm="1">
        <f t="array" ref="P755:U755">_xlfn.XLOOKUP(A755&amp;B755,'[1]2.4自动化报表-8月获客数据-非乱码'!$A:$A&amp;'[1]2.4自动化报表-8月获客数据-非乱码'!$B:$B,'[1]2.4自动化报表-8月获客数据-非乱码'!$C:$H)</f>
        <v>3363</v>
      </c>
      <c r="Q755">
        <v>3303</v>
      </c>
      <c r="R755">
        <v>3178</v>
      </c>
      <c r="S755">
        <v>1994</v>
      </c>
      <c r="T755">
        <v>1080</v>
      </c>
      <c r="U755">
        <v>700</v>
      </c>
    </row>
    <row r="756" spans="1:21" x14ac:dyDescent="0.3">
      <c r="A756" s="1">
        <v>44071</v>
      </c>
      <c r="B756" t="s">
        <v>29</v>
      </c>
      <c r="C756" t="s">
        <v>97</v>
      </c>
      <c r="D756" t="s">
        <v>64</v>
      </c>
      <c r="E756" t="s">
        <v>101</v>
      </c>
      <c r="F756" s="2">
        <v>35877</v>
      </c>
      <c r="G756" s="2">
        <v>1954</v>
      </c>
      <c r="H756">
        <v>0</v>
      </c>
      <c r="I756" t="str">
        <f>_xlfn.XLOOKUP($C756,战区信息!$A$1:$A$5,战区信息!$B$1:$B$5)</f>
        <v>003</v>
      </c>
      <c r="J756" t="str">
        <f>_xlfn.XLOOKUP($C756,战区信息!$A$1:$A$5,战区信息!$C$1:$C$5)</f>
        <v>田楠</v>
      </c>
      <c r="K756" t="str">
        <f>_xlfn.XLOOKUP($C756,战区信息!$A$1:$A$5,战区信息!$D$1:$D$5)</f>
        <v>二级战区</v>
      </c>
      <c r="L756" t="str">
        <f>_xlfn.XLOOKUP($D756,城市信息!$B$1:$B$14,城市信息!$A$1:$A$14)</f>
        <v>009</v>
      </c>
      <c r="M756" t="str">
        <f>_xlfn.XLOOKUP($D756,城市信息!$B$1:$B$14,城市信息!$C$1:$C$14)</f>
        <v>叶超</v>
      </c>
      <c r="N756" t="str">
        <f>_xlfn.XLOOKUP($D756,城市信息!$B$1:$B$14,城市信息!$D$1:$D$14)</f>
        <v>二线</v>
      </c>
      <c r="O756">
        <f>_xlfn.XLOOKUP($D756,城市信息!$B$1:$B$14,城市信息!$E$1:$E$14)</f>
        <v>9016</v>
      </c>
      <c r="P756" cm="1">
        <f t="array" ref="P756:U756">_xlfn.XLOOKUP(A756&amp;B756,'[1]2.4自动化报表-8月获客数据-非乱码'!$A:$A&amp;'[1]2.4自动化报表-8月获客数据-非乱码'!$B:$B,'[1]2.4自动化报表-8月获客数据-非乱码'!$C:$H)</f>
        <v>2281</v>
      </c>
      <c r="Q756">
        <v>2226</v>
      </c>
      <c r="R756">
        <v>2147</v>
      </c>
      <c r="S756">
        <v>1395</v>
      </c>
      <c r="T756">
        <v>803</v>
      </c>
      <c r="U756">
        <v>692</v>
      </c>
    </row>
    <row r="757" spans="1:21" x14ac:dyDescent="0.3">
      <c r="A757" s="1">
        <v>44071</v>
      </c>
      <c r="B757" t="s">
        <v>28</v>
      </c>
      <c r="C757" t="s">
        <v>97</v>
      </c>
      <c r="D757" t="s">
        <v>64</v>
      </c>
      <c r="E757" t="s">
        <v>102</v>
      </c>
      <c r="F757" s="2">
        <v>10500</v>
      </c>
      <c r="G757">
        <v>437</v>
      </c>
      <c r="H757">
        <v>0</v>
      </c>
      <c r="I757" t="str">
        <f>_xlfn.XLOOKUP($C757,战区信息!$A$1:$A$5,战区信息!$B$1:$B$5)</f>
        <v>003</v>
      </c>
      <c r="J757" t="str">
        <f>_xlfn.XLOOKUP($C757,战区信息!$A$1:$A$5,战区信息!$C$1:$C$5)</f>
        <v>田楠</v>
      </c>
      <c r="K757" t="str">
        <f>_xlfn.XLOOKUP($C757,战区信息!$A$1:$A$5,战区信息!$D$1:$D$5)</f>
        <v>二级战区</v>
      </c>
      <c r="L757" t="str">
        <f>_xlfn.XLOOKUP($D757,城市信息!$B$1:$B$14,城市信息!$A$1:$A$14)</f>
        <v>009</v>
      </c>
      <c r="M757" t="str">
        <f>_xlfn.XLOOKUP($D757,城市信息!$B$1:$B$14,城市信息!$C$1:$C$14)</f>
        <v>叶超</v>
      </c>
      <c r="N757" t="str">
        <f>_xlfn.XLOOKUP($D757,城市信息!$B$1:$B$14,城市信息!$D$1:$D$14)</f>
        <v>二线</v>
      </c>
      <c r="O757">
        <f>_xlfn.XLOOKUP($D757,城市信息!$B$1:$B$14,城市信息!$E$1:$E$14)</f>
        <v>9016</v>
      </c>
      <c r="P757" cm="1">
        <f t="array" ref="P757:U757">_xlfn.XLOOKUP(A757&amp;B757,'[1]2.4自动化报表-8月获客数据-非乱码'!$A:$A&amp;'[1]2.4自动化报表-8月获客数据-非乱码'!$B:$B,'[1]2.4自动化报表-8月获客数据-非乱码'!$C:$H)</f>
        <v>672</v>
      </c>
      <c r="Q757">
        <v>662</v>
      </c>
      <c r="R757">
        <v>643</v>
      </c>
      <c r="S757">
        <v>443</v>
      </c>
      <c r="T757">
        <v>209</v>
      </c>
      <c r="U757">
        <v>692</v>
      </c>
    </row>
    <row r="758" spans="1:21" x14ac:dyDescent="0.3">
      <c r="A758" s="1">
        <v>44071</v>
      </c>
      <c r="B758" t="s">
        <v>27</v>
      </c>
      <c r="C758" t="s">
        <v>103</v>
      </c>
      <c r="D758" t="s">
        <v>63</v>
      </c>
      <c r="E758" t="s">
        <v>104</v>
      </c>
      <c r="F758" s="2">
        <v>173913</v>
      </c>
      <c r="G758" s="2">
        <v>8761</v>
      </c>
      <c r="H758" s="2">
        <v>1100</v>
      </c>
      <c r="I758" t="str">
        <f>_xlfn.XLOOKUP($C758,战区信息!$A$1:$A$5,战区信息!$B$1:$B$5)</f>
        <v>002</v>
      </c>
      <c r="J758" t="str">
        <f>_xlfn.XLOOKUP($C758,战区信息!$A$1:$A$5,战区信息!$C$1:$C$5)</f>
        <v>高安平</v>
      </c>
      <c r="K758" t="str">
        <f>_xlfn.XLOOKUP($C758,战区信息!$A$1:$A$5,战区信息!$D$1:$D$5)</f>
        <v>二级战区</v>
      </c>
      <c r="L758" t="str">
        <f>_xlfn.XLOOKUP($D758,城市信息!$B$1:$B$14,城市信息!$A$1:$A$14)</f>
        <v>008</v>
      </c>
      <c r="M758" t="str">
        <f>_xlfn.XLOOKUP($D758,城市信息!$B$1:$B$14,城市信息!$C$1:$C$14)</f>
        <v>高弘壮</v>
      </c>
      <c r="N758" t="str">
        <f>_xlfn.XLOOKUP($D758,城市信息!$B$1:$B$14,城市信息!$D$1:$D$14)</f>
        <v>一线</v>
      </c>
      <c r="O758">
        <f>_xlfn.XLOOKUP($D758,城市信息!$B$1:$B$14,城市信息!$E$1:$E$14)</f>
        <v>11498</v>
      </c>
      <c r="P758" cm="1">
        <f t="array" ref="P758:U758">_xlfn.XLOOKUP(A758&amp;B758,'[1]2.4自动化报表-8月获客数据-非乱码'!$A:$A&amp;'[1]2.4自动化报表-8月获客数据-非乱码'!$B:$B,'[1]2.4自动化报表-8月获客数据-非乱码'!$C:$H)</f>
        <v>3823</v>
      </c>
      <c r="Q758">
        <v>3708</v>
      </c>
      <c r="R758">
        <v>3535</v>
      </c>
      <c r="S758">
        <v>2103</v>
      </c>
      <c r="T758">
        <v>1122</v>
      </c>
      <c r="U758">
        <v>689</v>
      </c>
    </row>
    <row r="759" spans="1:21" x14ac:dyDescent="0.3">
      <c r="A759" s="1">
        <v>44071</v>
      </c>
      <c r="B759" t="s">
        <v>26</v>
      </c>
      <c r="C759" t="s">
        <v>103</v>
      </c>
      <c r="D759" t="s">
        <v>57</v>
      </c>
      <c r="E759" t="s">
        <v>105</v>
      </c>
      <c r="F759" s="2">
        <v>403765</v>
      </c>
      <c r="G759" s="2">
        <v>19203</v>
      </c>
      <c r="H759" s="2">
        <v>12215</v>
      </c>
      <c r="I759" t="str">
        <f>_xlfn.XLOOKUP($C759,战区信息!$A$1:$A$5,战区信息!$B$1:$B$5)</f>
        <v>002</v>
      </c>
      <c r="J759" t="str">
        <f>_xlfn.XLOOKUP($C759,战区信息!$A$1:$A$5,战区信息!$C$1:$C$5)</f>
        <v>高安平</v>
      </c>
      <c r="K759" t="str">
        <f>_xlfn.XLOOKUP($C759,战区信息!$A$1:$A$5,战区信息!$D$1:$D$5)</f>
        <v>二级战区</v>
      </c>
      <c r="L759" t="str">
        <f>_xlfn.XLOOKUP($D759,城市信息!$B$1:$B$14,城市信息!$A$1:$A$14)</f>
        <v>002</v>
      </c>
      <c r="M759" t="str">
        <f>_xlfn.XLOOKUP($D759,城市信息!$B$1:$B$14,城市信息!$C$1:$C$14)</f>
        <v>孙乒</v>
      </c>
      <c r="N759" t="str">
        <f>_xlfn.XLOOKUP($D759,城市信息!$B$1:$B$14,城市信息!$D$1:$D$14)</f>
        <v>一线</v>
      </c>
      <c r="O759">
        <f>_xlfn.XLOOKUP($D759,城市信息!$B$1:$B$14,城市信息!$E$1:$E$14)</f>
        <v>9854</v>
      </c>
      <c r="P759" cm="1">
        <f t="array" ref="P759:U759">_xlfn.XLOOKUP(A759&amp;B759,'[1]2.4自动化报表-8月获客数据-非乱码'!$A:$A&amp;'[1]2.4自动化报表-8月获客数据-非乱码'!$B:$B,'[1]2.4自动化报表-8月获客数据-非乱码'!$C:$H)</f>
        <v>7186</v>
      </c>
      <c r="Q759">
        <v>7024</v>
      </c>
      <c r="R759">
        <v>6744</v>
      </c>
      <c r="S759">
        <v>4132</v>
      </c>
      <c r="T759">
        <v>2324</v>
      </c>
      <c r="U759">
        <v>688</v>
      </c>
    </row>
    <row r="760" spans="1:21" x14ac:dyDescent="0.3">
      <c r="A760" s="1">
        <v>44071</v>
      </c>
      <c r="B760" t="s">
        <v>25</v>
      </c>
      <c r="C760" t="s">
        <v>103</v>
      </c>
      <c r="D760" t="s">
        <v>57</v>
      </c>
      <c r="E760" t="s">
        <v>106</v>
      </c>
      <c r="F760" s="2">
        <v>248884</v>
      </c>
      <c r="G760" s="2">
        <v>12174</v>
      </c>
      <c r="H760" s="2">
        <v>1007</v>
      </c>
      <c r="I760" t="str">
        <f>_xlfn.XLOOKUP($C760,战区信息!$A$1:$A$5,战区信息!$B$1:$B$5)</f>
        <v>002</v>
      </c>
      <c r="J760" t="str">
        <f>_xlfn.XLOOKUP($C760,战区信息!$A$1:$A$5,战区信息!$C$1:$C$5)</f>
        <v>高安平</v>
      </c>
      <c r="K760" t="str">
        <f>_xlfn.XLOOKUP($C760,战区信息!$A$1:$A$5,战区信息!$D$1:$D$5)</f>
        <v>二级战区</v>
      </c>
      <c r="L760" t="str">
        <f>_xlfn.XLOOKUP($D760,城市信息!$B$1:$B$14,城市信息!$A$1:$A$14)</f>
        <v>002</v>
      </c>
      <c r="M760" t="str">
        <f>_xlfn.XLOOKUP($D760,城市信息!$B$1:$B$14,城市信息!$C$1:$C$14)</f>
        <v>孙乒</v>
      </c>
      <c r="N760" t="str">
        <f>_xlfn.XLOOKUP($D760,城市信息!$B$1:$B$14,城市信息!$D$1:$D$14)</f>
        <v>一线</v>
      </c>
      <c r="O760">
        <f>_xlfn.XLOOKUP($D760,城市信息!$B$1:$B$14,城市信息!$E$1:$E$14)</f>
        <v>9854</v>
      </c>
      <c r="P760" cm="1">
        <f t="array" ref="P760:U760">_xlfn.XLOOKUP(A760&amp;B760,'[1]2.4自动化报表-8月获客数据-非乱码'!$A:$A&amp;'[1]2.4自动化报表-8月获客数据-非乱码'!$B:$B,'[1]2.4自动化报表-8月获客数据-非乱码'!$C:$H)</f>
        <v>3843</v>
      </c>
      <c r="Q760">
        <v>3731</v>
      </c>
      <c r="R760">
        <v>3538</v>
      </c>
      <c r="S760">
        <v>2120</v>
      </c>
      <c r="T760">
        <v>1235</v>
      </c>
      <c r="U760">
        <v>689</v>
      </c>
    </row>
    <row r="761" spans="1:21" x14ac:dyDescent="0.3">
      <c r="A761" s="1">
        <v>44071</v>
      </c>
      <c r="B761" t="s">
        <v>24</v>
      </c>
      <c r="C761" t="s">
        <v>103</v>
      </c>
      <c r="D761" t="s">
        <v>57</v>
      </c>
      <c r="E761" t="s">
        <v>107</v>
      </c>
      <c r="F761" s="2">
        <v>246374</v>
      </c>
      <c r="G761" s="2">
        <v>14958</v>
      </c>
      <c r="H761" s="2">
        <v>7380</v>
      </c>
      <c r="I761" t="str">
        <f>_xlfn.XLOOKUP($C761,战区信息!$A$1:$A$5,战区信息!$B$1:$B$5)</f>
        <v>002</v>
      </c>
      <c r="J761" t="str">
        <f>_xlfn.XLOOKUP($C761,战区信息!$A$1:$A$5,战区信息!$C$1:$C$5)</f>
        <v>高安平</v>
      </c>
      <c r="K761" t="str">
        <f>_xlfn.XLOOKUP($C761,战区信息!$A$1:$A$5,战区信息!$D$1:$D$5)</f>
        <v>二级战区</v>
      </c>
      <c r="L761" t="str">
        <f>_xlfn.XLOOKUP($D761,城市信息!$B$1:$B$14,城市信息!$A$1:$A$14)</f>
        <v>002</v>
      </c>
      <c r="M761" t="str">
        <f>_xlfn.XLOOKUP($D761,城市信息!$B$1:$B$14,城市信息!$C$1:$C$14)</f>
        <v>孙乒</v>
      </c>
      <c r="N761" t="str">
        <f>_xlfn.XLOOKUP($D761,城市信息!$B$1:$B$14,城市信息!$D$1:$D$14)</f>
        <v>一线</v>
      </c>
      <c r="O761">
        <f>_xlfn.XLOOKUP($D761,城市信息!$B$1:$B$14,城市信息!$E$1:$E$14)</f>
        <v>9854</v>
      </c>
      <c r="P761" cm="1">
        <f t="array" ref="P761:U761">_xlfn.XLOOKUP(A761&amp;B761,'[1]2.4自动化报表-8月获客数据-非乱码'!$A:$A&amp;'[1]2.4自动化报表-8月获客数据-非乱码'!$B:$B,'[1]2.4自动化报表-8月获客数据-非乱码'!$C:$H)</f>
        <v>4769</v>
      </c>
      <c r="Q761">
        <v>4672</v>
      </c>
      <c r="R761">
        <v>4468</v>
      </c>
      <c r="S761">
        <v>2745</v>
      </c>
      <c r="T761">
        <v>1595</v>
      </c>
      <c r="U761">
        <v>691</v>
      </c>
    </row>
    <row r="762" spans="1:21" x14ac:dyDescent="0.3">
      <c r="A762" s="1">
        <v>44071</v>
      </c>
      <c r="B762" t="s">
        <v>23</v>
      </c>
      <c r="C762" t="s">
        <v>108</v>
      </c>
      <c r="D762" t="s">
        <v>109</v>
      </c>
      <c r="E762" t="s">
        <v>110</v>
      </c>
      <c r="F762" s="2">
        <v>286298</v>
      </c>
      <c r="G762" s="2">
        <v>12577</v>
      </c>
      <c r="H762" s="2">
        <v>4612</v>
      </c>
      <c r="I762" t="str">
        <f>_xlfn.XLOOKUP($C762,战区信息!$A$1:$A$5,战区信息!$B$1:$B$5)</f>
        <v>001</v>
      </c>
      <c r="J762" t="str">
        <f>_xlfn.XLOOKUP($C762,战区信息!$A$1:$A$5,战区信息!$C$1:$C$5)</f>
        <v>江永</v>
      </c>
      <c r="K762" t="str">
        <f>_xlfn.XLOOKUP($C762,战区信息!$A$1:$A$5,战区信息!$D$1:$D$5)</f>
        <v>一级战区</v>
      </c>
      <c r="L762" t="str">
        <f>_xlfn.XLOOKUP($D762,城市信息!$B$1:$B$14,城市信息!$A$1:$A$14)</f>
        <v>013</v>
      </c>
      <c r="M762" t="str">
        <f>_xlfn.XLOOKUP($D762,城市信息!$B$1:$B$14,城市信息!$C$1:$C$14)</f>
        <v>张建</v>
      </c>
      <c r="N762" t="str">
        <f>_xlfn.XLOOKUP($D762,城市信息!$B$1:$B$14,城市信息!$D$1:$D$14)</f>
        <v>二线</v>
      </c>
      <c r="O762">
        <f>_xlfn.XLOOKUP($D762,城市信息!$B$1:$B$14,城市信息!$E$1:$E$14)</f>
        <v>8800</v>
      </c>
      <c r="P762" cm="1">
        <f t="array" ref="P762:U762">_xlfn.XLOOKUP(A762&amp;B762,'[1]2.4自动化报表-8月获客数据-非乱码'!$A:$A&amp;'[1]2.4自动化报表-8月获客数据-非乱码'!$B:$B,'[1]2.4自动化报表-8月获客数据-非乱码'!$C:$H)</f>
        <v>6604</v>
      </c>
      <c r="Q762">
        <v>6366</v>
      </c>
      <c r="R762">
        <v>6050</v>
      </c>
      <c r="S762">
        <v>3658</v>
      </c>
      <c r="T762">
        <v>1884</v>
      </c>
      <c r="U762">
        <v>695</v>
      </c>
    </row>
    <row r="763" spans="1:21" x14ac:dyDescent="0.3">
      <c r="A763" s="1">
        <v>44071</v>
      </c>
      <c r="B763" t="s">
        <v>21</v>
      </c>
      <c r="C763" t="s">
        <v>108</v>
      </c>
      <c r="D763" t="s">
        <v>109</v>
      </c>
      <c r="E763" t="s">
        <v>112</v>
      </c>
      <c r="F763" s="2">
        <v>283437</v>
      </c>
      <c r="G763" s="2">
        <v>14785</v>
      </c>
      <c r="H763">
        <v>0</v>
      </c>
      <c r="I763" t="str">
        <f>_xlfn.XLOOKUP($C763,战区信息!$A$1:$A$5,战区信息!$B$1:$B$5)</f>
        <v>001</v>
      </c>
      <c r="J763" t="str">
        <f>_xlfn.XLOOKUP($C763,战区信息!$A$1:$A$5,战区信息!$C$1:$C$5)</f>
        <v>江永</v>
      </c>
      <c r="K763" t="str">
        <f>_xlfn.XLOOKUP($C763,战区信息!$A$1:$A$5,战区信息!$D$1:$D$5)</f>
        <v>一级战区</v>
      </c>
      <c r="L763" t="str">
        <f>_xlfn.XLOOKUP($D763,城市信息!$B$1:$B$14,城市信息!$A$1:$A$14)</f>
        <v>013</v>
      </c>
      <c r="M763" t="str">
        <f>_xlfn.XLOOKUP($D763,城市信息!$B$1:$B$14,城市信息!$C$1:$C$14)</f>
        <v>张建</v>
      </c>
      <c r="N763" t="str">
        <f>_xlfn.XLOOKUP($D763,城市信息!$B$1:$B$14,城市信息!$D$1:$D$14)</f>
        <v>二线</v>
      </c>
      <c r="O763">
        <f>_xlfn.XLOOKUP($D763,城市信息!$B$1:$B$14,城市信息!$E$1:$E$14)</f>
        <v>8800</v>
      </c>
      <c r="P763" cm="1">
        <f t="array" ref="P763:U763">_xlfn.XLOOKUP(A763&amp;B763,'[1]2.4自动化报表-8月获客数据-非乱码'!$A:$A&amp;'[1]2.4自动化报表-8月获客数据-非乱码'!$B:$B,'[1]2.4自动化报表-8月获客数据-非乱码'!$C:$H)</f>
        <v>5741</v>
      </c>
      <c r="Q763">
        <v>5533</v>
      </c>
      <c r="R763">
        <v>5272</v>
      </c>
      <c r="S763">
        <v>3044</v>
      </c>
      <c r="T763">
        <v>1722</v>
      </c>
      <c r="U763">
        <v>695</v>
      </c>
    </row>
    <row r="764" spans="1:21" x14ac:dyDescent="0.3">
      <c r="A764" s="1">
        <v>44071</v>
      </c>
      <c r="B764" t="s">
        <v>20</v>
      </c>
      <c r="C764" t="s">
        <v>108</v>
      </c>
      <c r="D764" t="s">
        <v>56</v>
      </c>
      <c r="E764" t="s">
        <v>113</v>
      </c>
      <c r="F764" s="2">
        <v>259867</v>
      </c>
      <c r="G764" s="2">
        <v>12113</v>
      </c>
      <c r="H764">
        <v>828</v>
      </c>
      <c r="I764" t="str">
        <f>_xlfn.XLOOKUP($C764,战区信息!$A$1:$A$5,战区信息!$B$1:$B$5)</f>
        <v>001</v>
      </c>
      <c r="J764" t="str">
        <f>_xlfn.XLOOKUP($C764,战区信息!$A$1:$A$5,战区信息!$C$1:$C$5)</f>
        <v>江永</v>
      </c>
      <c r="K764" t="str">
        <f>_xlfn.XLOOKUP($C764,战区信息!$A$1:$A$5,战区信息!$D$1:$D$5)</f>
        <v>一级战区</v>
      </c>
      <c r="L764" t="str">
        <f>_xlfn.XLOOKUP($D764,城市信息!$B$1:$B$14,城市信息!$A$1:$A$14)</f>
        <v>001</v>
      </c>
      <c r="M764" t="str">
        <f>_xlfn.XLOOKUP($D764,城市信息!$B$1:$B$14,城市信息!$C$1:$C$14)</f>
        <v>吴刚</v>
      </c>
      <c r="N764" t="str">
        <f>_xlfn.XLOOKUP($D764,城市信息!$B$1:$B$14,城市信息!$D$1:$D$14)</f>
        <v>一线</v>
      </c>
      <c r="O764">
        <f>_xlfn.XLOOKUP($D764,城市信息!$B$1:$B$14,城市信息!$E$1:$E$14)</f>
        <v>12114</v>
      </c>
      <c r="P764" cm="1">
        <f t="array" ref="P764:U764">_xlfn.XLOOKUP(A764&amp;B764,'[1]2.4自动化报表-8月获客数据-非乱码'!$A:$A&amp;'[1]2.4自动化报表-8月获客数据-非乱码'!$B:$B,'[1]2.4自动化报表-8月获客数据-非乱码'!$C:$H)</f>
        <v>5142</v>
      </c>
      <c r="Q764">
        <v>4962</v>
      </c>
      <c r="R764">
        <v>4756</v>
      </c>
      <c r="S764">
        <v>2860</v>
      </c>
      <c r="T764">
        <v>1612</v>
      </c>
      <c r="U764">
        <v>695</v>
      </c>
    </row>
    <row r="765" spans="1:21" x14ac:dyDescent="0.3">
      <c r="A765" s="1">
        <v>44071</v>
      </c>
      <c r="B765" t="s">
        <v>19</v>
      </c>
      <c r="C765" t="s">
        <v>108</v>
      </c>
      <c r="D765" t="s">
        <v>56</v>
      </c>
      <c r="E765" t="s">
        <v>114</v>
      </c>
      <c r="F765" s="2">
        <v>146503</v>
      </c>
      <c r="G765" s="2">
        <v>7000</v>
      </c>
      <c r="H765">
        <v>0</v>
      </c>
      <c r="I765" t="str">
        <f>_xlfn.XLOOKUP($C765,战区信息!$A$1:$A$5,战区信息!$B$1:$B$5)</f>
        <v>001</v>
      </c>
      <c r="J765" t="str">
        <f>_xlfn.XLOOKUP($C765,战区信息!$A$1:$A$5,战区信息!$C$1:$C$5)</f>
        <v>江永</v>
      </c>
      <c r="K765" t="str">
        <f>_xlfn.XLOOKUP($C765,战区信息!$A$1:$A$5,战区信息!$D$1:$D$5)</f>
        <v>一级战区</v>
      </c>
      <c r="L765" t="str">
        <f>_xlfn.XLOOKUP($D765,城市信息!$B$1:$B$14,城市信息!$A$1:$A$14)</f>
        <v>001</v>
      </c>
      <c r="M765" t="str">
        <f>_xlfn.XLOOKUP($D765,城市信息!$B$1:$B$14,城市信息!$C$1:$C$14)</f>
        <v>吴刚</v>
      </c>
      <c r="N765" t="str">
        <f>_xlfn.XLOOKUP($D765,城市信息!$B$1:$B$14,城市信息!$D$1:$D$14)</f>
        <v>一线</v>
      </c>
      <c r="O765">
        <f>_xlfn.XLOOKUP($D765,城市信息!$B$1:$B$14,城市信息!$E$1:$E$14)</f>
        <v>12114</v>
      </c>
      <c r="P765" cm="1">
        <f t="array" ref="P765:U765">_xlfn.XLOOKUP(A765&amp;B765,'[1]2.4自动化报表-8月获客数据-非乱码'!$A:$A&amp;'[1]2.4自动化报表-8月获客数据-非乱码'!$B:$B,'[1]2.4自动化报表-8月获客数据-非乱码'!$C:$H)</f>
        <v>2504</v>
      </c>
      <c r="Q765">
        <v>2425</v>
      </c>
      <c r="R765">
        <v>2335</v>
      </c>
      <c r="S765">
        <v>1432</v>
      </c>
      <c r="T765">
        <v>900</v>
      </c>
      <c r="U765">
        <v>699</v>
      </c>
    </row>
    <row r="766" spans="1:21" x14ac:dyDescent="0.3">
      <c r="A766" s="1">
        <v>44071</v>
      </c>
      <c r="B766" t="s">
        <v>18</v>
      </c>
      <c r="C766" t="s">
        <v>108</v>
      </c>
      <c r="D766" t="s">
        <v>56</v>
      </c>
      <c r="E766" t="s">
        <v>115</v>
      </c>
      <c r="F766" s="2">
        <v>82581</v>
      </c>
      <c r="G766" s="2">
        <v>3647</v>
      </c>
      <c r="H766" s="2">
        <v>2097</v>
      </c>
      <c r="I766" t="str">
        <f>_xlfn.XLOOKUP($C766,战区信息!$A$1:$A$5,战区信息!$B$1:$B$5)</f>
        <v>001</v>
      </c>
      <c r="J766" t="str">
        <f>_xlfn.XLOOKUP($C766,战区信息!$A$1:$A$5,战区信息!$C$1:$C$5)</f>
        <v>江永</v>
      </c>
      <c r="K766" t="str">
        <f>_xlfn.XLOOKUP($C766,战区信息!$A$1:$A$5,战区信息!$D$1:$D$5)</f>
        <v>一级战区</v>
      </c>
      <c r="L766" t="str">
        <f>_xlfn.XLOOKUP($D766,城市信息!$B$1:$B$14,城市信息!$A$1:$A$14)</f>
        <v>001</v>
      </c>
      <c r="M766" t="str">
        <f>_xlfn.XLOOKUP($D766,城市信息!$B$1:$B$14,城市信息!$C$1:$C$14)</f>
        <v>吴刚</v>
      </c>
      <c r="N766" t="str">
        <f>_xlfn.XLOOKUP($D766,城市信息!$B$1:$B$14,城市信息!$D$1:$D$14)</f>
        <v>一线</v>
      </c>
      <c r="O766">
        <f>_xlfn.XLOOKUP($D766,城市信息!$B$1:$B$14,城市信息!$E$1:$E$14)</f>
        <v>12114</v>
      </c>
      <c r="P766" cm="1">
        <f t="array" ref="P766:U766">_xlfn.XLOOKUP(A766&amp;B766,'[1]2.4自动化报表-8月获客数据-非乱码'!$A:$A&amp;'[1]2.4自动化报表-8月获客数据-非乱码'!$B:$B,'[1]2.4自动化报表-8月获客数据-非乱码'!$C:$H)</f>
        <v>2748</v>
      </c>
      <c r="Q766">
        <v>2703</v>
      </c>
      <c r="R766">
        <v>2586</v>
      </c>
      <c r="S766">
        <v>1549</v>
      </c>
      <c r="T766">
        <v>838</v>
      </c>
      <c r="U766">
        <v>691</v>
      </c>
    </row>
    <row r="767" spans="1:21" x14ac:dyDescent="0.3">
      <c r="A767" s="1">
        <v>44071</v>
      </c>
      <c r="B767" t="s">
        <v>17</v>
      </c>
      <c r="C767" t="s">
        <v>108</v>
      </c>
      <c r="D767" t="s">
        <v>59</v>
      </c>
      <c r="E767" t="s">
        <v>116</v>
      </c>
      <c r="F767" s="2">
        <v>92242</v>
      </c>
      <c r="G767" s="2">
        <v>4164</v>
      </c>
      <c r="H767" s="2">
        <v>9224</v>
      </c>
      <c r="I767" t="str">
        <f>_xlfn.XLOOKUP($C767,战区信息!$A$1:$A$5,战区信息!$B$1:$B$5)</f>
        <v>001</v>
      </c>
      <c r="J767" t="str">
        <f>_xlfn.XLOOKUP($C767,战区信息!$A$1:$A$5,战区信息!$C$1:$C$5)</f>
        <v>江永</v>
      </c>
      <c r="K767" t="str">
        <f>_xlfn.XLOOKUP($C767,战区信息!$A$1:$A$5,战区信息!$D$1:$D$5)</f>
        <v>一级战区</v>
      </c>
      <c r="L767" t="str">
        <f>_xlfn.XLOOKUP($D767,城市信息!$B$1:$B$14,城市信息!$A$1:$A$14)</f>
        <v>004</v>
      </c>
      <c r="M767" t="str">
        <f>_xlfn.XLOOKUP($D767,城市信息!$B$1:$B$14,城市信息!$C$1:$C$14)</f>
        <v>苏川</v>
      </c>
      <c r="N767" t="str">
        <f>_xlfn.XLOOKUP($D767,城市信息!$B$1:$B$14,城市信息!$D$1:$D$14)</f>
        <v>二线</v>
      </c>
      <c r="O767">
        <f>_xlfn.XLOOKUP($D767,城市信息!$B$1:$B$14,城市信息!$E$1:$E$14)</f>
        <v>9912</v>
      </c>
      <c r="P767" cm="1">
        <f t="array" ref="P767:U767">_xlfn.XLOOKUP(A767&amp;B767,'[1]2.4自动化报表-8月获客数据-非乱码'!$A:$A&amp;'[1]2.4自动化报表-8月获客数据-非乱码'!$B:$B,'[1]2.4自动化报表-8月获客数据-非乱码'!$C:$H)</f>
        <v>2956</v>
      </c>
      <c r="Q767">
        <v>2895</v>
      </c>
      <c r="R767">
        <v>2809</v>
      </c>
      <c r="S767">
        <v>1610</v>
      </c>
      <c r="T767">
        <v>931</v>
      </c>
      <c r="U767">
        <v>696</v>
      </c>
    </row>
    <row r="768" spans="1:21" x14ac:dyDescent="0.3">
      <c r="A768" s="1">
        <v>44071</v>
      </c>
      <c r="B768" t="s">
        <v>16</v>
      </c>
      <c r="C768" t="s">
        <v>108</v>
      </c>
      <c r="D768" t="s">
        <v>59</v>
      </c>
      <c r="E768" t="s">
        <v>117</v>
      </c>
      <c r="F768" s="2">
        <v>166380</v>
      </c>
      <c r="G768" s="2">
        <v>8358</v>
      </c>
      <c r="H768">
        <v>0</v>
      </c>
      <c r="I768" t="str">
        <f>_xlfn.XLOOKUP($C768,战区信息!$A$1:$A$5,战区信息!$B$1:$B$5)</f>
        <v>001</v>
      </c>
      <c r="J768" t="str">
        <f>_xlfn.XLOOKUP($C768,战区信息!$A$1:$A$5,战区信息!$C$1:$C$5)</f>
        <v>江永</v>
      </c>
      <c r="K768" t="str">
        <f>_xlfn.XLOOKUP($C768,战区信息!$A$1:$A$5,战区信息!$D$1:$D$5)</f>
        <v>一级战区</v>
      </c>
      <c r="L768" t="str">
        <f>_xlfn.XLOOKUP($D768,城市信息!$B$1:$B$14,城市信息!$A$1:$A$14)</f>
        <v>004</v>
      </c>
      <c r="M768" t="str">
        <f>_xlfn.XLOOKUP($D768,城市信息!$B$1:$B$14,城市信息!$C$1:$C$14)</f>
        <v>苏川</v>
      </c>
      <c r="N768" t="str">
        <f>_xlfn.XLOOKUP($D768,城市信息!$B$1:$B$14,城市信息!$D$1:$D$14)</f>
        <v>二线</v>
      </c>
      <c r="O768">
        <f>_xlfn.XLOOKUP($D768,城市信息!$B$1:$B$14,城市信息!$E$1:$E$14)</f>
        <v>9912</v>
      </c>
      <c r="P768" cm="1">
        <f t="array" ref="P768:U768">_xlfn.XLOOKUP(A768&amp;B768,'[1]2.4自动化报表-8月获客数据-非乱码'!$A:$A&amp;'[1]2.4自动化报表-8月获客数据-非乱码'!$B:$B,'[1]2.4自动化报表-8月获客数据-非乱码'!$C:$H)</f>
        <v>2610</v>
      </c>
      <c r="Q768">
        <v>2528</v>
      </c>
      <c r="R768">
        <v>2411</v>
      </c>
      <c r="S768">
        <v>1402</v>
      </c>
      <c r="T768">
        <v>776</v>
      </c>
      <c r="U768">
        <v>696</v>
      </c>
    </row>
    <row r="769" spans="1:21" x14ac:dyDescent="0.3">
      <c r="A769" s="1">
        <v>44071</v>
      </c>
      <c r="B769" t="s">
        <v>15</v>
      </c>
      <c r="C769" t="s">
        <v>108</v>
      </c>
      <c r="D769" t="s">
        <v>59</v>
      </c>
      <c r="E769" t="s">
        <v>118</v>
      </c>
      <c r="F769" s="2">
        <v>55002</v>
      </c>
      <c r="G769" s="2">
        <v>2659</v>
      </c>
      <c r="H769">
        <v>0</v>
      </c>
      <c r="I769" t="str">
        <f>_xlfn.XLOOKUP($C769,战区信息!$A$1:$A$5,战区信息!$B$1:$B$5)</f>
        <v>001</v>
      </c>
      <c r="J769" t="str">
        <f>_xlfn.XLOOKUP($C769,战区信息!$A$1:$A$5,战区信息!$C$1:$C$5)</f>
        <v>江永</v>
      </c>
      <c r="K769" t="str">
        <f>_xlfn.XLOOKUP($C769,战区信息!$A$1:$A$5,战区信息!$D$1:$D$5)</f>
        <v>一级战区</v>
      </c>
      <c r="L769" t="str">
        <f>_xlfn.XLOOKUP($D769,城市信息!$B$1:$B$14,城市信息!$A$1:$A$14)</f>
        <v>004</v>
      </c>
      <c r="M769" t="str">
        <f>_xlfn.XLOOKUP($D769,城市信息!$B$1:$B$14,城市信息!$C$1:$C$14)</f>
        <v>苏川</v>
      </c>
      <c r="N769" t="str">
        <f>_xlfn.XLOOKUP($D769,城市信息!$B$1:$B$14,城市信息!$D$1:$D$14)</f>
        <v>二线</v>
      </c>
      <c r="O769">
        <f>_xlfn.XLOOKUP($D769,城市信息!$B$1:$B$14,城市信息!$E$1:$E$14)</f>
        <v>9912</v>
      </c>
      <c r="P769" cm="1">
        <f t="array" ref="P769:U769">_xlfn.XLOOKUP(A769&amp;B769,'[1]2.4自动化报表-8月获客数据-非乱码'!$A:$A&amp;'[1]2.4自动化报表-8月获客数据-非乱码'!$B:$B,'[1]2.4自动化报表-8月获客数据-非乱码'!$C:$H)</f>
        <v>2844</v>
      </c>
      <c r="Q769">
        <v>2795</v>
      </c>
      <c r="R769">
        <v>2686</v>
      </c>
      <c r="S769">
        <v>1622</v>
      </c>
      <c r="T769">
        <v>805</v>
      </c>
      <c r="U769">
        <v>697</v>
      </c>
    </row>
    <row r="770" spans="1:21" x14ac:dyDescent="0.3">
      <c r="A770" s="1">
        <v>44071</v>
      </c>
      <c r="B770" t="s">
        <v>14</v>
      </c>
      <c r="C770" t="s">
        <v>108</v>
      </c>
      <c r="D770" t="s">
        <v>59</v>
      </c>
      <c r="E770" t="s">
        <v>119</v>
      </c>
      <c r="F770" s="2">
        <v>42599</v>
      </c>
      <c r="G770" s="2">
        <v>2080</v>
      </c>
      <c r="H770">
        <v>0</v>
      </c>
      <c r="I770" t="str">
        <f>_xlfn.XLOOKUP($C770,战区信息!$A$1:$A$5,战区信息!$B$1:$B$5)</f>
        <v>001</v>
      </c>
      <c r="J770" t="str">
        <f>_xlfn.XLOOKUP($C770,战区信息!$A$1:$A$5,战区信息!$C$1:$C$5)</f>
        <v>江永</v>
      </c>
      <c r="K770" t="str">
        <f>_xlfn.XLOOKUP($C770,战区信息!$A$1:$A$5,战区信息!$D$1:$D$5)</f>
        <v>一级战区</v>
      </c>
      <c r="L770" t="str">
        <f>_xlfn.XLOOKUP($D770,城市信息!$B$1:$B$14,城市信息!$A$1:$A$14)</f>
        <v>004</v>
      </c>
      <c r="M770" t="str">
        <f>_xlfn.XLOOKUP($D770,城市信息!$B$1:$B$14,城市信息!$C$1:$C$14)</f>
        <v>苏川</v>
      </c>
      <c r="N770" t="str">
        <f>_xlfn.XLOOKUP($D770,城市信息!$B$1:$B$14,城市信息!$D$1:$D$14)</f>
        <v>二线</v>
      </c>
      <c r="O770">
        <f>_xlfn.XLOOKUP($D770,城市信息!$B$1:$B$14,城市信息!$E$1:$E$14)</f>
        <v>9912</v>
      </c>
      <c r="P770" cm="1">
        <f t="array" ref="P770:U770">_xlfn.XLOOKUP(A770&amp;B770,'[1]2.4自动化报表-8月获客数据-非乱码'!$A:$A&amp;'[1]2.4自动化报表-8月获客数据-非乱码'!$B:$B,'[1]2.4自动化报表-8月获客数据-非乱码'!$C:$H)</f>
        <v>2230</v>
      </c>
      <c r="Q770">
        <v>2157</v>
      </c>
      <c r="R770">
        <v>2063</v>
      </c>
      <c r="S770">
        <v>1288</v>
      </c>
      <c r="T770">
        <v>634</v>
      </c>
      <c r="U770">
        <v>698</v>
      </c>
    </row>
    <row r="771" spans="1:21" x14ac:dyDescent="0.3">
      <c r="A771" s="1">
        <v>44071</v>
      </c>
      <c r="B771" t="s">
        <v>13</v>
      </c>
      <c r="C771" t="s">
        <v>108</v>
      </c>
      <c r="D771" t="s">
        <v>60</v>
      </c>
      <c r="E771" t="s">
        <v>120</v>
      </c>
      <c r="F771" s="2">
        <v>273979</v>
      </c>
      <c r="G771" s="2">
        <v>14169</v>
      </c>
      <c r="H771" s="2">
        <v>3106</v>
      </c>
      <c r="I771" t="str">
        <f>_xlfn.XLOOKUP($C771,战区信息!$A$1:$A$5,战区信息!$B$1:$B$5)</f>
        <v>001</v>
      </c>
      <c r="J771" t="str">
        <f>_xlfn.XLOOKUP($C771,战区信息!$A$1:$A$5,战区信息!$C$1:$C$5)</f>
        <v>江永</v>
      </c>
      <c r="K771" t="str">
        <f>_xlfn.XLOOKUP($C771,战区信息!$A$1:$A$5,战区信息!$D$1:$D$5)</f>
        <v>一级战区</v>
      </c>
      <c r="L771" t="str">
        <f>_xlfn.XLOOKUP($D771,城市信息!$B$1:$B$14,城市信息!$A$1:$A$14)</f>
        <v>005</v>
      </c>
      <c r="M771" t="str">
        <f>_xlfn.XLOOKUP($D771,城市信息!$B$1:$B$14,城市信息!$C$1:$C$14)</f>
        <v>侯阳冰</v>
      </c>
      <c r="N771" t="str">
        <f>_xlfn.XLOOKUP($D771,城市信息!$B$1:$B$14,城市信息!$D$1:$D$14)</f>
        <v>二线</v>
      </c>
      <c r="O771">
        <f>_xlfn.XLOOKUP($D771,城市信息!$B$1:$B$14,城市信息!$E$1:$E$14)</f>
        <v>8694</v>
      </c>
      <c r="P771" cm="1">
        <f t="array" ref="P771:U771">_xlfn.XLOOKUP(A771&amp;B771,'[1]2.4自动化报表-8月获客数据-非乱码'!$A:$A&amp;'[1]2.4自动化报表-8月获客数据-非乱码'!$B:$B,'[1]2.4自动化报表-8月获客数据-非乱码'!$C:$H)</f>
        <v>5863</v>
      </c>
      <c r="Q771">
        <v>5718</v>
      </c>
      <c r="R771">
        <v>5444</v>
      </c>
      <c r="S771">
        <v>3374</v>
      </c>
      <c r="T771">
        <v>1614</v>
      </c>
      <c r="U771">
        <v>695</v>
      </c>
    </row>
    <row r="772" spans="1:21" x14ac:dyDescent="0.3">
      <c r="A772" s="1">
        <v>44071</v>
      </c>
      <c r="B772" t="s">
        <v>12</v>
      </c>
      <c r="C772" t="s">
        <v>108</v>
      </c>
      <c r="D772" t="s">
        <v>60</v>
      </c>
      <c r="E772" t="s">
        <v>121</v>
      </c>
      <c r="F772" s="2">
        <v>105670</v>
      </c>
      <c r="G772" s="2">
        <v>4522</v>
      </c>
      <c r="H772" s="2">
        <v>15180</v>
      </c>
      <c r="I772" t="str">
        <f>_xlfn.XLOOKUP($C772,战区信息!$A$1:$A$5,战区信息!$B$1:$B$5)</f>
        <v>001</v>
      </c>
      <c r="J772" t="str">
        <f>_xlfn.XLOOKUP($C772,战区信息!$A$1:$A$5,战区信息!$C$1:$C$5)</f>
        <v>江永</v>
      </c>
      <c r="K772" t="str">
        <f>_xlfn.XLOOKUP($C772,战区信息!$A$1:$A$5,战区信息!$D$1:$D$5)</f>
        <v>一级战区</v>
      </c>
      <c r="L772" t="str">
        <f>_xlfn.XLOOKUP($D772,城市信息!$B$1:$B$14,城市信息!$A$1:$A$14)</f>
        <v>005</v>
      </c>
      <c r="M772" t="str">
        <f>_xlfn.XLOOKUP($D772,城市信息!$B$1:$B$14,城市信息!$C$1:$C$14)</f>
        <v>侯阳冰</v>
      </c>
      <c r="N772" t="str">
        <f>_xlfn.XLOOKUP($D772,城市信息!$B$1:$B$14,城市信息!$D$1:$D$14)</f>
        <v>二线</v>
      </c>
      <c r="O772">
        <f>_xlfn.XLOOKUP($D772,城市信息!$B$1:$B$14,城市信息!$E$1:$E$14)</f>
        <v>8694</v>
      </c>
      <c r="P772" cm="1">
        <f t="array" ref="P772:U772">_xlfn.XLOOKUP(A772&amp;B772,'[1]2.4自动化报表-8月获客数据-非乱码'!$A:$A&amp;'[1]2.4自动化报表-8月获客数据-非乱码'!$B:$B,'[1]2.4自动化报表-8月获客数据-非乱码'!$C:$H)</f>
        <v>1475</v>
      </c>
      <c r="Q772">
        <v>1446</v>
      </c>
      <c r="R772">
        <v>1374</v>
      </c>
      <c r="S772">
        <v>875</v>
      </c>
      <c r="T772">
        <v>445</v>
      </c>
      <c r="U772">
        <v>696</v>
      </c>
    </row>
    <row r="773" spans="1:21" x14ac:dyDescent="0.3">
      <c r="A773" s="1">
        <v>44071</v>
      </c>
      <c r="B773" t="s">
        <v>11</v>
      </c>
      <c r="C773" t="s">
        <v>108</v>
      </c>
      <c r="D773" t="s">
        <v>58</v>
      </c>
      <c r="E773" t="s">
        <v>122</v>
      </c>
      <c r="F773" s="2">
        <v>264288</v>
      </c>
      <c r="G773" s="2">
        <v>13359</v>
      </c>
      <c r="H773" s="2">
        <v>7547</v>
      </c>
      <c r="I773" t="str">
        <f>_xlfn.XLOOKUP($C773,战区信息!$A$1:$A$5,战区信息!$B$1:$B$5)</f>
        <v>001</v>
      </c>
      <c r="J773" t="str">
        <f>_xlfn.XLOOKUP($C773,战区信息!$A$1:$A$5,战区信息!$C$1:$C$5)</f>
        <v>江永</v>
      </c>
      <c r="K773" t="str">
        <f>_xlfn.XLOOKUP($C773,战区信息!$A$1:$A$5,战区信息!$D$1:$D$5)</f>
        <v>一级战区</v>
      </c>
      <c r="L773" t="str">
        <f>_xlfn.XLOOKUP($D773,城市信息!$B$1:$B$14,城市信息!$A$1:$A$14)</f>
        <v>003</v>
      </c>
      <c r="M773" t="str">
        <f>_xlfn.XLOOKUP($D773,城市信息!$B$1:$B$14,城市信息!$C$1:$C$14)</f>
        <v>杜光亮</v>
      </c>
      <c r="N773" t="str">
        <f>_xlfn.XLOOKUP($D773,城市信息!$B$1:$B$14,城市信息!$D$1:$D$14)</f>
        <v>二线</v>
      </c>
      <c r="O773">
        <f>_xlfn.XLOOKUP($D773,城市信息!$B$1:$B$14,城市信息!$E$1:$E$14)</f>
        <v>10499</v>
      </c>
      <c r="P773" cm="1">
        <f t="array" ref="P773:U773">_xlfn.XLOOKUP(A773&amp;B773,'[1]2.4自动化报表-8月获客数据-非乱码'!$A:$A&amp;'[1]2.4自动化报表-8月获客数据-非乱码'!$B:$B,'[1]2.4自动化报表-8月获客数据-非乱码'!$C:$H)</f>
        <v>6772</v>
      </c>
      <c r="Q773">
        <v>6512</v>
      </c>
      <c r="R773">
        <v>6162</v>
      </c>
      <c r="S773">
        <v>3815</v>
      </c>
      <c r="T773">
        <v>1800</v>
      </c>
      <c r="U773">
        <v>702</v>
      </c>
    </row>
    <row r="774" spans="1:21" x14ac:dyDescent="0.3">
      <c r="A774" s="1">
        <v>44071</v>
      </c>
      <c r="B774" t="s">
        <v>10</v>
      </c>
      <c r="C774" t="s">
        <v>108</v>
      </c>
      <c r="D774" t="s">
        <v>58</v>
      </c>
      <c r="E774" t="s">
        <v>123</v>
      </c>
      <c r="F774" s="2">
        <v>118658</v>
      </c>
      <c r="G774" s="2">
        <v>6244</v>
      </c>
      <c r="H774">
        <v>0</v>
      </c>
      <c r="I774" t="str">
        <f>_xlfn.XLOOKUP($C774,战区信息!$A$1:$A$5,战区信息!$B$1:$B$5)</f>
        <v>001</v>
      </c>
      <c r="J774" t="str">
        <f>_xlfn.XLOOKUP($C774,战区信息!$A$1:$A$5,战区信息!$C$1:$C$5)</f>
        <v>江永</v>
      </c>
      <c r="K774" t="str">
        <f>_xlfn.XLOOKUP($C774,战区信息!$A$1:$A$5,战区信息!$D$1:$D$5)</f>
        <v>一级战区</v>
      </c>
      <c r="L774" t="str">
        <f>_xlfn.XLOOKUP($D774,城市信息!$B$1:$B$14,城市信息!$A$1:$A$14)</f>
        <v>003</v>
      </c>
      <c r="M774" t="str">
        <f>_xlfn.XLOOKUP($D774,城市信息!$B$1:$B$14,城市信息!$C$1:$C$14)</f>
        <v>杜光亮</v>
      </c>
      <c r="N774" t="str">
        <f>_xlfn.XLOOKUP($D774,城市信息!$B$1:$B$14,城市信息!$D$1:$D$14)</f>
        <v>二线</v>
      </c>
      <c r="O774">
        <f>_xlfn.XLOOKUP($D774,城市信息!$B$1:$B$14,城市信息!$E$1:$E$14)</f>
        <v>10499</v>
      </c>
      <c r="P774" cm="1">
        <f t="array" ref="P774:U774">_xlfn.XLOOKUP(A774&amp;B774,'[1]2.4自动化报表-8月获客数据-非乱码'!$A:$A&amp;'[1]2.4自动化报表-8月获客数据-非乱码'!$B:$B,'[1]2.4自动化报表-8月获客数据-非乱码'!$C:$H)</f>
        <v>1773</v>
      </c>
      <c r="Q774">
        <v>1738</v>
      </c>
      <c r="R774">
        <v>1690</v>
      </c>
      <c r="S774">
        <v>1017</v>
      </c>
      <c r="T774">
        <v>614</v>
      </c>
      <c r="U774">
        <v>701</v>
      </c>
    </row>
    <row r="775" spans="1:21" x14ac:dyDescent="0.3">
      <c r="A775" s="1">
        <v>44071</v>
      </c>
      <c r="B775" t="s">
        <v>9</v>
      </c>
      <c r="C775" t="s">
        <v>108</v>
      </c>
      <c r="D775" t="s">
        <v>58</v>
      </c>
      <c r="E775" t="s">
        <v>124</v>
      </c>
      <c r="F775" s="2">
        <v>161312</v>
      </c>
      <c r="G775" s="2">
        <v>6442</v>
      </c>
      <c r="H775" s="2">
        <v>2096</v>
      </c>
      <c r="I775" t="str">
        <f>_xlfn.XLOOKUP($C775,战区信息!$A$1:$A$5,战区信息!$B$1:$B$5)</f>
        <v>001</v>
      </c>
      <c r="J775" t="str">
        <f>_xlfn.XLOOKUP($C775,战区信息!$A$1:$A$5,战区信息!$C$1:$C$5)</f>
        <v>江永</v>
      </c>
      <c r="K775" t="str">
        <f>_xlfn.XLOOKUP($C775,战区信息!$A$1:$A$5,战区信息!$D$1:$D$5)</f>
        <v>一级战区</v>
      </c>
      <c r="L775" t="str">
        <f>_xlfn.XLOOKUP($D775,城市信息!$B$1:$B$14,城市信息!$A$1:$A$14)</f>
        <v>003</v>
      </c>
      <c r="M775" t="str">
        <f>_xlfn.XLOOKUP($D775,城市信息!$B$1:$B$14,城市信息!$C$1:$C$14)</f>
        <v>杜光亮</v>
      </c>
      <c r="N775" t="str">
        <f>_xlfn.XLOOKUP($D775,城市信息!$B$1:$B$14,城市信息!$D$1:$D$14)</f>
        <v>二线</v>
      </c>
      <c r="O775">
        <f>_xlfn.XLOOKUP($D775,城市信息!$B$1:$B$14,城市信息!$E$1:$E$14)</f>
        <v>10499</v>
      </c>
      <c r="P775" cm="1">
        <f t="array" ref="P775:U775">_xlfn.XLOOKUP(A775&amp;B775,'[1]2.4自动化报表-8月获客数据-非乱码'!$A:$A&amp;'[1]2.4自动化报表-8月获客数据-非乱码'!$B:$B,'[1]2.4自动化报表-8月获客数据-非乱码'!$C:$H)</f>
        <v>4385</v>
      </c>
      <c r="Q775">
        <v>4267</v>
      </c>
      <c r="R775">
        <v>4125</v>
      </c>
      <c r="S775">
        <v>2334</v>
      </c>
      <c r="T775">
        <v>1312</v>
      </c>
      <c r="U775">
        <v>695</v>
      </c>
    </row>
    <row r="776" spans="1:21" x14ac:dyDescent="0.3">
      <c r="A776" s="1">
        <v>44071</v>
      </c>
      <c r="B776" t="s">
        <v>8</v>
      </c>
      <c r="C776" t="s">
        <v>125</v>
      </c>
      <c r="D776" t="s">
        <v>66</v>
      </c>
      <c r="E776" t="s">
        <v>126</v>
      </c>
      <c r="F776" s="2">
        <v>93978</v>
      </c>
      <c r="G776" s="2">
        <v>4025</v>
      </c>
      <c r="H776">
        <v>0</v>
      </c>
      <c r="I776" t="str">
        <f>_xlfn.XLOOKUP($C776,战区信息!$A$1:$A$5,战区信息!$B$1:$B$5)</f>
        <v>004</v>
      </c>
      <c r="J776" t="str">
        <f>_xlfn.XLOOKUP($C776,战区信息!$A$1:$A$5,战区信息!$C$1:$C$5)</f>
        <v>沈乐欣</v>
      </c>
      <c r="K776" t="str">
        <f>_xlfn.XLOOKUP($C776,战区信息!$A$1:$A$5,战区信息!$D$1:$D$5)</f>
        <v>三级战区</v>
      </c>
      <c r="L776" t="str">
        <f>_xlfn.XLOOKUP($D776,城市信息!$B$1:$B$14,城市信息!$A$1:$A$14)</f>
        <v>011</v>
      </c>
      <c r="M776" t="str">
        <f>_xlfn.XLOOKUP($D776,城市信息!$B$1:$B$14,城市信息!$C$1:$C$14)</f>
        <v>冯谦</v>
      </c>
      <c r="N776" t="str">
        <f>_xlfn.XLOOKUP($D776,城市信息!$B$1:$B$14,城市信息!$D$1:$D$14)</f>
        <v>一线</v>
      </c>
      <c r="O776">
        <f>_xlfn.XLOOKUP($D776,城市信息!$B$1:$B$14,城市信息!$E$1:$E$14)</f>
        <v>8244</v>
      </c>
      <c r="P776" cm="1">
        <f t="array" ref="P776:U776">_xlfn.XLOOKUP(A776&amp;B776,'[1]2.4自动化报表-8月获客数据-非乱码'!$A:$A&amp;'[1]2.4自动化报表-8月获客数据-非乱码'!$B:$B,'[1]2.4自动化报表-8月获客数据-非乱码'!$C:$H)</f>
        <v>1662</v>
      </c>
      <c r="Q776">
        <v>1645</v>
      </c>
      <c r="R776">
        <v>1596</v>
      </c>
      <c r="S776">
        <v>896</v>
      </c>
      <c r="T776">
        <v>587</v>
      </c>
      <c r="U776">
        <v>685</v>
      </c>
    </row>
    <row r="777" spans="1:21" x14ac:dyDescent="0.3">
      <c r="A777" s="1">
        <v>44071</v>
      </c>
      <c r="B777" t="s">
        <v>7</v>
      </c>
      <c r="C777" t="s">
        <v>125</v>
      </c>
      <c r="D777" t="s">
        <v>62</v>
      </c>
      <c r="E777" t="s">
        <v>127</v>
      </c>
      <c r="F777" s="2">
        <v>12639</v>
      </c>
      <c r="G777">
        <v>395</v>
      </c>
      <c r="H777">
        <v>0</v>
      </c>
      <c r="I777" t="str">
        <f>_xlfn.XLOOKUP($C777,战区信息!$A$1:$A$5,战区信息!$B$1:$B$5)</f>
        <v>004</v>
      </c>
      <c r="J777" t="str">
        <f>_xlfn.XLOOKUP($C777,战区信息!$A$1:$A$5,战区信息!$C$1:$C$5)</f>
        <v>沈乐欣</v>
      </c>
      <c r="K777" t="str">
        <f>_xlfn.XLOOKUP($C777,战区信息!$A$1:$A$5,战区信息!$D$1:$D$5)</f>
        <v>三级战区</v>
      </c>
      <c r="L777" t="str">
        <f>_xlfn.XLOOKUP($D777,城市信息!$B$1:$B$14,城市信息!$A$1:$A$14)</f>
        <v>007</v>
      </c>
      <c r="M777" t="str">
        <f>_xlfn.XLOOKUP($D777,城市信息!$B$1:$B$14,城市信息!$C$1:$C$14)</f>
        <v>范俊发</v>
      </c>
      <c r="N777" t="str">
        <f>_xlfn.XLOOKUP($D777,城市信息!$B$1:$B$14,城市信息!$D$1:$D$14)</f>
        <v>一线</v>
      </c>
      <c r="O777">
        <f>_xlfn.XLOOKUP($D777,城市信息!$B$1:$B$14,城市信息!$E$1:$E$14)</f>
        <v>12358</v>
      </c>
      <c r="P777" cm="1">
        <f t="array" ref="P777:U777">_xlfn.XLOOKUP(A777&amp;B777,'[1]2.4自动化报表-8月获客数据-非乱码'!$A:$A&amp;'[1]2.4自动化报表-8月获客数据-非乱码'!$B:$B,'[1]2.4自动化报表-8月获客数据-非乱码'!$C:$H)</f>
        <v>132</v>
      </c>
      <c r="Q777">
        <v>126</v>
      </c>
      <c r="R777">
        <v>117</v>
      </c>
      <c r="S777">
        <v>64</v>
      </c>
      <c r="T777">
        <v>33</v>
      </c>
      <c r="U777">
        <v>689</v>
      </c>
    </row>
    <row r="778" spans="1:21" x14ac:dyDescent="0.3">
      <c r="A778" s="1">
        <v>44071</v>
      </c>
      <c r="B778" t="s">
        <v>6</v>
      </c>
      <c r="C778" t="s">
        <v>125</v>
      </c>
      <c r="D778" t="s">
        <v>62</v>
      </c>
      <c r="E778" t="s">
        <v>128</v>
      </c>
      <c r="F778" s="2">
        <v>117205</v>
      </c>
      <c r="G778" s="2">
        <v>6817</v>
      </c>
      <c r="H778">
        <v>0</v>
      </c>
      <c r="I778" t="str">
        <f>_xlfn.XLOOKUP($C778,战区信息!$A$1:$A$5,战区信息!$B$1:$B$5)</f>
        <v>004</v>
      </c>
      <c r="J778" t="str">
        <f>_xlfn.XLOOKUP($C778,战区信息!$A$1:$A$5,战区信息!$C$1:$C$5)</f>
        <v>沈乐欣</v>
      </c>
      <c r="K778" t="str">
        <f>_xlfn.XLOOKUP($C778,战区信息!$A$1:$A$5,战区信息!$D$1:$D$5)</f>
        <v>三级战区</v>
      </c>
      <c r="L778" t="str">
        <f>_xlfn.XLOOKUP($D778,城市信息!$B$1:$B$14,城市信息!$A$1:$A$14)</f>
        <v>007</v>
      </c>
      <c r="M778" t="str">
        <f>_xlfn.XLOOKUP($D778,城市信息!$B$1:$B$14,城市信息!$C$1:$C$14)</f>
        <v>范俊发</v>
      </c>
      <c r="N778" t="str">
        <f>_xlfn.XLOOKUP($D778,城市信息!$B$1:$B$14,城市信息!$D$1:$D$14)</f>
        <v>一线</v>
      </c>
      <c r="O778">
        <f>_xlfn.XLOOKUP($D778,城市信息!$B$1:$B$14,城市信息!$E$1:$E$14)</f>
        <v>12358</v>
      </c>
      <c r="P778" cm="1">
        <f t="array" ref="P778:U778">_xlfn.XLOOKUP(A778&amp;B778,'[1]2.4自动化报表-8月获客数据-非乱码'!$A:$A&amp;'[1]2.4自动化报表-8月获客数据-非乱码'!$B:$B,'[1]2.4自动化报表-8月获客数据-非乱码'!$C:$H)</f>
        <v>2555</v>
      </c>
      <c r="Q778">
        <v>2517</v>
      </c>
      <c r="R778">
        <v>2444</v>
      </c>
      <c r="S778">
        <v>1485</v>
      </c>
      <c r="T778">
        <v>830</v>
      </c>
      <c r="U778">
        <v>689</v>
      </c>
    </row>
    <row r="779" spans="1:21" x14ac:dyDescent="0.3">
      <c r="A779" s="1">
        <v>44071</v>
      </c>
      <c r="B779" t="s">
        <v>5</v>
      </c>
      <c r="C779" t="s">
        <v>125</v>
      </c>
      <c r="D779" t="s">
        <v>62</v>
      </c>
      <c r="E779" t="s">
        <v>129</v>
      </c>
      <c r="F779" s="2">
        <v>196952</v>
      </c>
      <c r="G779" s="2">
        <v>9530</v>
      </c>
      <c r="H779">
        <v>0</v>
      </c>
      <c r="I779" t="str">
        <f>_xlfn.XLOOKUP($C779,战区信息!$A$1:$A$5,战区信息!$B$1:$B$5)</f>
        <v>004</v>
      </c>
      <c r="J779" t="str">
        <f>_xlfn.XLOOKUP($C779,战区信息!$A$1:$A$5,战区信息!$C$1:$C$5)</f>
        <v>沈乐欣</v>
      </c>
      <c r="K779" t="str">
        <f>_xlfn.XLOOKUP($C779,战区信息!$A$1:$A$5,战区信息!$D$1:$D$5)</f>
        <v>三级战区</v>
      </c>
      <c r="L779" t="str">
        <f>_xlfn.XLOOKUP($D779,城市信息!$B$1:$B$14,城市信息!$A$1:$A$14)</f>
        <v>007</v>
      </c>
      <c r="M779" t="str">
        <f>_xlfn.XLOOKUP($D779,城市信息!$B$1:$B$14,城市信息!$C$1:$C$14)</f>
        <v>范俊发</v>
      </c>
      <c r="N779" t="str">
        <f>_xlfn.XLOOKUP($D779,城市信息!$B$1:$B$14,城市信息!$D$1:$D$14)</f>
        <v>一线</v>
      </c>
      <c r="O779">
        <f>_xlfn.XLOOKUP($D779,城市信息!$B$1:$B$14,城市信息!$E$1:$E$14)</f>
        <v>12358</v>
      </c>
      <c r="P779" cm="1">
        <f t="array" ref="P779:U779">_xlfn.XLOOKUP(A779&amp;B779,'[1]2.4自动化报表-8月获客数据-非乱码'!$A:$A&amp;'[1]2.4自动化报表-8月获客数据-非乱码'!$B:$B,'[1]2.4自动化报表-8月获客数据-非乱码'!$C:$H)</f>
        <v>2349</v>
      </c>
      <c r="Q779">
        <v>2296</v>
      </c>
      <c r="R779">
        <v>2197</v>
      </c>
      <c r="S779">
        <v>1391</v>
      </c>
      <c r="T779">
        <v>705</v>
      </c>
      <c r="U779">
        <v>689</v>
      </c>
    </row>
    <row r="780" spans="1:21" x14ac:dyDescent="0.3">
      <c r="A780" s="1">
        <v>44071</v>
      </c>
      <c r="B780" t="s">
        <v>33</v>
      </c>
      <c r="C780" t="s">
        <v>125</v>
      </c>
      <c r="D780" t="s">
        <v>62</v>
      </c>
      <c r="E780" t="s">
        <v>130</v>
      </c>
      <c r="F780" s="2">
        <v>37001</v>
      </c>
      <c r="G780" s="2">
        <v>2693</v>
      </c>
      <c r="H780">
        <v>0</v>
      </c>
      <c r="I780" t="str">
        <f>_xlfn.XLOOKUP($C780,战区信息!$A$1:$A$5,战区信息!$B$1:$B$5)</f>
        <v>004</v>
      </c>
      <c r="J780" t="str">
        <f>_xlfn.XLOOKUP($C780,战区信息!$A$1:$A$5,战区信息!$C$1:$C$5)</f>
        <v>沈乐欣</v>
      </c>
      <c r="K780" t="str">
        <f>_xlfn.XLOOKUP($C780,战区信息!$A$1:$A$5,战区信息!$D$1:$D$5)</f>
        <v>三级战区</v>
      </c>
      <c r="L780" t="str">
        <f>_xlfn.XLOOKUP($D780,城市信息!$B$1:$B$14,城市信息!$A$1:$A$14)</f>
        <v>007</v>
      </c>
      <c r="M780" t="str">
        <f>_xlfn.XLOOKUP($D780,城市信息!$B$1:$B$14,城市信息!$C$1:$C$14)</f>
        <v>范俊发</v>
      </c>
      <c r="N780" t="str">
        <f>_xlfn.XLOOKUP($D780,城市信息!$B$1:$B$14,城市信息!$D$1:$D$14)</f>
        <v>一线</v>
      </c>
      <c r="O780">
        <f>_xlfn.XLOOKUP($D780,城市信息!$B$1:$B$14,城市信息!$E$1:$E$14)</f>
        <v>12358</v>
      </c>
      <c r="P780" cm="1">
        <f t="array" ref="P780:U780">_xlfn.XLOOKUP(A780&amp;B780,'[1]2.4自动化报表-8月获客数据-非乱码'!$A:$A&amp;'[1]2.4自动化报表-8月获客数据-非乱码'!$B:$B,'[1]2.4自动化报表-8月获客数据-非乱码'!$C:$H)</f>
        <v>207</v>
      </c>
      <c r="Q780">
        <v>204</v>
      </c>
      <c r="R780">
        <v>195</v>
      </c>
      <c r="S780">
        <v>121</v>
      </c>
      <c r="T780">
        <v>79</v>
      </c>
      <c r="U780">
        <v>696</v>
      </c>
    </row>
    <row r="781" spans="1:21" x14ac:dyDescent="0.3">
      <c r="A781" s="1">
        <v>44072</v>
      </c>
      <c r="B781" t="s">
        <v>32</v>
      </c>
      <c r="C781" t="s">
        <v>97</v>
      </c>
      <c r="D781" t="s">
        <v>67</v>
      </c>
      <c r="E781" t="s">
        <v>98</v>
      </c>
      <c r="F781" s="2">
        <v>125925</v>
      </c>
      <c r="G781" s="2">
        <v>5964</v>
      </c>
      <c r="H781">
        <v>0</v>
      </c>
      <c r="I781" t="str">
        <f>_xlfn.XLOOKUP($C781,战区信息!$A$1:$A$5,战区信息!$B$1:$B$5)</f>
        <v>003</v>
      </c>
      <c r="J781" t="str">
        <f>_xlfn.XLOOKUP($C781,战区信息!$A$1:$A$5,战区信息!$C$1:$C$5)</f>
        <v>田楠</v>
      </c>
      <c r="K781" t="str">
        <f>_xlfn.XLOOKUP($C781,战区信息!$A$1:$A$5,战区信息!$D$1:$D$5)</f>
        <v>二级战区</v>
      </c>
      <c r="L781" t="str">
        <f>_xlfn.XLOOKUP($D781,城市信息!$B$1:$B$14,城市信息!$A$1:$A$14)</f>
        <v>012</v>
      </c>
      <c r="M781" t="str">
        <f>_xlfn.XLOOKUP($D781,城市信息!$B$1:$B$14,城市信息!$C$1:$C$14)</f>
        <v>于子默</v>
      </c>
      <c r="N781" t="str">
        <f>_xlfn.XLOOKUP($D781,城市信息!$B$1:$B$14,城市信息!$D$1:$D$14)</f>
        <v>二线</v>
      </c>
      <c r="O781">
        <f>_xlfn.XLOOKUP($D781,城市信息!$B$1:$B$14,城市信息!$E$1:$E$14)</f>
        <v>9713</v>
      </c>
      <c r="P781" cm="1">
        <f t="array" ref="P781:U781">_xlfn.XLOOKUP(A781&amp;B781,'[1]2.4自动化报表-8月获客数据-非乱码'!$A:$A&amp;'[1]2.4自动化报表-8月获客数据-非乱码'!$B:$B,'[1]2.4自动化报表-8月获客数据-非乱码'!$C:$H)</f>
        <v>2583</v>
      </c>
      <c r="Q781">
        <v>2540</v>
      </c>
      <c r="R781">
        <v>2470</v>
      </c>
      <c r="S781">
        <v>1542</v>
      </c>
      <c r="T781">
        <v>855</v>
      </c>
      <c r="U781">
        <v>690</v>
      </c>
    </row>
    <row r="782" spans="1:21" x14ac:dyDescent="0.3">
      <c r="A782" s="1">
        <v>44072</v>
      </c>
      <c r="B782" t="s">
        <v>31</v>
      </c>
      <c r="C782" t="s">
        <v>97</v>
      </c>
      <c r="D782" t="s">
        <v>65</v>
      </c>
      <c r="E782" t="s">
        <v>99</v>
      </c>
      <c r="F782" s="2">
        <v>139076</v>
      </c>
      <c r="G782" s="2">
        <v>7840</v>
      </c>
      <c r="H782" s="2">
        <v>5031</v>
      </c>
      <c r="I782" t="str">
        <f>_xlfn.XLOOKUP($C782,战区信息!$A$1:$A$5,战区信息!$B$1:$B$5)</f>
        <v>003</v>
      </c>
      <c r="J782" t="str">
        <f>_xlfn.XLOOKUP($C782,战区信息!$A$1:$A$5,战区信息!$C$1:$C$5)</f>
        <v>田楠</v>
      </c>
      <c r="K782" t="str">
        <f>_xlfn.XLOOKUP($C782,战区信息!$A$1:$A$5,战区信息!$D$1:$D$5)</f>
        <v>二级战区</v>
      </c>
      <c r="L782" t="str">
        <f>_xlfn.XLOOKUP($D782,城市信息!$B$1:$B$14,城市信息!$A$1:$A$14)</f>
        <v>010</v>
      </c>
      <c r="M782" t="str">
        <f>_xlfn.XLOOKUP($D782,城市信息!$B$1:$B$14,城市信息!$C$1:$C$14)</f>
        <v>黄鹏天</v>
      </c>
      <c r="N782" t="str">
        <f>_xlfn.XLOOKUP($D782,城市信息!$B$1:$B$14,城市信息!$D$1:$D$14)</f>
        <v>二线</v>
      </c>
      <c r="O782">
        <f>_xlfn.XLOOKUP($D782,城市信息!$B$1:$B$14,城市信息!$E$1:$E$14)</f>
        <v>8295</v>
      </c>
      <c r="P782" cm="1">
        <f t="array" ref="P782:U782">_xlfn.XLOOKUP(A782&amp;B782,'[1]2.4自动化报表-8月获客数据-非乱码'!$A:$A&amp;'[1]2.4自动化报表-8月获客数据-非乱码'!$B:$B,'[1]2.4自动化报表-8月获客数据-非乱码'!$C:$H)</f>
        <v>3717</v>
      </c>
      <c r="Q782">
        <v>3652</v>
      </c>
      <c r="R782">
        <v>3534</v>
      </c>
      <c r="S782">
        <v>2135</v>
      </c>
      <c r="T782">
        <v>1196</v>
      </c>
      <c r="U782">
        <v>691</v>
      </c>
    </row>
    <row r="783" spans="1:21" x14ac:dyDescent="0.3">
      <c r="A783" s="1">
        <v>44072</v>
      </c>
      <c r="B783" t="s">
        <v>30</v>
      </c>
      <c r="C783" t="s">
        <v>97</v>
      </c>
      <c r="D783" t="s">
        <v>61</v>
      </c>
      <c r="E783" t="s">
        <v>100</v>
      </c>
      <c r="F783" s="2">
        <v>227428</v>
      </c>
      <c r="G783" s="2">
        <v>10741</v>
      </c>
      <c r="H783">
        <v>673</v>
      </c>
      <c r="I783" t="str">
        <f>_xlfn.XLOOKUP($C783,战区信息!$A$1:$A$5,战区信息!$B$1:$B$5)</f>
        <v>003</v>
      </c>
      <c r="J783" t="str">
        <f>_xlfn.XLOOKUP($C783,战区信息!$A$1:$A$5,战区信息!$C$1:$C$5)</f>
        <v>田楠</v>
      </c>
      <c r="K783" t="str">
        <f>_xlfn.XLOOKUP($C783,战区信息!$A$1:$A$5,战区信息!$D$1:$D$5)</f>
        <v>二级战区</v>
      </c>
      <c r="L783" t="str">
        <f>_xlfn.XLOOKUP($D783,城市信息!$B$1:$B$14,城市信息!$A$1:$A$14)</f>
        <v>006</v>
      </c>
      <c r="M783" t="str">
        <f>_xlfn.XLOOKUP($D783,城市信息!$B$1:$B$14,城市信息!$C$1:$C$14)</f>
        <v>王刚</v>
      </c>
      <c r="N783" t="str">
        <f>_xlfn.XLOOKUP($D783,城市信息!$B$1:$B$14,城市信息!$D$1:$D$14)</f>
        <v>二线</v>
      </c>
      <c r="O783">
        <f>_xlfn.XLOOKUP($D783,城市信息!$B$1:$B$14,城市信息!$E$1:$E$14)</f>
        <v>9107</v>
      </c>
      <c r="P783" cm="1">
        <f t="array" ref="P783:U783">_xlfn.XLOOKUP(A783&amp;B783,'[1]2.4自动化报表-8月获客数据-非乱码'!$A:$A&amp;'[1]2.4自动化报表-8月获客数据-非乱码'!$B:$B,'[1]2.4自动化报表-8月获客数据-非乱码'!$C:$H)</f>
        <v>5244</v>
      </c>
      <c r="Q783">
        <v>5129</v>
      </c>
      <c r="R783">
        <v>4935</v>
      </c>
      <c r="S783">
        <v>3160</v>
      </c>
      <c r="T783">
        <v>1607</v>
      </c>
      <c r="U783">
        <v>701</v>
      </c>
    </row>
    <row r="784" spans="1:21" x14ac:dyDescent="0.3">
      <c r="A784" s="1">
        <v>44072</v>
      </c>
      <c r="B784" t="s">
        <v>29</v>
      </c>
      <c r="C784" t="s">
        <v>97</v>
      </c>
      <c r="D784" t="s">
        <v>64</v>
      </c>
      <c r="E784" t="s">
        <v>101</v>
      </c>
      <c r="F784" s="2">
        <v>233834</v>
      </c>
      <c r="G784" s="2">
        <v>14534</v>
      </c>
      <c r="H784" s="2">
        <v>4758</v>
      </c>
      <c r="I784" t="str">
        <f>_xlfn.XLOOKUP($C784,战区信息!$A$1:$A$5,战区信息!$B$1:$B$5)</f>
        <v>003</v>
      </c>
      <c r="J784" t="str">
        <f>_xlfn.XLOOKUP($C784,战区信息!$A$1:$A$5,战区信息!$C$1:$C$5)</f>
        <v>田楠</v>
      </c>
      <c r="K784" t="str">
        <f>_xlfn.XLOOKUP($C784,战区信息!$A$1:$A$5,战区信息!$D$1:$D$5)</f>
        <v>二级战区</v>
      </c>
      <c r="L784" t="str">
        <f>_xlfn.XLOOKUP($D784,城市信息!$B$1:$B$14,城市信息!$A$1:$A$14)</f>
        <v>009</v>
      </c>
      <c r="M784" t="str">
        <f>_xlfn.XLOOKUP($D784,城市信息!$B$1:$B$14,城市信息!$C$1:$C$14)</f>
        <v>叶超</v>
      </c>
      <c r="N784" t="str">
        <f>_xlfn.XLOOKUP($D784,城市信息!$B$1:$B$14,城市信息!$D$1:$D$14)</f>
        <v>二线</v>
      </c>
      <c r="O784">
        <f>_xlfn.XLOOKUP($D784,城市信息!$B$1:$B$14,城市信息!$E$1:$E$14)</f>
        <v>9016</v>
      </c>
      <c r="P784" cm="1">
        <f t="array" ref="P784:U784">_xlfn.XLOOKUP(A784&amp;B784,'[1]2.4自动化报表-8月获客数据-非乱码'!$A:$A&amp;'[1]2.4自动化报表-8月获客数据-非乱码'!$B:$B,'[1]2.4自动化报表-8月获客数据-非乱码'!$C:$H)</f>
        <v>2845</v>
      </c>
      <c r="Q784">
        <v>2773</v>
      </c>
      <c r="R784">
        <v>2675</v>
      </c>
      <c r="S784">
        <v>1720</v>
      </c>
      <c r="T784">
        <v>949</v>
      </c>
      <c r="U784">
        <v>691</v>
      </c>
    </row>
    <row r="785" spans="1:21" x14ac:dyDescent="0.3">
      <c r="A785" s="1">
        <v>44072</v>
      </c>
      <c r="B785" t="s">
        <v>28</v>
      </c>
      <c r="C785" t="s">
        <v>97</v>
      </c>
      <c r="D785" t="s">
        <v>64</v>
      </c>
      <c r="E785" t="s">
        <v>102</v>
      </c>
      <c r="F785" s="2">
        <v>16541</v>
      </c>
      <c r="G785" s="2">
        <v>1114</v>
      </c>
      <c r="H785">
        <v>0</v>
      </c>
      <c r="I785" t="str">
        <f>_xlfn.XLOOKUP($C785,战区信息!$A$1:$A$5,战区信息!$B$1:$B$5)</f>
        <v>003</v>
      </c>
      <c r="J785" t="str">
        <f>_xlfn.XLOOKUP($C785,战区信息!$A$1:$A$5,战区信息!$C$1:$C$5)</f>
        <v>田楠</v>
      </c>
      <c r="K785" t="str">
        <f>_xlfn.XLOOKUP($C785,战区信息!$A$1:$A$5,战区信息!$D$1:$D$5)</f>
        <v>二级战区</v>
      </c>
      <c r="L785" t="str">
        <f>_xlfn.XLOOKUP($D785,城市信息!$B$1:$B$14,城市信息!$A$1:$A$14)</f>
        <v>009</v>
      </c>
      <c r="M785" t="str">
        <f>_xlfn.XLOOKUP($D785,城市信息!$B$1:$B$14,城市信息!$C$1:$C$14)</f>
        <v>叶超</v>
      </c>
      <c r="N785" t="str">
        <f>_xlfn.XLOOKUP($D785,城市信息!$B$1:$B$14,城市信息!$D$1:$D$14)</f>
        <v>二线</v>
      </c>
      <c r="O785">
        <f>_xlfn.XLOOKUP($D785,城市信息!$B$1:$B$14,城市信息!$E$1:$E$14)</f>
        <v>9016</v>
      </c>
      <c r="P785" cm="1">
        <f t="array" ref="P785:U785">_xlfn.XLOOKUP(A785&amp;B785,'[1]2.4自动化报表-8月获客数据-非乱码'!$A:$A&amp;'[1]2.4自动化报表-8月获客数据-非乱码'!$B:$B,'[1]2.4自动化报表-8月获客数据-非乱码'!$C:$H)</f>
        <v>672</v>
      </c>
      <c r="Q785">
        <v>662</v>
      </c>
      <c r="R785">
        <v>643</v>
      </c>
      <c r="S785">
        <v>443</v>
      </c>
      <c r="T785">
        <v>209</v>
      </c>
      <c r="U785">
        <v>692</v>
      </c>
    </row>
    <row r="786" spans="1:21" x14ac:dyDescent="0.3">
      <c r="A786" s="1">
        <v>44072</v>
      </c>
      <c r="B786" t="s">
        <v>27</v>
      </c>
      <c r="C786" t="s">
        <v>103</v>
      </c>
      <c r="D786" t="s">
        <v>63</v>
      </c>
      <c r="E786" t="s">
        <v>104</v>
      </c>
      <c r="F786" s="2">
        <v>163718</v>
      </c>
      <c r="G786" s="2">
        <v>8687</v>
      </c>
      <c r="H786">
        <v>0</v>
      </c>
      <c r="I786" t="str">
        <f>_xlfn.XLOOKUP($C786,战区信息!$A$1:$A$5,战区信息!$B$1:$B$5)</f>
        <v>002</v>
      </c>
      <c r="J786" t="str">
        <f>_xlfn.XLOOKUP($C786,战区信息!$A$1:$A$5,战区信息!$C$1:$C$5)</f>
        <v>高安平</v>
      </c>
      <c r="K786" t="str">
        <f>_xlfn.XLOOKUP($C786,战区信息!$A$1:$A$5,战区信息!$D$1:$D$5)</f>
        <v>二级战区</v>
      </c>
      <c r="L786" t="str">
        <f>_xlfn.XLOOKUP($D786,城市信息!$B$1:$B$14,城市信息!$A$1:$A$14)</f>
        <v>008</v>
      </c>
      <c r="M786" t="str">
        <f>_xlfn.XLOOKUP($D786,城市信息!$B$1:$B$14,城市信息!$C$1:$C$14)</f>
        <v>高弘壮</v>
      </c>
      <c r="N786" t="str">
        <f>_xlfn.XLOOKUP($D786,城市信息!$B$1:$B$14,城市信息!$D$1:$D$14)</f>
        <v>一线</v>
      </c>
      <c r="O786">
        <f>_xlfn.XLOOKUP($D786,城市信息!$B$1:$B$14,城市信息!$E$1:$E$14)</f>
        <v>11498</v>
      </c>
      <c r="P786" cm="1">
        <f t="array" ref="P786:U786">_xlfn.XLOOKUP(A786&amp;B786,'[1]2.4自动化报表-8月获客数据-非乱码'!$A:$A&amp;'[1]2.4自动化报表-8月获客数据-非乱码'!$B:$B,'[1]2.4自动化报表-8月获客数据-非乱码'!$C:$H)</f>
        <v>3823</v>
      </c>
      <c r="Q786">
        <v>3708</v>
      </c>
      <c r="R786">
        <v>3535</v>
      </c>
      <c r="S786">
        <v>2103</v>
      </c>
      <c r="T786">
        <v>1122</v>
      </c>
      <c r="U786">
        <v>689</v>
      </c>
    </row>
    <row r="787" spans="1:21" x14ac:dyDescent="0.3">
      <c r="A787" s="1">
        <v>44072</v>
      </c>
      <c r="B787" t="s">
        <v>26</v>
      </c>
      <c r="C787" t="s">
        <v>103</v>
      </c>
      <c r="D787" t="s">
        <v>57</v>
      </c>
      <c r="E787" t="s">
        <v>105</v>
      </c>
      <c r="F787" s="2">
        <v>448009</v>
      </c>
      <c r="G787" s="2">
        <v>24288</v>
      </c>
      <c r="H787" s="2">
        <v>4598</v>
      </c>
      <c r="I787" t="str">
        <f>_xlfn.XLOOKUP($C787,战区信息!$A$1:$A$5,战区信息!$B$1:$B$5)</f>
        <v>002</v>
      </c>
      <c r="J787" t="str">
        <f>_xlfn.XLOOKUP($C787,战区信息!$A$1:$A$5,战区信息!$C$1:$C$5)</f>
        <v>高安平</v>
      </c>
      <c r="K787" t="str">
        <f>_xlfn.XLOOKUP($C787,战区信息!$A$1:$A$5,战区信息!$D$1:$D$5)</f>
        <v>二级战区</v>
      </c>
      <c r="L787" t="str">
        <f>_xlfn.XLOOKUP($D787,城市信息!$B$1:$B$14,城市信息!$A$1:$A$14)</f>
        <v>002</v>
      </c>
      <c r="M787" t="str">
        <f>_xlfn.XLOOKUP($D787,城市信息!$B$1:$B$14,城市信息!$C$1:$C$14)</f>
        <v>孙乒</v>
      </c>
      <c r="N787" t="str">
        <f>_xlfn.XLOOKUP($D787,城市信息!$B$1:$B$14,城市信息!$D$1:$D$14)</f>
        <v>一线</v>
      </c>
      <c r="O787">
        <f>_xlfn.XLOOKUP($D787,城市信息!$B$1:$B$14,城市信息!$E$1:$E$14)</f>
        <v>9854</v>
      </c>
      <c r="P787" cm="1">
        <f t="array" ref="P787:U787">_xlfn.XLOOKUP(A787&amp;B787,'[1]2.4自动化报表-8月获客数据-非乱码'!$A:$A&amp;'[1]2.4自动化报表-8月获客数据-非乱码'!$B:$B,'[1]2.4自动化报表-8月获客数据-非乱码'!$C:$H)</f>
        <v>7251</v>
      </c>
      <c r="Q787">
        <v>7075</v>
      </c>
      <c r="R787">
        <v>6790</v>
      </c>
      <c r="S787">
        <v>4184</v>
      </c>
      <c r="T787">
        <v>2311</v>
      </c>
      <c r="U787">
        <v>688</v>
      </c>
    </row>
    <row r="788" spans="1:21" x14ac:dyDescent="0.3">
      <c r="A788" s="1">
        <v>44072</v>
      </c>
      <c r="B788" t="s">
        <v>25</v>
      </c>
      <c r="C788" t="s">
        <v>103</v>
      </c>
      <c r="D788" t="s">
        <v>57</v>
      </c>
      <c r="E788" t="s">
        <v>106</v>
      </c>
      <c r="F788" s="2">
        <v>99092</v>
      </c>
      <c r="G788" s="2">
        <v>5320</v>
      </c>
      <c r="H788" s="2">
        <v>4909</v>
      </c>
      <c r="I788" t="str">
        <f>_xlfn.XLOOKUP($C788,战区信息!$A$1:$A$5,战区信息!$B$1:$B$5)</f>
        <v>002</v>
      </c>
      <c r="J788" t="str">
        <f>_xlfn.XLOOKUP($C788,战区信息!$A$1:$A$5,战区信息!$C$1:$C$5)</f>
        <v>高安平</v>
      </c>
      <c r="K788" t="str">
        <f>_xlfn.XLOOKUP($C788,战区信息!$A$1:$A$5,战区信息!$D$1:$D$5)</f>
        <v>二级战区</v>
      </c>
      <c r="L788" t="str">
        <f>_xlfn.XLOOKUP($D788,城市信息!$B$1:$B$14,城市信息!$A$1:$A$14)</f>
        <v>002</v>
      </c>
      <c r="M788" t="str">
        <f>_xlfn.XLOOKUP($D788,城市信息!$B$1:$B$14,城市信息!$C$1:$C$14)</f>
        <v>孙乒</v>
      </c>
      <c r="N788" t="str">
        <f>_xlfn.XLOOKUP($D788,城市信息!$B$1:$B$14,城市信息!$D$1:$D$14)</f>
        <v>一线</v>
      </c>
      <c r="O788">
        <f>_xlfn.XLOOKUP($D788,城市信息!$B$1:$B$14,城市信息!$E$1:$E$14)</f>
        <v>9854</v>
      </c>
      <c r="P788" cm="1">
        <f t="array" ref="P788:U788">_xlfn.XLOOKUP(A788&amp;B788,'[1]2.4自动化报表-8月获客数据-非乱码'!$A:$A&amp;'[1]2.4自动化报表-8月获客数据-非乱码'!$B:$B,'[1]2.4自动化报表-8月获客数据-非乱码'!$C:$H)</f>
        <v>3843</v>
      </c>
      <c r="Q788">
        <v>3731</v>
      </c>
      <c r="R788">
        <v>3538</v>
      </c>
      <c r="S788">
        <v>2120</v>
      </c>
      <c r="T788">
        <v>1235</v>
      </c>
      <c r="U788">
        <v>689</v>
      </c>
    </row>
    <row r="789" spans="1:21" x14ac:dyDescent="0.3">
      <c r="A789" s="1">
        <v>44072</v>
      </c>
      <c r="B789" t="s">
        <v>24</v>
      </c>
      <c r="C789" t="s">
        <v>103</v>
      </c>
      <c r="D789" t="s">
        <v>57</v>
      </c>
      <c r="E789" t="s">
        <v>107</v>
      </c>
      <c r="F789" s="2">
        <v>194308</v>
      </c>
      <c r="G789" s="2">
        <v>11611</v>
      </c>
      <c r="H789" s="2">
        <v>16831</v>
      </c>
      <c r="I789" t="str">
        <f>_xlfn.XLOOKUP($C789,战区信息!$A$1:$A$5,战区信息!$B$1:$B$5)</f>
        <v>002</v>
      </c>
      <c r="J789" t="str">
        <f>_xlfn.XLOOKUP($C789,战区信息!$A$1:$A$5,战区信息!$C$1:$C$5)</f>
        <v>高安平</v>
      </c>
      <c r="K789" t="str">
        <f>_xlfn.XLOOKUP($C789,战区信息!$A$1:$A$5,战区信息!$D$1:$D$5)</f>
        <v>二级战区</v>
      </c>
      <c r="L789" t="str">
        <f>_xlfn.XLOOKUP($D789,城市信息!$B$1:$B$14,城市信息!$A$1:$A$14)</f>
        <v>002</v>
      </c>
      <c r="M789" t="str">
        <f>_xlfn.XLOOKUP($D789,城市信息!$B$1:$B$14,城市信息!$C$1:$C$14)</f>
        <v>孙乒</v>
      </c>
      <c r="N789" t="str">
        <f>_xlfn.XLOOKUP($D789,城市信息!$B$1:$B$14,城市信息!$D$1:$D$14)</f>
        <v>一线</v>
      </c>
      <c r="O789">
        <f>_xlfn.XLOOKUP($D789,城市信息!$B$1:$B$14,城市信息!$E$1:$E$14)</f>
        <v>9854</v>
      </c>
      <c r="P789" cm="1">
        <f t="array" ref="P789:U789">_xlfn.XLOOKUP(A789&amp;B789,'[1]2.4自动化报表-8月获客数据-非乱码'!$A:$A&amp;'[1]2.4自动化报表-8月获客数据-非乱码'!$B:$B,'[1]2.4自动化报表-8月获客数据-非乱码'!$C:$H)</f>
        <v>4769</v>
      </c>
      <c r="Q789">
        <v>4672</v>
      </c>
      <c r="R789">
        <v>4468</v>
      </c>
      <c r="S789">
        <v>2745</v>
      </c>
      <c r="T789">
        <v>1595</v>
      </c>
      <c r="U789">
        <v>691</v>
      </c>
    </row>
    <row r="790" spans="1:21" x14ac:dyDescent="0.3">
      <c r="A790" s="1">
        <v>44072</v>
      </c>
      <c r="B790" t="s">
        <v>23</v>
      </c>
      <c r="C790" t="s">
        <v>108</v>
      </c>
      <c r="D790" t="s">
        <v>109</v>
      </c>
      <c r="E790" t="s">
        <v>110</v>
      </c>
      <c r="F790" s="2">
        <v>267911</v>
      </c>
      <c r="G790" s="2">
        <v>13955</v>
      </c>
      <c r="H790">
        <v>0</v>
      </c>
      <c r="I790" t="str">
        <f>_xlfn.XLOOKUP($C790,战区信息!$A$1:$A$5,战区信息!$B$1:$B$5)</f>
        <v>001</v>
      </c>
      <c r="J790" t="str">
        <f>_xlfn.XLOOKUP($C790,战区信息!$A$1:$A$5,战区信息!$C$1:$C$5)</f>
        <v>江永</v>
      </c>
      <c r="K790" t="str">
        <f>_xlfn.XLOOKUP($C790,战区信息!$A$1:$A$5,战区信息!$D$1:$D$5)</f>
        <v>一级战区</v>
      </c>
      <c r="L790" t="str">
        <f>_xlfn.XLOOKUP($D790,城市信息!$B$1:$B$14,城市信息!$A$1:$A$14)</f>
        <v>013</v>
      </c>
      <c r="M790" t="str">
        <f>_xlfn.XLOOKUP($D790,城市信息!$B$1:$B$14,城市信息!$C$1:$C$14)</f>
        <v>张建</v>
      </c>
      <c r="N790" t="str">
        <f>_xlfn.XLOOKUP($D790,城市信息!$B$1:$B$14,城市信息!$D$1:$D$14)</f>
        <v>二线</v>
      </c>
      <c r="O790">
        <f>_xlfn.XLOOKUP($D790,城市信息!$B$1:$B$14,城市信息!$E$1:$E$14)</f>
        <v>8800</v>
      </c>
      <c r="P790" cm="1">
        <f t="array" ref="P790:U790">_xlfn.XLOOKUP(A790&amp;B790,'[1]2.4自动化报表-8月获客数据-非乱码'!$A:$A&amp;'[1]2.4自动化报表-8月获客数据-非乱码'!$B:$B,'[1]2.4自动化报表-8月获客数据-非乱码'!$C:$H)</f>
        <v>6567</v>
      </c>
      <c r="Q790">
        <v>6332</v>
      </c>
      <c r="R790">
        <v>6025</v>
      </c>
      <c r="S790">
        <v>3651</v>
      </c>
      <c r="T790">
        <v>1881</v>
      </c>
      <c r="U790">
        <v>694</v>
      </c>
    </row>
    <row r="791" spans="1:21" x14ac:dyDescent="0.3">
      <c r="A791" s="1">
        <v>44072</v>
      </c>
      <c r="B791" t="s">
        <v>22</v>
      </c>
      <c r="C791" t="s">
        <v>108</v>
      </c>
      <c r="D791" t="s">
        <v>109</v>
      </c>
      <c r="E791" t="s">
        <v>111</v>
      </c>
      <c r="F791" s="2">
        <v>3801</v>
      </c>
      <c r="G791">
        <v>178</v>
      </c>
      <c r="H791">
        <v>879</v>
      </c>
      <c r="I791" t="str">
        <f>_xlfn.XLOOKUP($C791,战区信息!$A$1:$A$5,战区信息!$B$1:$B$5)</f>
        <v>001</v>
      </c>
      <c r="J791" t="str">
        <f>_xlfn.XLOOKUP($C791,战区信息!$A$1:$A$5,战区信息!$C$1:$C$5)</f>
        <v>江永</v>
      </c>
      <c r="K791" t="str">
        <f>_xlfn.XLOOKUP($C791,战区信息!$A$1:$A$5,战区信息!$D$1:$D$5)</f>
        <v>一级战区</v>
      </c>
      <c r="L791" t="str">
        <f>_xlfn.XLOOKUP($D791,城市信息!$B$1:$B$14,城市信息!$A$1:$A$14)</f>
        <v>013</v>
      </c>
      <c r="M791" t="str">
        <f>_xlfn.XLOOKUP($D791,城市信息!$B$1:$B$14,城市信息!$C$1:$C$14)</f>
        <v>张建</v>
      </c>
      <c r="N791" t="str">
        <f>_xlfn.XLOOKUP($D791,城市信息!$B$1:$B$14,城市信息!$D$1:$D$14)</f>
        <v>二线</v>
      </c>
      <c r="O791">
        <f>_xlfn.XLOOKUP($D791,城市信息!$B$1:$B$14,城市信息!$E$1:$E$14)</f>
        <v>8800</v>
      </c>
      <c r="P791" cm="1">
        <f t="array" ref="P791:U791">_xlfn.XLOOKUP(A791&amp;B791,'[1]2.4自动化报表-8月获客数据-非乱码'!$A:$A&amp;'[1]2.4自动化报表-8月获客数据-非乱码'!$B:$B,'[1]2.4自动化报表-8月获客数据-非乱码'!$C:$H)</f>
        <v>179</v>
      </c>
      <c r="Q791">
        <v>176</v>
      </c>
      <c r="R791">
        <v>172</v>
      </c>
      <c r="S791">
        <v>104</v>
      </c>
      <c r="T791">
        <v>76</v>
      </c>
      <c r="U791">
        <v>694</v>
      </c>
    </row>
    <row r="792" spans="1:21" x14ac:dyDescent="0.3">
      <c r="A792" s="1">
        <v>44072</v>
      </c>
      <c r="B792" t="s">
        <v>21</v>
      </c>
      <c r="C792" t="s">
        <v>108</v>
      </c>
      <c r="D792" t="s">
        <v>109</v>
      </c>
      <c r="E792" t="s">
        <v>112</v>
      </c>
      <c r="F792" s="2">
        <v>308174</v>
      </c>
      <c r="G792" s="2">
        <v>16320</v>
      </c>
      <c r="H792" s="2">
        <v>9656</v>
      </c>
      <c r="I792" t="str">
        <f>_xlfn.XLOOKUP($C792,战区信息!$A$1:$A$5,战区信息!$B$1:$B$5)</f>
        <v>001</v>
      </c>
      <c r="J792" t="str">
        <f>_xlfn.XLOOKUP($C792,战区信息!$A$1:$A$5,战区信息!$C$1:$C$5)</f>
        <v>江永</v>
      </c>
      <c r="K792" t="str">
        <f>_xlfn.XLOOKUP($C792,战区信息!$A$1:$A$5,战区信息!$D$1:$D$5)</f>
        <v>一级战区</v>
      </c>
      <c r="L792" t="str">
        <f>_xlfn.XLOOKUP($D792,城市信息!$B$1:$B$14,城市信息!$A$1:$A$14)</f>
        <v>013</v>
      </c>
      <c r="M792" t="str">
        <f>_xlfn.XLOOKUP($D792,城市信息!$B$1:$B$14,城市信息!$C$1:$C$14)</f>
        <v>张建</v>
      </c>
      <c r="N792" t="str">
        <f>_xlfn.XLOOKUP($D792,城市信息!$B$1:$B$14,城市信息!$D$1:$D$14)</f>
        <v>二线</v>
      </c>
      <c r="O792">
        <f>_xlfn.XLOOKUP($D792,城市信息!$B$1:$B$14,城市信息!$E$1:$E$14)</f>
        <v>8800</v>
      </c>
      <c r="P792" cm="1">
        <f t="array" ref="P792:U792">_xlfn.XLOOKUP(A792&amp;B792,'[1]2.4自动化报表-8月获客数据-非乱码'!$A:$A&amp;'[1]2.4自动化报表-8月获客数据-非乱码'!$B:$B,'[1]2.4自动化报表-8月获客数据-非乱码'!$C:$H)</f>
        <v>7361</v>
      </c>
      <c r="Q792">
        <v>7068</v>
      </c>
      <c r="R792">
        <v>6722</v>
      </c>
      <c r="S792">
        <v>3898</v>
      </c>
      <c r="T792">
        <v>2126</v>
      </c>
      <c r="U792">
        <v>696</v>
      </c>
    </row>
    <row r="793" spans="1:21" x14ac:dyDescent="0.3">
      <c r="A793" s="1">
        <v>44072</v>
      </c>
      <c r="B793" t="s">
        <v>20</v>
      </c>
      <c r="C793" t="s">
        <v>108</v>
      </c>
      <c r="D793" t="s">
        <v>56</v>
      </c>
      <c r="E793" t="s">
        <v>113</v>
      </c>
      <c r="F793" s="2">
        <v>256910</v>
      </c>
      <c r="G793" s="2">
        <v>13889</v>
      </c>
      <c r="H793">
        <v>0</v>
      </c>
      <c r="I793" t="str">
        <f>_xlfn.XLOOKUP($C793,战区信息!$A$1:$A$5,战区信息!$B$1:$B$5)</f>
        <v>001</v>
      </c>
      <c r="J793" t="str">
        <f>_xlfn.XLOOKUP($C793,战区信息!$A$1:$A$5,战区信息!$C$1:$C$5)</f>
        <v>江永</v>
      </c>
      <c r="K793" t="str">
        <f>_xlfn.XLOOKUP($C793,战区信息!$A$1:$A$5,战区信息!$D$1:$D$5)</f>
        <v>一级战区</v>
      </c>
      <c r="L793" t="str">
        <f>_xlfn.XLOOKUP($D793,城市信息!$B$1:$B$14,城市信息!$A$1:$A$14)</f>
        <v>001</v>
      </c>
      <c r="M793" t="str">
        <f>_xlfn.XLOOKUP($D793,城市信息!$B$1:$B$14,城市信息!$C$1:$C$14)</f>
        <v>吴刚</v>
      </c>
      <c r="N793" t="str">
        <f>_xlfn.XLOOKUP($D793,城市信息!$B$1:$B$14,城市信息!$D$1:$D$14)</f>
        <v>一线</v>
      </c>
      <c r="O793">
        <f>_xlfn.XLOOKUP($D793,城市信息!$B$1:$B$14,城市信息!$E$1:$E$14)</f>
        <v>12114</v>
      </c>
      <c r="P793" cm="1">
        <f t="array" ref="P793:U793">_xlfn.XLOOKUP(A793&amp;B793,'[1]2.4自动化报表-8月获客数据-非乱码'!$A:$A&amp;'[1]2.4自动化报表-8月获客数据-非乱码'!$B:$B,'[1]2.4自动化报表-8月获客数据-非乱码'!$C:$H)</f>
        <v>5142</v>
      </c>
      <c r="Q793">
        <v>4962</v>
      </c>
      <c r="R793">
        <v>4756</v>
      </c>
      <c r="S793">
        <v>2860</v>
      </c>
      <c r="T793">
        <v>1612</v>
      </c>
      <c r="U793">
        <v>695</v>
      </c>
    </row>
    <row r="794" spans="1:21" x14ac:dyDescent="0.3">
      <c r="A794" s="1">
        <v>44072</v>
      </c>
      <c r="B794" t="s">
        <v>19</v>
      </c>
      <c r="C794" t="s">
        <v>108</v>
      </c>
      <c r="D794" t="s">
        <v>56</v>
      </c>
      <c r="E794" t="s">
        <v>114</v>
      </c>
      <c r="F794" s="2">
        <v>163787</v>
      </c>
      <c r="G794" s="2">
        <v>8748</v>
      </c>
      <c r="H794">
        <v>0</v>
      </c>
      <c r="I794" t="str">
        <f>_xlfn.XLOOKUP($C794,战区信息!$A$1:$A$5,战区信息!$B$1:$B$5)</f>
        <v>001</v>
      </c>
      <c r="J794" t="str">
        <f>_xlfn.XLOOKUP($C794,战区信息!$A$1:$A$5,战区信息!$C$1:$C$5)</f>
        <v>江永</v>
      </c>
      <c r="K794" t="str">
        <f>_xlfn.XLOOKUP($C794,战区信息!$A$1:$A$5,战区信息!$D$1:$D$5)</f>
        <v>一级战区</v>
      </c>
      <c r="L794" t="str">
        <f>_xlfn.XLOOKUP($D794,城市信息!$B$1:$B$14,城市信息!$A$1:$A$14)</f>
        <v>001</v>
      </c>
      <c r="M794" t="str">
        <f>_xlfn.XLOOKUP($D794,城市信息!$B$1:$B$14,城市信息!$C$1:$C$14)</f>
        <v>吴刚</v>
      </c>
      <c r="N794" t="str">
        <f>_xlfn.XLOOKUP($D794,城市信息!$B$1:$B$14,城市信息!$D$1:$D$14)</f>
        <v>一线</v>
      </c>
      <c r="O794">
        <f>_xlfn.XLOOKUP($D794,城市信息!$B$1:$B$14,城市信息!$E$1:$E$14)</f>
        <v>12114</v>
      </c>
      <c r="P794" cm="1">
        <f t="array" ref="P794:U794">_xlfn.XLOOKUP(A794&amp;B794,'[1]2.4自动化报表-8月获客数据-非乱码'!$A:$A&amp;'[1]2.4自动化报表-8月获客数据-非乱码'!$B:$B,'[1]2.4自动化报表-8月获客数据-非乱码'!$C:$H)</f>
        <v>3134</v>
      </c>
      <c r="Q794">
        <v>3055</v>
      </c>
      <c r="R794">
        <v>2936</v>
      </c>
      <c r="S794">
        <v>1729</v>
      </c>
      <c r="T794">
        <v>1031</v>
      </c>
      <c r="U794">
        <v>696</v>
      </c>
    </row>
    <row r="795" spans="1:21" x14ac:dyDescent="0.3">
      <c r="A795" s="1">
        <v>44072</v>
      </c>
      <c r="B795" t="s">
        <v>18</v>
      </c>
      <c r="C795" t="s">
        <v>108</v>
      </c>
      <c r="D795" t="s">
        <v>56</v>
      </c>
      <c r="E795" t="s">
        <v>115</v>
      </c>
      <c r="F795" s="2">
        <v>79620</v>
      </c>
      <c r="G795" s="2">
        <v>2955</v>
      </c>
      <c r="H795">
        <v>0</v>
      </c>
      <c r="I795" t="str">
        <f>_xlfn.XLOOKUP($C795,战区信息!$A$1:$A$5,战区信息!$B$1:$B$5)</f>
        <v>001</v>
      </c>
      <c r="J795" t="str">
        <f>_xlfn.XLOOKUP($C795,战区信息!$A$1:$A$5,战区信息!$C$1:$C$5)</f>
        <v>江永</v>
      </c>
      <c r="K795" t="str">
        <f>_xlfn.XLOOKUP($C795,战区信息!$A$1:$A$5,战区信息!$D$1:$D$5)</f>
        <v>一级战区</v>
      </c>
      <c r="L795" t="str">
        <f>_xlfn.XLOOKUP($D795,城市信息!$B$1:$B$14,城市信息!$A$1:$A$14)</f>
        <v>001</v>
      </c>
      <c r="M795" t="str">
        <f>_xlfn.XLOOKUP($D795,城市信息!$B$1:$B$14,城市信息!$C$1:$C$14)</f>
        <v>吴刚</v>
      </c>
      <c r="N795" t="str">
        <f>_xlfn.XLOOKUP($D795,城市信息!$B$1:$B$14,城市信息!$D$1:$D$14)</f>
        <v>一线</v>
      </c>
      <c r="O795">
        <f>_xlfn.XLOOKUP($D795,城市信息!$B$1:$B$14,城市信息!$E$1:$E$14)</f>
        <v>12114</v>
      </c>
      <c r="P795" cm="1">
        <f t="array" ref="P795:U795">_xlfn.XLOOKUP(A795&amp;B795,'[1]2.4自动化报表-8月获客数据-非乱码'!$A:$A&amp;'[1]2.4自动化报表-8月获客数据-非乱码'!$B:$B,'[1]2.4自动化报表-8月获客数据-非乱码'!$C:$H)</f>
        <v>2720</v>
      </c>
      <c r="Q795">
        <v>2678</v>
      </c>
      <c r="R795">
        <v>2565</v>
      </c>
      <c r="S795">
        <v>1544</v>
      </c>
      <c r="T795">
        <v>830</v>
      </c>
      <c r="U795">
        <v>690</v>
      </c>
    </row>
    <row r="796" spans="1:21" x14ac:dyDescent="0.3">
      <c r="A796" s="1">
        <v>44072</v>
      </c>
      <c r="B796" t="s">
        <v>17</v>
      </c>
      <c r="C796" t="s">
        <v>108</v>
      </c>
      <c r="D796" t="s">
        <v>59</v>
      </c>
      <c r="E796" t="s">
        <v>116</v>
      </c>
      <c r="F796" s="2">
        <v>138530</v>
      </c>
      <c r="G796" s="2">
        <v>7798</v>
      </c>
      <c r="H796">
        <v>358</v>
      </c>
      <c r="I796" t="str">
        <f>_xlfn.XLOOKUP($C796,战区信息!$A$1:$A$5,战区信息!$B$1:$B$5)</f>
        <v>001</v>
      </c>
      <c r="J796" t="str">
        <f>_xlfn.XLOOKUP($C796,战区信息!$A$1:$A$5,战区信息!$C$1:$C$5)</f>
        <v>江永</v>
      </c>
      <c r="K796" t="str">
        <f>_xlfn.XLOOKUP($C796,战区信息!$A$1:$A$5,战区信息!$D$1:$D$5)</f>
        <v>一级战区</v>
      </c>
      <c r="L796" t="str">
        <f>_xlfn.XLOOKUP($D796,城市信息!$B$1:$B$14,城市信息!$A$1:$A$14)</f>
        <v>004</v>
      </c>
      <c r="M796" t="str">
        <f>_xlfn.XLOOKUP($D796,城市信息!$B$1:$B$14,城市信息!$C$1:$C$14)</f>
        <v>苏川</v>
      </c>
      <c r="N796" t="str">
        <f>_xlfn.XLOOKUP($D796,城市信息!$B$1:$B$14,城市信息!$D$1:$D$14)</f>
        <v>二线</v>
      </c>
      <c r="O796">
        <f>_xlfn.XLOOKUP($D796,城市信息!$B$1:$B$14,城市信息!$E$1:$E$14)</f>
        <v>9912</v>
      </c>
      <c r="P796" cm="1">
        <f t="array" ref="P796:U796">_xlfn.XLOOKUP(A796&amp;B796,'[1]2.4自动化报表-8月获客数据-非乱码'!$A:$A&amp;'[1]2.4自动化报表-8月获客数据-非乱码'!$B:$B,'[1]2.4自动化报表-8月获客数据-非乱码'!$C:$H)</f>
        <v>3923</v>
      </c>
      <c r="Q796">
        <v>3839</v>
      </c>
      <c r="R796">
        <v>3702</v>
      </c>
      <c r="S796">
        <v>2130</v>
      </c>
      <c r="T796">
        <v>1191</v>
      </c>
      <c r="U796">
        <v>697</v>
      </c>
    </row>
    <row r="797" spans="1:21" x14ac:dyDescent="0.3">
      <c r="A797" s="1">
        <v>44072</v>
      </c>
      <c r="B797" t="s">
        <v>16</v>
      </c>
      <c r="C797" t="s">
        <v>108</v>
      </c>
      <c r="D797" t="s">
        <v>59</v>
      </c>
      <c r="E797" t="s">
        <v>117</v>
      </c>
      <c r="F797" s="2">
        <v>79822</v>
      </c>
      <c r="G797" s="2">
        <v>4946</v>
      </c>
      <c r="H797">
        <v>0</v>
      </c>
      <c r="I797" t="str">
        <f>_xlfn.XLOOKUP($C797,战区信息!$A$1:$A$5,战区信息!$B$1:$B$5)</f>
        <v>001</v>
      </c>
      <c r="J797" t="str">
        <f>_xlfn.XLOOKUP($C797,战区信息!$A$1:$A$5,战区信息!$C$1:$C$5)</f>
        <v>江永</v>
      </c>
      <c r="K797" t="str">
        <f>_xlfn.XLOOKUP($C797,战区信息!$A$1:$A$5,战区信息!$D$1:$D$5)</f>
        <v>一级战区</v>
      </c>
      <c r="L797" t="str">
        <f>_xlfn.XLOOKUP($D797,城市信息!$B$1:$B$14,城市信息!$A$1:$A$14)</f>
        <v>004</v>
      </c>
      <c r="M797" t="str">
        <f>_xlfn.XLOOKUP($D797,城市信息!$B$1:$B$14,城市信息!$C$1:$C$14)</f>
        <v>苏川</v>
      </c>
      <c r="N797" t="str">
        <f>_xlfn.XLOOKUP($D797,城市信息!$B$1:$B$14,城市信息!$D$1:$D$14)</f>
        <v>二线</v>
      </c>
      <c r="O797">
        <f>_xlfn.XLOOKUP($D797,城市信息!$B$1:$B$14,城市信息!$E$1:$E$14)</f>
        <v>9912</v>
      </c>
      <c r="P797" cm="1">
        <f t="array" ref="P797:U797">_xlfn.XLOOKUP(A797&amp;B797,'[1]2.4自动化报表-8月获客数据-非乱码'!$A:$A&amp;'[1]2.4自动化报表-8月获客数据-非乱码'!$B:$B,'[1]2.4自动化报表-8月获客数据-非乱码'!$C:$H)</f>
        <v>2105</v>
      </c>
      <c r="Q797">
        <v>2042</v>
      </c>
      <c r="R797">
        <v>1946</v>
      </c>
      <c r="S797">
        <v>1120</v>
      </c>
      <c r="T797">
        <v>651</v>
      </c>
      <c r="U797">
        <v>696</v>
      </c>
    </row>
    <row r="798" spans="1:21" x14ac:dyDescent="0.3">
      <c r="A798" s="1">
        <v>44072</v>
      </c>
      <c r="B798" t="s">
        <v>15</v>
      </c>
      <c r="C798" t="s">
        <v>108</v>
      </c>
      <c r="D798" t="s">
        <v>59</v>
      </c>
      <c r="E798" t="s">
        <v>118</v>
      </c>
      <c r="F798" s="2">
        <v>76102</v>
      </c>
      <c r="G798" s="2">
        <v>3803</v>
      </c>
      <c r="H798">
        <v>0</v>
      </c>
      <c r="I798" t="str">
        <f>_xlfn.XLOOKUP($C798,战区信息!$A$1:$A$5,战区信息!$B$1:$B$5)</f>
        <v>001</v>
      </c>
      <c r="J798" t="str">
        <f>_xlfn.XLOOKUP($C798,战区信息!$A$1:$A$5,战区信息!$C$1:$C$5)</f>
        <v>江永</v>
      </c>
      <c r="K798" t="str">
        <f>_xlfn.XLOOKUP($C798,战区信息!$A$1:$A$5,战区信息!$D$1:$D$5)</f>
        <v>一级战区</v>
      </c>
      <c r="L798" t="str">
        <f>_xlfn.XLOOKUP($D798,城市信息!$B$1:$B$14,城市信息!$A$1:$A$14)</f>
        <v>004</v>
      </c>
      <c r="M798" t="str">
        <f>_xlfn.XLOOKUP($D798,城市信息!$B$1:$B$14,城市信息!$C$1:$C$14)</f>
        <v>苏川</v>
      </c>
      <c r="N798" t="str">
        <f>_xlfn.XLOOKUP($D798,城市信息!$B$1:$B$14,城市信息!$D$1:$D$14)</f>
        <v>二线</v>
      </c>
      <c r="O798">
        <f>_xlfn.XLOOKUP($D798,城市信息!$B$1:$B$14,城市信息!$E$1:$E$14)</f>
        <v>9912</v>
      </c>
      <c r="P798" cm="1">
        <f t="array" ref="P798:U798">_xlfn.XLOOKUP(A798&amp;B798,'[1]2.4自动化报表-8月获客数据-非乱码'!$A:$A&amp;'[1]2.4自动化报表-8月获客数据-非乱码'!$B:$B,'[1]2.4自动化报表-8月获客数据-非乱码'!$C:$H)</f>
        <v>1232</v>
      </c>
      <c r="Q798">
        <v>1209</v>
      </c>
      <c r="R798">
        <v>1167</v>
      </c>
      <c r="S798">
        <v>729</v>
      </c>
      <c r="T798">
        <v>383</v>
      </c>
      <c r="U798">
        <v>699</v>
      </c>
    </row>
    <row r="799" spans="1:21" x14ac:dyDescent="0.3">
      <c r="A799" s="1">
        <v>44072</v>
      </c>
      <c r="B799" t="s">
        <v>14</v>
      </c>
      <c r="C799" t="s">
        <v>108</v>
      </c>
      <c r="D799" t="s">
        <v>59</v>
      </c>
      <c r="E799" t="s">
        <v>119</v>
      </c>
      <c r="F799" s="2">
        <v>87030</v>
      </c>
      <c r="G799" s="2">
        <v>4740</v>
      </c>
      <c r="H799">
        <v>0</v>
      </c>
      <c r="I799" t="str">
        <f>_xlfn.XLOOKUP($C799,战区信息!$A$1:$A$5,战区信息!$B$1:$B$5)</f>
        <v>001</v>
      </c>
      <c r="J799" t="str">
        <f>_xlfn.XLOOKUP($C799,战区信息!$A$1:$A$5,战区信息!$C$1:$C$5)</f>
        <v>江永</v>
      </c>
      <c r="K799" t="str">
        <f>_xlfn.XLOOKUP($C799,战区信息!$A$1:$A$5,战区信息!$D$1:$D$5)</f>
        <v>一级战区</v>
      </c>
      <c r="L799" t="str">
        <f>_xlfn.XLOOKUP($D799,城市信息!$B$1:$B$14,城市信息!$A$1:$A$14)</f>
        <v>004</v>
      </c>
      <c r="M799" t="str">
        <f>_xlfn.XLOOKUP($D799,城市信息!$B$1:$B$14,城市信息!$C$1:$C$14)</f>
        <v>苏川</v>
      </c>
      <c r="N799" t="str">
        <f>_xlfn.XLOOKUP($D799,城市信息!$B$1:$B$14,城市信息!$D$1:$D$14)</f>
        <v>二线</v>
      </c>
      <c r="O799">
        <f>_xlfn.XLOOKUP($D799,城市信息!$B$1:$B$14,城市信息!$E$1:$E$14)</f>
        <v>9912</v>
      </c>
      <c r="P799" cm="1">
        <f t="array" ref="P799:U799">_xlfn.XLOOKUP(A799&amp;B799,'[1]2.4自动化报表-8月获客数据-非乱码'!$A:$A&amp;'[1]2.4自动化报表-8月获客数据-非乱码'!$B:$B,'[1]2.4自动化报表-8月获客数据-非乱码'!$C:$H)</f>
        <v>2267</v>
      </c>
      <c r="Q799">
        <v>2188</v>
      </c>
      <c r="R799">
        <v>2100</v>
      </c>
      <c r="S799">
        <v>1328</v>
      </c>
      <c r="T799">
        <v>701</v>
      </c>
      <c r="U799">
        <v>699</v>
      </c>
    </row>
    <row r="800" spans="1:21" x14ac:dyDescent="0.3">
      <c r="A800" s="1">
        <v>44072</v>
      </c>
      <c r="B800" t="s">
        <v>13</v>
      </c>
      <c r="C800" t="s">
        <v>108</v>
      </c>
      <c r="D800" t="s">
        <v>60</v>
      </c>
      <c r="E800" t="s">
        <v>120</v>
      </c>
      <c r="F800" s="2">
        <v>289292</v>
      </c>
      <c r="G800" s="2">
        <v>13880</v>
      </c>
      <c r="H800" s="2">
        <v>10516</v>
      </c>
      <c r="I800" t="str">
        <f>_xlfn.XLOOKUP($C800,战区信息!$A$1:$A$5,战区信息!$B$1:$B$5)</f>
        <v>001</v>
      </c>
      <c r="J800" t="str">
        <f>_xlfn.XLOOKUP($C800,战区信息!$A$1:$A$5,战区信息!$C$1:$C$5)</f>
        <v>江永</v>
      </c>
      <c r="K800" t="str">
        <f>_xlfn.XLOOKUP($C800,战区信息!$A$1:$A$5,战区信息!$D$1:$D$5)</f>
        <v>一级战区</v>
      </c>
      <c r="L800" t="str">
        <f>_xlfn.XLOOKUP($D800,城市信息!$B$1:$B$14,城市信息!$A$1:$A$14)</f>
        <v>005</v>
      </c>
      <c r="M800" t="str">
        <f>_xlfn.XLOOKUP($D800,城市信息!$B$1:$B$14,城市信息!$C$1:$C$14)</f>
        <v>侯阳冰</v>
      </c>
      <c r="N800" t="str">
        <f>_xlfn.XLOOKUP($D800,城市信息!$B$1:$B$14,城市信息!$D$1:$D$14)</f>
        <v>二线</v>
      </c>
      <c r="O800">
        <f>_xlfn.XLOOKUP($D800,城市信息!$B$1:$B$14,城市信息!$E$1:$E$14)</f>
        <v>8694</v>
      </c>
      <c r="P800" cm="1">
        <f t="array" ref="P800:U800">_xlfn.XLOOKUP(A800&amp;B800,'[1]2.4自动化报表-8月获客数据-非乱码'!$A:$A&amp;'[1]2.4自动化报表-8月获客数据-非乱码'!$B:$B,'[1]2.4自动化报表-8月获客数据-非乱码'!$C:$H)</f>
        <v>5695</v>
      </c>
      <c r="Q800">
        <v>5560</v>
      </c>
      <c r="R800">
        <v>5295</v>
      </c>
      <c r="S800">
        <v>3314</v>
      </c>
      <c r="T800">
        <v>1623</v>
      </c>
      <c r="U800">
        <v>697</v>
      </c>
    </row>
    <row r="801" spans="1:21" x14ac:dyDescent="0.3">
      <c r="A801" s="1">
        <v>44072</v>
      </c>
      <c r="B801" t="s">
        <v>12</v>
      </c>
      <c r="C801" t="s">
        <v>108</v>
      </c>
      <c r="D801" t="s">
        <v>60</v>
      </c>
      <c r="E801" t="s">
        <v>121</v>
      </c>
      <c r="F801" s="2">
        <v>57041</v>
      </c>
      <c r="G801" s="2">
        <v>4715</v>
      </c>
      <c r="H801">
        <v>0</v>
      </c>
      <c r="I801" t="str">
        <f>_xlfn.XLOOKUP($C801,战区信息!$A$1:$A$5,战区信息!$B$1:$B$5)</f>
        <v>001</v>
      </c>
      <c r="J801" t="str">
        <f>_xlfn.XLOOKUP($C801,战区信息!$A$1:$A$5,战区信息!$C$1:$C$5)</f>
        <v>江永</v>
      </c>
      <c r="K801" t="str">
        <f>_xlfn.XLOOKUP($C801,战区信息!$A$1:$A$5,战区信息!$D$1:$D$5)</f>
        <v>一级战区</v>
      </c>
      <c r="L801" t="str">
        <f>_xlfn.XLOOKUP($D801,城市信息!$B$1:$B$14,城市信息!$A$1:$A$14)</f>
        <v>005</v>
      </c>
      <c r="M801" t="str">
        <f>_xlfn.XLOOKUP($D801,城市信息!$B$1:$B$14,城市信息!$C$1:$C$14)</f>
        <v>侯阳冰</v>
      </c>
      <c r="N801" t="str">
        <f>_xlfn.XLOOKUP($D801,城市信息!$B$1:$B$14,城市信息!$D$1:$D$14)</f>
        <v>二线</v>
      </c>
      <c r="O801">
        <f>_xlfn.XLOOKUP($D801,城市信息!$B$1:$B$14,城市信息!$E$1:$E$14)</f>
        <v>8694</v>
      </c>
      <c r="P801" cm="1">
        <f t="array" ref="P801:U801">_xlfn.XLOOKUP(A801&amp;B801,'[1]2.4自动化报表-8月获客数据-非乱码'!$A:$A&amp;'[1]2.4自动化报表-8月获客数据-非乱码'!$B:$B,'[1]2.4自动化报表-8月获客数据-非乱码'!$C:$H)</f>
        <v>1370</v>
      </c>
      <c r="Q801">
        <v>1349</v>
      </c>
      <c r="R801">
        <v>1280</v>
      </c>
      <c r="S801">
        <v>799</v>
      </c>
      <c r="T801">
        <v>416</v>
      </c>
      <c r="U801">
        <v>696</v>
      </c>
    </row>
    <row r="802" spans="1:21" x14ac:dyDescent="0.3">
      <c r="A802" s="1">
        <v>44072</v>
      </c>
      <c r="B802" t="s">
        <v>11</v>
      </c>
      <c r="C802" t="s">
        <v>108</v>
      </c>
      <c r="D802" t="s">
        <v>58</v>
      </c>
      <c r="E802" t="s">
        <v>122</v>
      </c>
      <c r="F802" s="2">
        <v>292904</v>
      </c>
      <c r="G802" s="2">
        <v>17055</v>
      </c>
      <c r="H802" s="2">
        <v>5890</v>
      </c>
      <c r="I802" t="str">
        <f>_xlfn.XLOOKUP($C802,战区信息!$A$1:$A$5,战区信息!$B$1:$B$5)</f>
        <v>001</v>
      </c>
      <c r="J802" t="str">
        <f>_xlfn.XLOOKUP($C802,战区信息!$A$1:$A$5,战区信息!$C$1:$C$5)</f>
        <v>江永</v>
      </c>
      <c r="K802" t="str">
        <f>_xlfn.XLOOKUP($C802,战区信息!$A$1:$A$5,战区信息!$D$1:$D$5)</f>
        <v>一级战区</v>
      </c>
      <c r="L802" t="str">
        <f>_xlfn.XLOOKUP($D802,城市信息!$B$1:$B$14,城市信息!$A$1:$A$14)</f>
        <v>003</v>
      </c>
      <c r="M802" t="str">
        <f>_xlfn.XLOOKUP($D802,城市信息!$B$1:$B$14,城市信息!$C$1:$C$14)</f>
        <v>杜光亮</v>
      </c>
      <c r="N802" t="str">
        <f>_xlfn.XLOOKUP($D802,城市信息!$B$1:$B$14,城市信息!$D$1:$D$14)</f>
        <v>二线</v>
      </c>
      <c r="O802">
        <f>_xlfn.XLOOKUP($D802,城市信息!$B$1:$B$14,城市信息!$E$1:$E$14)</f>
        <v>10499</v>
      </c>
      <c r="P802" cm="1">
        <f t="array" ref="P802:U802">_xlfn.XLOOKUP(A802&amp;B802,'[1]2.4自动化报表-8月获客数据-非乱码'!$A:$A&amp;'[1]2.4自动化报表-8月获客数据-非乱码'!$B:$B,'[1]2.4自动化报表-8月获客数据-非乱码'!$C:$H)</f>
        <v>7142</v>
      </c>
      <c r="Q802">
        <v>6878</v>
      </c>
      <c r="R802">
        <v>6510</v>
      </c>
      <c r="S802">
        <v>4029</v>
      </c>
      <c r="T802">
        <v>1872</v>
      </c>
      <c r="U802">
        <v>702</v>
      </c>
    </row>
    <row r="803" spans="1:21" x14ac:dyDescent="0.3">
      <c r="A803" s="1">
        <v>44072</v>
      </c>
      <c r="B803" t="s">
        <v>10</v>
      </c>
      <c r="C803" t="s">
        <v>108</v>
      </c>
      <c r="D803" t="s">
        <v>58</v>
      </c>
      <c r="E803" t="s">
        <v>123</v>
      </c>
      <c r="F803" s="2">
        <v>117623</v>
      </c>
      <c r="G803" s="2">
        <v>5951</v>
      </c>
      <c r="H803">
        <v>0</v>
      </c>
      <c r="I803" t="str">
        <f>_xlfn.XLOOKUP($C803,战区信息!$A$1:$A$5,战区信息!$B$1:$B$5)</f>
        <v>001</v>
      </c>
      <c r="J803" t="str">
        <f>_xlfn.XLOOKUP($C803,战区信息!$A$1:$A$5,战区信息!$C$1:$C$5)</f>
        <v>江永</v>
      </c>
      <c r="K803" t="str">
        <f>_xlfn.XLOOKUP($C803,战区信息!$A$1:$A$5,战区信息!$D$1:$D$5)</f>
        <v>一级战区</v>
      </c>
      <c r="L803" t="str">
        <f>_xlfn.XLOOKUP($D803,城市信息!$B$1:$B$14,城市信息!$A$1:$A$14)</f>
        <v>003</v>
      </c>
      <c r="M803" t="str">
        <f>_xlfn.XLOOKUP($D803,城市信息!$B$1:$B$14,城市信息!$C$1:$C$14)</f>
        <v>杜光亮</v>
      </c>
      <c r="N803" t="str">
        <f>_xlfn.XLOOKUP($D803,城市信息!$B$1:$B$14,城市信息!$D$1:$D$14)</f>
        <v>二线</v>
      </c>
      <c r="O803">
        <f>_xlfn.XLOOKUP($D803,城市信息!$B$1:$B$14,城市信息!$E$1:$E$14)</f>
        <v>10499</v>
      </c>
      <c r="P803" cm="1">
        <f t="array" ref="P803:U803">_xlfn.XLOOKUP(A803&amp;B803,'[1]2.4自动化报表-8月获客数据-非乱码'!$A:$A&amp;'[1]2.4自动化报表-8月获客数据-非乱码'!$B:$B,'[1]2.4自动化报表-8月获客数据-非乱码'!$C:$H)</f>
        <v>1773</v>
      </c>
      <c r="Q803">
        <v>1738</v>
      </c>
      <c r="R803">
        <v>1690</v>
      </c>
      <c r="S803">
        <v>1017</v>
      </c>
      <c r="T803">
        <v>614</v>
      </c>
      <c r="U803">
        <v>701</v>
      </c>
    </row>
    <row r="804" spans="1:21" x14ac:dyDescent="0.3">
      <c r="A804" s="1">
        <v>44072</v>
      </c>
      <c r="B804" t="s">
        <v>9</v>
      </c>
      <c r="C804" t="s">
        <v>108</v>
      </c>
      <c r="D804" t="s">
        <v>58</v>
      </c>
      <c r="E804" t="s">
        <v>124</v>
      </c>
      <c r="F804" s="2">
        <v>235080</v>
      </c>
      <c r="G804" s="2">
        <v>11984</v>
      </c>
      <c r="H804">
        <v>800</v>
      </c>
      <c r="I804" t="str">
        <f>_xlfn.XLOOKUP($C804,战区信息!$A$1:$A$5,战区信息!$B$1:$B$5)</f>
        <v>001</v>
      </c>
      <c r="J804" t="str">
        <f>_xlfn.XLOOKUP($C804,战区信息!$A$1:$A$5,战区信息!$C$1:$C$5)</f>
        <v>江永</v>
      </c>
      <c r="K804" t="str">
        <f>_xlfn.XLOOKUP($C804,战区信息!$A$1:$A$5,战区信息!$D$1:$D$5)</f>
        <v>一级战区</v>
      </c>
      <c r="L804" t="str">
        <f>_xlfn.XLOOKUP($D804,城市信息!$B$1:$B$14,城市信息!$A$1:$A$14)</f>
        <v>003</v>
      </c>
      <c r="M804" t="str">
        <f>_xlfn.XLOOKUP($D804,城市信息!$B$1:$B$14,城市信息!$C$1:$C$14)</f>
        <v>杜光亮</v>
      </c>
      <c r="N804" t="str">
        <f>_xlfn.XLOOKUP($D804,城市信息!$B$1:$B$14,城市信息!$D$1:$D$14)</f>
        <v>二线</v>
      </c>
      <c r="O804">
        <f>_xlfn.XLOOKUP($D804,城市信息!$B$1:$B$14,城市信息!$E$1:$E$14)</f>
        <v>10499</v>
      </c>
      <c r="P804" cm="1">
        <f t="array" ref="P804:U804">_xlfn.XLOOKUP(A804&amp;B804,'[1]2.4自动化报表-8月获客数据-非乱码'!$A:$A&amp;'[1]2.4自动化报表-8月获客数据-非乱码'!$B:$B,'[1]2.4自动化报表-8月获客数据-非乱码'!$C:$H)</f>
        <v>4603</v>
      </c>
      <c r="Q804">
        <v>4494</v>
      </c>
      <c r="R804">
        <v>4359</v>
      </c>
      <c r="S804">
        <v>2502</v>
      </c>
      <c r="T804">
        <v>1403</v>
      </c>
      <c r="U804">
        <v>694</v>
      </c>
    </row>
    <row r="805" spans="1:21" x14ac:dyDescent="0.3">
      <c r="A805" s="1">
        <v>44072</v>
      </c>
      <c r="B805" t="s">
        <v>8</v>
      </c>
      <c r="C805" t="s">
        <v>125</v>
      </c>
      <c r="D805" t="s">
        <v>66</v>
      </c>
      <c r="E805" t="s">
        <v>126</v>
      </c>
      <c r="F805" s="2">
        <v>59111</v>
      </c>
      <c r="G805" s="2">
        <v>3021</v>
      </c>
      <c r="H805" s="2">
        <v>1260</v>
      </c>
      <c r="I805" t="str">
        <f>_xlfn.XLOOKUP($C805,战区信息!$A$1:$A$5,战区信息!$B$1:$B$5)</f>
        <v>004</v>
      </c>
      <c r="J805" t="str">
        <f>_xlfn.XLOOKUP($C805,战区信息!$A$1:$A$5,战区信息!$C$1:$C$5)</f>
        <v>沈乐欣</v>
      </c>
      <c r="K805" t="str">
        <f>_xlfn.XLOOKUP($C805,战区信息!$A$1:$A$5,战区信息!$D$1:$D$5)</f>
        <v>三级战区</v>
      </c>
      <c r="L805" t="str">
        <f>_xlfn.XLOOKUP($D805,城市信息!$B$1:$B$14,城市信息!$A$1:$A$14)</f>
        <v>011</v>
      </c>
      <c r="M805" t="str">
        <f>_xlfn.XLOOKUP($D805,城市信息!$B$1:$B$14,城市信息!$C$1:$C$14)</f>
        <v>冯谦</v>
      </c>
      <c r="N805" t="str">
        <f>_xlfn.XLOOKUP($D805,城市信息!$B$1:$B$14,城市信息!$D$1:$D$14)</f>
        <v>一线</v>
      </c>
      <c r="O805">
        <f>_xlfn.XLOOKUP($D805,城市信息!$B$1:$B$14,城市信息!$E$1:$E$14)</f>
        <v>8244</v>
      </c>
      <c r="P805" cm="1">
        <f t="array" ref="P805:U805">_xlfn.XLOOKUP(A805&amp;B805,'[1]2.4自动化报表-8月获客数据-非乱码'!$A:$A&amp;'[1]2.4自动化报表-8月获客数据-非乱码'!$B:$B,'[1]2.4自动化报表-8月获客数据-非乱码'!$C:$H)</f>
        <v>1281</v>
      </c>
      <c r="Q805">
        <v>1269</v>
      </c>
      <c r="R805">
        <v>1233</v>
      </c>
      <c r="S805">
        <v>679</v>
      </c>
      <c r="T805">
        <v>449</v>
      </c>
      <c r="U805">
        <v>685</v>
      </c>
    </row>
    <row r="806" spans="1:21" x14ac:dyDescent="0.3">
      <c r="A806" s="1">
        <v>44072</v>
      </c>
      <c r="B806" t="s">
        <v>7</v>
      </c>
      <c r="C806" t="s">
        <v>125</v>
      </c>
      <c r="D806" t="s">
        <v>62</v>
      </c>
      <c r="E806" t="s">
        <v>127</v>
      </c>
      <c r="F806">
        <v>6</v>
      </c>
      <c r="G806">
        <v>0</v>
      </c>
      <c r="H806">
        <v>0</v>
      </c>
      <c r="I806" t="str">
        <f>_xlfn.XLOOKUP($C806,战区信息!$A$1:$A$5,战区信息!$B$1:$B$5)</f>
        <v>004</v>
      </c>
      <c r="J806" t="str">
        <f>_xlfn.XLOOKUP($C806,战区信息!$A$1:$A$5,战区信息!$C$1:$C$5)</f>
        <v>沈乐欣</v>
      </c>
      <c r="K806" t="str">
        <f>_xlfn.XLOOKUP($C806,战区信息!$A$1:$A$5,战区信息!$D$1:$D$5)</f>
        <v>三级战区</v>
      </c>
      <c r="L806" t="str">
        <f>_xlfn.XLOOKUP($D806,城市信息!$B$1:$B$14,城市信息!$A$1:$A$14)</f>
        <v>007</v>
      </c>
      <c r="M806" t="str">
        <f>_xlfn.XLOOKUP($D806,城市信息!$B$1:$B$14,城市信息!$C$1:$C$14)</f>
        <v>范俊发</v>
      </c>
      <c r="N806" t="str">
        <f>_xlfn.XLOOKUP($D806,城市信息!$B$1:$B$14,城市信息!$D$1:$D$14)</f>
        <v>一线</v>
      </c>
      <c r="O806">
        <f>_xlfn.XLOOKUP($D806,城市信息!$B$1:$B$14,城市信息!$E$1:$E$14)</f>
        <v>12358</v>
      </c>
      <c r="P806" cm="1">
        <f t="array" ref="P806:U806">_xlfn.XLOOKUP(A806&amp;B806,'[1]2.4自动化报表-8月获客数据-非乱码'!$A:$A&amp;'[1]2.4自动化报表-8月获客数据-非乱码'!$B:$B,'[1]2.4自动化报表-8月获客数据-非乱码'!$C:$H)</f>
        <v>37</v>
      </c>
      <c r="Q806">
        <v>35</v>
      </c>
      <c r="R806">
        <v>32</v>
      </c>
      <c r="S806">
        <v>19</v>
      </c>
      <c r="T806">
        <v>8</v>
      </c>
      <c r="U806">
        <v>697</v>
      </c>
    </row>
    <row r="807" spans="1:21" x14ac:dyDescent="0.3">
      <c r="A807" s="1">
        <v>44072</v>
      </c>
      <c r="B807" t="s">
        <v>6</v>
      </c>
      <c r="C807" t="s">
        <v>125</v>
      </c>
      <c r="D807" t="s">
        <v>62</v>
      </c>
      <c r="E807" t="s">
        <v>128</v>
      </c>
      <c r="F807" s="2">
        <v>45047</v>
      </c>
      <c r="G807" s="2">
        <v>2238</v>
      </c>
      <c r="H807">
        <v>0</v>
      </c>
      <c r="I807" t="str">
        <f>_xlfn.XLOOKUP($C807,战区信息!$A$1:$A$5,战区信息!$B$1:$B$5)</f>
        <v>004</v>
      </c>
      <c r="J807" t="str">
        <f>_xlfn.XLOOKUP($C807,战区信息!$A$1:$A$5,战区信息!$C$1:$C$5)</f>
        <v>沈乐欣</v>
      </c>
      <c r="K807" t="str">
        <f>_xlfn.XLOOKUP($C807,战区信息!$A$1:$A$5,战区信息!$D$1:$D$5)</f>
        <v>三级战区</v>
      </c>
      <c r="L807" t="str">
        <f>_xlfn.XLOOKUP($D807,城市信息!$B$1:$B$14,城市信息!$A$1:$A$14)</f>
        <v>007</v>
      </c>
      <c r="M807" t="str">
        <f>_xlfn.XLOOKUP($D807,城市信息!$B$1:$B$14,城市信息!$C$1:$C$14)</f>
        <v>范俊发</v>
      </c>
      <c r="N807" t="str">
        <f>_xlfn.XLOOKUP($D807,城市信息!$B$1:$B$14,城市信息!$D$1:$D$14)</f>
        <v>一线</v>
      </c>
      <c r="O807">
        <f>_xlfn.XLOOKUP($D807,城市信息!$B$1:$B$14,城市信息!$E$1:$E$14)</f>
        <v>12358</v>
      </c>
      <c r="P807" cm="1">
        <f t="array" ref="P807:U807">_xlfn.XLOOKUP(A807&amp;B807,'[1]2.4自动化报表-8月获客数据-非乱码'!$A:$A&amp;'[1]2.4自动化报表-8月获客数据-非乱码'!$B:$B,'[1]2.4自动化报表-8月获客数据-非乱码'!$C:$H)</f>
        <v>2188</v>
      </c>
      <c r="Q807">
        <v>2161</v>
      </c>
      <c r="R807">
        <v>2104</v>
      </c>
      <c r="S807">
        <v>1274</v>
      </c>
      <c r="T807">
        <v>736</v>
      </c>
      <c r="U807">
        <v>689</v>
      </c>
    </row>
    <row r="808" spans="1:21" x14ac:dyDescent="0.3">
      <c r="A808" s="1">
        <v>44072</v>
      </c>
      <c r="B808" t="s">
        <v>5</v>
      </c>
      <c r="C808" t="s">
        <v>125</v>
      </c>
      <c r="D808" t="s">
        <v>62</v>
      </c>
      <c r="E808" t="s">
        <v>129</v>
      </c>
      <c r="F808" s="2">
        <v>68024</v>
      </c>
      <c r="G808" s="2">
        <v>3060</v>
      </c>
      <c r="H808" s="2">
        <v>21001</v>
      </c>
      <c r="I808" t="str">
        <f>_xlfn.XLOOKUP($C808,战区信息!$A$1:$A$5,战区信息!$B$1:$B$5)</f>
        <v>004</v>
      </c>
      <c r="J808" t="str">
        <f>_xlfn.XLOOKUP($C808,战区信息!$A$1:$A$5,战区信息!$C$1:$C$5)</f>
        <v>沈乐欣</v>
      </c>
      <c r="K808" t="str">
        <f>_xlfn.XLOOKUP($C808,战区信息!$A$1:$A$5,战区信息!$D$1:$D$5)</f>
        <v>三级战区</v>
      </c>
      <c r="L808" t="str">
        <f>_xlfn.XLOOKUP($D808,城市信息!$B$1:$B$14,城市信息!$A$1:$A$14)</f>
        <v>007</v>
      </c>
      <c r="M808" t="str">
        <f>_xlfn.XLOOKUP($D808,城市信息!$B$1:$B$14,城市信息!$C$1:$C$14)</f>
        <v>范俊发</v>
      </c>
      <c r="N808" t="str">
        <f>_xlfn.XLOOKUP($D808,城市信息!$B$1:$B$14,城市信息!$D$1:$D$14)</f>
        <v>一线</v>
      </c>
      <c r="O808">
        <f>_xlfn.XLOOKUP($D808,城市信息!$B$1:$B$14,城市信息!$E$1:$E$14)</f>
        <v>12358</v>
      </c>
      <c r="P808" cm="1">
        <f t="array" ref="P808:U808">_xlfn.XLOOKUP(A808&amp;B808,'[1]2.4自动化报表-8月获客数据-非乱码'!$A:$A&amp;'[1]2.4自动化报表-8月获客数据-非乱码'!$B:$B,'[1]2.4自动化报表-8月获客数据-非乱码'!$C:$H)</f>
        <v>2225</v>
      </c>
      <c r="Q808">
        <v>2174</v>
      </c>
      <c r="R808">
        <v>2081</v>
      </c>
      <c r="S808">
        <v>1321</v>
      </c>
      <c r="T808">
        <v>668</v>
      </c>
      <c r="U808">
        <v>689</v>
      </c>
    </row>
    <row r="809" spans="1:21" x14ac:dyDescent="0.3">
      <c r="A809" s="1">
        <v>44072</v>
      </c>
      <c r="B809" t="s">
        <v>33</v>
      </c>
      <c r="C809" t="s">
        <v>125</v>
      </c>
      <c r="D809" t="s">
        <v>62</v>
      </c>
      <c r="E809" t="s">
        <v>130</v>
      </c>
      <c r="F809" s="2">
        <v>5501</v>
      </c>
      <c r="G809">
        <v>337</v>
      </c>
      <c r="H809">
        <v>0</v>
      </c>
      <c r="I809" t="str">
        <f>_xlfn.XLOOKUP($C809,战区信息!$A$1:$A$5,战区信息!$B$1:$B$5)</f>
        <v>004</v>
      </c>
      <c r="J809" t="str">
        <f>_xlfn.XLOOKUP($C809,战区信息!$A$1:$A$5,战区信息!$C$1:$C$5)</f>
        <v>沈乐欣</v>
      </c>
      <c r="K809" t="str">
        <f>_xlfn.XLOOKUP($C809,战区信息!$A$1:$A$5,战区信息!$D$1:$D$5)</f>
        <v>三级战区</v>
      </c>
      <c r="L809" t="str">
        <f>_xlfn.XLOOKUP($D809,城市信息!$B$1:$B$14,城市信息!$A$1:$A$14)</f>
        <v>007</v>
      </c>
      <c r="M809" t="str">
        <f>_xlfn.XLOOKUP($D809,城市信息!$B$1:$B$14,城市信息!$C$1:$C$14)</f>
        <v>范俊发</v>
      </c>
      <c r="N809" t="str">
        <f>_xlfn.XLOOKUP($D809,城市信息!$B$1:$B$14,城市信息!$D$1:$D$14)</f>
        <v>一线</v>
      </c>
      <c r="O809">
        <f>_xlfn.XLOOKUP($D809,城市信息!$B$1:$B$14,城市信息!$E$1:$E$14)</f>
        <v>12358</v>
      </c>
      <c r="P809" cm="1">
        <f t="array" ref="P809:U809">_xlfn.XLOOKUP(A809&amp;B809,'[1]2.4自动化报表-8月获客数据-非乱码'!$A:$A&amp;'[1]2.4自动化报表-8月获客数据-非乱码'!$B:$B,'[1]2.4自动化报表-8月获客数据-非乱码'!$C:$H)</f>
        <v>207</v>
      </c>
      <c r="Q809">
        <v>204</v>
      </c>
      <c r="R809">
        <v>195</v>
      </c>
      <c r="S809">
        <v>121</v>
      </c>
      <c r="T809">
        <v>79</v>
      </c>
      <c r="U809">
        <v>696</v>
      </c>
    </row>
    <row r="810" spans="1:21" x14ac:dyDescent="0.3">
      <c r="A810" s="1">
        <v>44073</v>
      </c>
      <c r="B810" t="s">
        <v>32</v>
      </c>
      <c r="C810" t="s">
        <v>97</v>
      </c>
      <c r="D810" t="s">
        <v>67</v>
      </c>
      <c r="E810" t="s">
        <v>98</v>
      </c>
      <c r="F810" s="2">
        <v>97076</v>
      </c>
      <c r="G810" s="2">
        <v>5738</v>
      </c>
      <c r="H810">
        <v>0</v>
      </c>
      <c r="I810" t="str">
        <f>_xlfn.XLOOKUP($C810,战区信息!$A$1:$A$5,战区信息!$B$1:$B$5)</f>
        <v>003</v>
      </c>
      <c r="J810" t="str">
        <f>_xlfn.XLOOKUP($C810,战区信息!$A$1:$A$5,战区信息!$C$1:$C$5)</f>
        <v>田楠</v>
      </c>
      <c r="K810" t="str">
        <f>_xlfn.XLOOKUP($C810,战区信息!$A$1:$A$5,战区信息!$D$1:$D$5)</f>
        <v>二级战区</v>
      </c>
      <c r="L810" t="str">
        <f>_xlfn.XLOOKUP($D810,城市信息!$B$1:$B$14,城市信息!$A$1:$A$14)</f>
        <v>012</v>
      </c>
      <c r="M810" t="str">
        <f>_xlfn.XLOOKUP($D810,城市信息!$B$1:$B$14,城市信息!$C$1:$C$14)</f>
        <v>于子默</v>
      </c>
      <c r="N810" t="str">
        <f>_xlfn.XLOOKUP($D810,城市信息!$B$1:$B$14,城市信息!$D$1:$D$14)</f>
        <v>二线</v>
      </c>
      <c r="O810">
        <f>_xlfn.XLOOKUP($D810,城市信息!$B$1:$B$14,城市信息!$E$1:$E$14)</f>
        <v>9713</v>
      </c>
      <c r="P810" cm="1">
        <f t="array" ref="P810:U810">_xlfn.XLOOKUP(A810&amp;B810,'[1]2.4自动化报表-8月获客数据-非乱码'!$A:$A&amp;'[1]2.4自动化报表-8月获客数据-非乱码'!$B:$B,'[1]2.4自动化报表-8月获客数据-非乱码'!$C:$H)</f>
        <v>2133</v>
      </c>
      <c r="Q810">
        <v>2102</v>
      </c>
      <c r="R810">
        <v>2043</v>
      </c>
      <c r="S810">
        <v>1310</v>
      </c>
      <c r="T810">
        <v>719</v>
      </c>
      <c r="U810">
        <v>691</v>
      </c>
    </row>
    <row r="811" spans="1:21" x14ac:dyDescent="0.3">
      <c r="A811" s="1">
        <v>44073</v>
      </c>
      <c r="B811" t="s">
        <v>31</v>
      </c>
      <c r="C811" t="s">
        <v>97</v>
      </c>
      <c r="D811" t="s">
        <v>65</v>
      </c>
      <c r="E811" t="s">
        <v>99</v>
      </c>
      <c r="F811" s="2">
        <v>178647</v>
      </c>
      <c r="G811" s="2">
        <v>9143</v>
      </c>
      <c r="H811">
        <v>0</v>
      </c>
      <c r="I811" t="str">
        <f>_xlfn.XLOOKUP($C811,战区信息!$A$1:$A$5,战区信息!$B$1:$B$5)</f>
        <v>003</v>
      </c>
      <c r="J811" t="str">
        <f>_xlfn.XLOOKUP($C811,战区信息!$A$1:$A$5,战区信息!$C$1:$C$5)</f>
        <v>田楠</v>
      </c>
      <c r="K811" t="str">
        <f>_xlfn.XLOOKUP($C811,战区信息!$A$1:$A$5,战区信息!$D$1:$D$5)</f>
        <v>二级战区</v>
      </c>
      <c r="L811" t="str">
        <f>_xlfn.XLOOKUP($D811,城市信息!$B$1:$B$14,城市信息!$A$1:$A$14)</f>
        <v>010</v>
      </c>
      <c r="M811" t="str">
        <f>_xlfn.XLOOKUP($D811,城市信息!$B$1:$B$14,城市信息!$C$1:$C$14)</f>
        <v>黄鹏天</v>
      </c>
      <c r="N811" t="str">
        <f>_xlfn.XLOOKUP($D811,城市信息!$B$1:$B$14,城市信息!$D$1:$D$14)</f>
        <v>二线</v>
      </c>
      <c r="O811">
        <f>_xlfn.XLOOKUP($D811,城市信息!$B$1:$B$14,城市信息!$E$1:$E$14)</f>
        <v>8295</v>
      </c>
      <c r="P811" cm="1">
        <f t="array" ref="P811:U811">_xlfn.XLOOKUP(A811&amp;B811,'[1]2.4自动化报表-8月获客数据-非乱码'!$A:$A&amp;'[1]2.4自动化报表-8月获客数据-非乱码'!$B:$B,'[1]2.4自动化报表-8月获客数据-非乱码'!$C:$H)</f>
        <v>2969</v>
      </c>
      <c r="Q811">
        <v>2920</v>
      </c>
      <c r="R811">
        <v>2830</v>
      </c>
      <c r="S811">
        <v>1732</v>
      </c>
      <c r="T811">
        <v>979</v>
      </c>
      <c r="U811">
        <v>692</v>
      </c>
    </row>
    <row r="812" spans="1:21" x14ac:dyDescent="0.3">
      <c r="A812" s="1">
        <v>44073</v>
      </c>
      <c r="B812" t="s">
        <v>30</v>
      </c>
      <c r="C812" t="s">
        <v>97</v>
      </c>
      <c r="D812" t="s">
        <v>61</v>
      </c>
      <c r="E812" t="s">
        <v>100</v>
      </c>
      <c r="F812" s="2">
        <v>125294</v>
      </c>
      <c r="G812" s="2">
        <v>6388</v>
      </c>
      <c r="H812">
        <v>954</v>
      </c>
      <c r="I812" t="str">
        <f>_xlfn.XLOOKUP($C812,战区信息!$A$1:$A$5,战区信息!$B$1:$B$5)</f>
        <v>003</v>
      </c>
      <c r="J812" t="str">
        <f>_xlfn.XLOOKUP($C812,战区信息!$A$1:$A$5,战区信息!$C$1:$C$5)</f>
        <v>田楠</v>
      </c>
      <c r="K812" t="str">
        <f>_xlfn.XLOOKUP($C812,战区信息!$A$1:$A$5,战区信息!$D$1:$D$5)</f>
        <v>二级战区</v>
      </c>
      <c r="L812" t="str">
        <f>_xlfn.XLOOKUP($D812,城市信息!$B$1:$B$14,城市信息!$A$1:$A$14)</f>
        <v>006</v>
      </c>
      <c r="M812" t="str">
        <f>_xlfn.XLOOKUP($D812,城市信息!$B$1:$B$14,城市信息!$C$1:$C$14)</f>
        <v>王刚</v>
      </c>
      <c r="N812" t="str">
        <f>_xlfn.XLOOKUP($D812,城市信息!$B$1:$B$14,城市信息!$D$1:$D$14)</f>
        <v>二线</v>
      </c>
      <c r="O812">
        <f>_xlfn.XLOOKUP($D812,城市信息!$B$1:$B$14,城市信息!$E$1:$E$14)</f>
        <v>9107</v>
      </c>
      <c r="P812" cm="1">
        <f t="array" ref="P812:U812">_xlfn.XLOOKUP(A812&amp;B812,'[1]2.4自动化报表-8月获客数据-非乱码'!$A:$A&amp;'[1]2.4自动化报表-8月获客数据-非乱码'!$B:$B,'[1]2.4自动化报表-8月获客数据-非乱码'!$C:$H)</f>
        <v>4883</v>
      </c>
      <c r="Q812">
        <v>4768</v>
      </c>
      <c r="R812">
        <v>4579</v>
      </c>
      <c r="S812">
        <v>2878</v>
      </c>
      <c r="T812">
        <v>1484</v>
      </c>
      <c r="U812">
        <v>699</v>
      </c>
    </row>
    <row r="813" spans="1:21" x14ac:dyDescent="0.3">
      <c r="A813" s="1">
        <v>44073</v>
      </c>
      <c r="B813" t="s">
        <v>29</v>
      </c>
      <c r="C813" t="s">
        <v>97</v>
      </c>
      <c r="D813" t="s">
        <v>64</v>
      </c>
      <c r="E813" t="s">
        <v>101</v>
      </c>
      <c r="F813" s="2">
        <v>98023</v>
      </c>
      <c r="G813" s="2">
        <v>5408</v>
      </c>
      <c r="H813">
        <v>0</v>
      </c>
      <c r="I813" t="str">
        <f>_xlfn.XLOOKUP($C813,战区信息!$A$1:$A$5,战区信息!$B$1:$B$5)</f>
        <v>003</v>
      </c>
      <c r="J813" t="str">
        <f>_xlfn.XLOOKUP($C813,战区信息!$A$1:$A$5,战区信息!$C$1:$C$5)</f>
        <v>田楠</v>
      </c>
      <c r="K813" t="str">
        <f>_xlfn.XLOOKUP($C813,战区信息!$A$1:$A$5,战区信息!$D$1:$D$5)</f>
        <v>二级战区</v>
      </c>
      <c r="L813" t="str">
        <f>_xlfn.XLOOKUP($D813,城市信息!$B$1:$B$14,城市信息!$A$1:$A$14)</f>
        <v>009</v>
      </c>
      <c r="M813" t="str">
        <f>_xlfn.XLOOKUP($D813,城市信息!$B$1:$B$14,城市信息!$C$1:$C$14)</f>
        <v>叶超</v>
      </c>
      <c r="N813" t="str">
        <f>_xlfn.XLOOKUP($D813,城市信息!$B$1:$B$14,城市信息!$D$1:$D$14)</f>
        <v>二线</v>
      </c>
      <c r="O813">
        <f>_xlfn.XLOOKUP($D813,城市信息!$B$1:$B$14,城市信息!$E$1:$E$14)</f>
        <v>9016</v>
      </c>
      <c r="P813" cm="1">
        <f t="array" ref="P813:U813">_xlfn.XLOOKUP(A813&amp;B813,'[1]2.4自动化报表-8月获客数据-非乱码'!$A:$A&amp;'[1]2.4自动化报表-8月获客数据-非乱码'!$B:$B,'[1]2.4自动化报表-8月获客数据-非乱码'!$C:$H)</f>
        <v>2845</v>
      </c>
      <c r="Q813">
        <v>2773</v>
      </c>
      <c r="R813">
        <v>2675</v>
      </c>
      <c r="S813">
        <v>1720</v>
      </c>
      <c r="T813">
        <v>949</v>
      </c>
      <c r="U813">
        <v>691</v>
      </c>
    </row>
    <row r="814" spans="1:21" x14ac:dyDescent="0.3">
      <c r="A814" s="1">
        <v>44073</v>
      </c>
      <c r="B814" t="s">
        <v>28</v>
      </c>
      <c r="C814" t="s">
        <v>97</v>
      </c>
      <c r="D814" t="s">
        <v>64</v>
      </c>
      <c r="E814" t="s">
        <v>102</v>
      </c>
      <c r="F814" s="2">
        <v>43080</v>
      </c>
      <c r="G814" s="2">
        <v>2901</v>
      </c>
      <c r="H814">
        <v>0</v>
      </c>
      <c r="I814" t="str">
        <f>_xlfn.XLOOKUP($C814,战区信息!$A$1:$A$5,战区信息!$B$1:$B$5)</f>
        <v>003</v>
      </c>
      <c r="J814" t="str">
        <f>_xlfn.XLOOKUP($C814,战区信息!$A$1:$A$5,战区信息!$C$1:$C$5)</f>
        <v>田楠</v>
      </c>
      <c r="K814" t="str">
        <f>_xlfn.XLOOKUP($C814,战区信息!$A$1:$A$5,战区信息!$D$1:$D$5)</f>
        <v>二级战区</v>
      </c>
      <c r="L814" t="str">
        <f>_xlfn.XLOOKUP($D814,城市信息!$B$1:$B$14,城市信息!$A$1:$A$14)</f>
        <v>009</v>
      </c>
      <c r="M814" t="str">
        <f>_xlfn.XLOOKUP($D814,城市信息!$B$1:$B$14,城市信息!$C$1:$C$14)</f>
        <v>叶超</v>
      </c>
      <c r="N814" t="str">
        <f>_xlfn.XLOOKUP($D814,城市信息!$B$1:$B$14,城市信息!$D$1:$D$14)</f>
        <v>二线</v>
      </c>
      <c r="O814">
        <f>_xlfn.XLOOKUP($D814,城市信息!$B$1:$B$14,城市信息!$E$1:$E$14)</f>
        <v>9016</v>
      </c>
      <c r="P814" cm="1">
        <f t="array" ref="P814:U814">_xlfn.XLOOKUP(A814&amp;B814,'[1]2.4自动化报表-8月获客数据-非乱码'!$A:$A&amp;'[1]2.4自动化报表-8月获客数据-非乱码'!$B:$B,'[1]2.4自动化报表-8月获客数据-非乱码'!$C:$H)</f>
        <v>672</v>
      </c>
      <c r="Q814">
        <v>662</v>
      </c>
      <c r="R814">
        <v>643</v>
      </c>
      <c r="S814">
        <v>443</v>
      </c>
      <c r="T814">
        <v>209</v>
      </c>
      <c r="U814">
        <v>692</v>
      </c>
    </row>
    <row r="815" spans="1:21" x14ac:dyDescent="0.3">
      <c r="A815" s="1">
        <v>44073</v>
      </c>
      <c r="B815" t="s">
        <v>27</v>
      </c>
      <c r="C815" t="s">
        <v>103</v>
      </c>
      <c r="D815" t="s">
        <v>63</v>
      </c>
      <c r="E815" t="s">
        <v>104</v>
      </c>
      <c r="F815" s="2">
        <v>150550</v>
      </c>
      <c r="G815" s="2">
        <v>8114</v>
      </c>
      <c r="H815">
        <v>0</v>
      </c>
      <c r="I815" t="str">
        <f>_xlfn.XLOOKUP($C815,战区信息!$A$1:$A$5,战区信息!$B$1:$B$5)</f>
        <v>002</v>
      </c>
      <c r="J815" t="str">
        <f>_xlfn.XLOOKUP($C815,战区信息!$A$1:$A$5,战区信息!$C$1:$C$5)</f>
        <v>高安平</v>
      </c>
      <c r="K815" t="str">
        <f>_xlfn.XLOOKUP($C815,战区信息!$A$1:$A$5,战区信息!$D$1:$D$5)</f>
        <v>二级战区</v>
      </c>
      <c r="L815" t="str">
        <f>_xlfn.XLOOKUP($D815,城市信息!$B$1:$B$14,城市信息!$A$1:$A$14)</f>
        <v>008</v>
      </c>
      <c r="M815" t="str">
        <f>_xlfn.XLOOKUP($D815,城市信息!$B$1:$B$14,城市信息!$C$1:$C$14)</f>
        <v>高弘壮</v>
      </c>
      <c r="N815" t="str">
        <f>_xlfn.XLOOKUP($D815,城市信息!$B$1:$B$14,城市信息!$D$1:$D$14)</f>
        <v>一线</v>
      </c>
      <c r="O815">
        <f>_xlfn.XLOOKUP($D815,城市信息!$B$1:$B$14,城市信息!$E$1:$E$14)</f>
        <v>11498</v>
      </c>
      <c r="P815" cm="1">
        <f t="array" ref="P815:U815">_xlfn.XLOOKUP(A815&amp;B815,'[1]2.4自动化报表-8月获客数据-非乱码'!$A:$A&amp;'[1]2.4自动化报表-8月获客数据-非乱码'!$B:$B,'[1]2.4自动化报表-8月获客数据-非乱码'!$C:$H)</f>
        <v>3823</v>
      </c>
      <c r="Q815">
        <v>3708</v>
      </c>
      <c r="R815">
        <v>3535</v>
      </c>
      <c r="S815">
        <v>2103</v>
      </c>
      <c r="T815">
        <v>1122</v>
      </c>
      <c r="U815">
        <v>689</v>
      </c>
    </row>
    <row r="816" spans="1:21" x14ac:dyDescent="0.3">
      <c r="A816" s="1">
        <v>44073</v>
      </c>
      <c r="B816" t="s">
        <v>26</v>
      </c>
      <c r="C816" t="s">
        <v>103</v>
      </c>
      <c r="D816" t="s">
        <v>57</v>
      </c>
      <c r="E816" t="s">
        <v>105</v>
      </c>
      <c r="F816" s="2">
        <v>388298</v>
      </c>
      <c r="G816" s="2">
        <v>17808</v>
      </c>
      <c r="H816">
        <v>0</v>
      </c>
      <c r="I816" t="str">
        <f>_xlfn.XLOOKUP($C816,战区信息!$A$1:$A$5,战区信息!$B$1:$B$5)</f>
        <v>002</v>
      </c>
      <c r="J816" t="str">
        <f>_xlfn.XLOOKUP($C816,战区信息!$A$1:$A$5,战区信息!$C$1:$C$5)</f>
        <v>高安平</v>
      </c>
      <c r="K816" t="str">
        <f>_xlfn.XLOOKUP($C816,战区信息!$A$1:$A$5,战区信息!$D$1:$D$5)</f>
        <v>二级战区</v>
      </c>
      <c r="L816" t="str">
        <f>_xlfn.XLOOKUP($D816,城市信息!$B$1:$B$14,城市信息!$A$1:$A$14)</f>
        <v>002</v>
      </c>
      <c r="M816" t="str">
        <f>_xlfn.XLOOKUP($D816,城市信息!$B$1:$B$14,城市信息!$C$1:$C$14)</f>
        <v>孙乒</v>
      </c>
      <c r="N816" t="str">
        <f>_xlfn.XLOOKUP($D816,城市信息!$B$1:$B$14,城市信息!$D$1:$D$14)</f>
        <v>一线</v>
      </c>
      <c r="O816">
        <f>_xlfn.XLOOKUP($D816,城市信息!$B$1:$B$14,城市信息!$E$1:$E$14)</f>
        <v>9854</v>
      </c>
      <c r="P816" cm="1">
        <f t="array" ref="P816:U816">_xlfn.XLOOKUP(A816&amp;B816,'[1]2.4自动化报表-8月获客数据-非乱码'!$A:$A&amp;'[1]2.4自动化报表-8月获客数据-非乱码'!$B:$B,'[1]2.4自动化报表-8月获客数据-非乱码'!$C:$H)</f>
        <v>7766</v>
      </c>
      <c r="Q816">
        <v>7581</v>
      </c>
      <c r="R816">
        <v>7277</v>
      </c>
      <c r="S816">
        <v>4488</v>
      </c>
      <c r="T816">
        <v>2479</v>
      </c>
      <c r="U816">
        <v>688</v>
      </c>
    </row>
    <row r="817" spans="1:21" x14ac:dyDescent="0.3">
      <c r="A817" s="1">
        <v>44073</v>
      </c>
      <c r="B817" t="s">
        <v>25</v>
      </c>
      <c r="C817" t="s">
        <v>103</v>
      </c>
      <c r="D817" t="s">
        <v>57</v>
      </c>
      <c r="E817" t="s">
        <v>106</v>
      </c>
      <c r="F817" s="2">
        <v>74722</v>
      </c>
      <c r="G817" s="2">
        <v>4289</v>
      </c>
      <c r="H817">
        <v>0</v>
      </c>
      <c r="I817" t="str">
        <f>_xlfn.XLOOKUP($C817,战区信息!$A$1:$A$5,战区信息!$B$1:$B$5)</f>
        <v>002</v>
      </c>
      <c r="J817" t="str">
        <f>_xlfn.XLOOKUP($C817,战区信息!$A$1:$A$5,战区信息!$C$1:$C$5)</f>
        <v>高安平</v>
      </c>
      <c r="K817" t="str">
        <f>_xlfn.XLOOKUP($C817,战区信息!$A$1:$A$5,战区信息!$D$1:$D$5)</f>
        <v>二级战区</v>
      </c>
      <c r="L817" t="str">
        <f>_xlfn.XLOOKUP($D817,城市信息!$B$1:$B$14,城市信息!$A$1:$A$14)</f>
        <v>002</v>
      </c>
      <c r="M817" t="str">
        <f>_xlfn.XLOOKUP($D817,城市信息!$B$1:$B$14,城市信息!$C$1:$C$14)</f>
        <v>孙乒</v>
      </c>
      <c r="N817" t="str">
        <f>_xlfn.XLOOKUP($D817,城市信息!$B$1:$B$14,城市信息!$D$1:$D$14)</f>
        <v>一线</v>
      </c>
      <c r="O817">
        <f>_xlfn.XLOOKUP($D817,城市信息!$B$1:$B$14,城市信息!$E$1:$E$14)</f>
        <v>9854</v>
      </c>
      <c r="P817" cm="1">
        <f t="array" ref="P817:U817">_xlfn.XLOOKUP(A817&amp;B817,'[1]2.4自动化报表-8月获客数据-非乱码'!$A:$A&amp;'[1]2.4自动化报表-8月获客数据-非乱码'!$B:$B,'[1]2.4自动化报表-8月获客数据-非乱码'!$C:$H)</f>
        <v>3843</v>
      </c>
      <c r="Q817">
        <v>3731</v>
      </c>
      <c r="R817">
        <v>3538</v>
      </c>
      <c r="S817">
        <v>2120</v>
      </c>
      <c r="T817">
        <v>1235</v>
      </c>
      <c r="U817">
        <v>689</v>
      </c>
    </row>
    <row r="818" spans="1:21" x14ac:dyDescent="0.3">
      <c r="A818" s="1">
        <v>44073</v>
      </c>
      <c r="B818" t="s">
        <v>24</v>
      </c>
      <c r="C818" t="s">
        <v>103</v>
      </c>
      <c r="D818" t="s">
        <v>57</v>
      </c>
      <c r="E818" t="s">
        <v>107</v>
      </c>
      <c r="F818" s="2">
        <v>73165</v>
      </c>
      <c r="G818" s="2">
        <v>3439</v>
      </c>
      <c r="H818" s="2">
        <v>1317</v>
      </c>
      <c r="I818" t="str">
        <f>_xlfn.XLOOKUP($C818,战区信息!$A$1:$A$5,战区信息!$B$1:$B$5)</f>
        <v>002</v>
      </c>
      <c r="J818" t="str">
        <f>_xlfn.XLOOKUP($C818,战区信息!$A$1:$A$5,战区信息!$C$1:$C$5)</f>
        <v>高安平</v>
      </c>
      <c r="K818" t="str">
        <f>_xlfn.XLOOKUP($C818,战区信息!$A$1:$A$5,战区信息!$D$1:$D$5)</f>
        <v>二级战区</v>
      </c>
      <c r="L818" t="str">
        <f>_xlfn.XLOOKUP($D818,城市信息!$B$1:$B$14,城市信息!$A$1:$A$14)</f>
        <v>002</v>
      </c>
      <c r="M818" t="str">
        <f>_xlfn.XLOOKUP($D818,城市信息!$B$1:$B$14,城市信息!$C$1:$C$14)</f>
        <v>孙乒</v>
      </c>
      <c r="N818" t="str">
        <f>_xlfn.XLOOKUP($D818,城市信息!$B$1:$B$14,城市信息!$D$1:$D$14)</f>
        <v>一线</v>
      </c>
      <c r="O818">
        <f>_xlfn.XLOOKUP($D818,城市信息!$B$1:$B$14,城市信息!$E$1:$E$14)</f>
        <v>9854</v>
      </c>
      <c r="P818" cm="1">
        <f t="array" ref="P818:U818">_xlfn.XLOOKUP(A818&amp;B818,'[1]2.4自动化报表-8月获客数据-非乱码'!$A:$A&amp;'[1]2.4自动化报表-8月获客数据-非乱码'!$B:$B,'[1]2.4自动化报表-8月获客数据-非乱码'!$C:$H)</f>
        <v>3815</v>
      </c>
      <c r="Q818">
        <v>3753</v>
      </c>
      <c r="R818">
        <v>3594</v>
      </c>
      <c r="S818">
        <v>2217</v>
      </c>
      <c r="T818">
        <v>1296</v>
      </c>
      <c r="U818">
        <v>690</v>
      </c>
    </row>
    <row r="819" spans="1:21" x14ac:dyDescent="0.3">
      <c r="A819" s="1">
        <v>44073</v>
      </c>
      <c r="B819" t="s">
        <v>23</v>
      </c>
      <c r="C819" t="s">
        <v>108</v>
      </c>
      <c r="D819" t="s">
        <v>109</v>
      </c>
      <c r="E819" t="s">
        <v>110</v>
      </c>
      <c r="F819" s="2">
        <v>212156</v>
      </c>
      <c r="G819" s="2">
        <v>10246</v>
      </c>
      <c r="H819">
        <v>0</v>
      </c>
      <c r="I819" t="str">
        <f>_xlfn.XLOOKUP($C819,战区信息!$A$1:$A$5,战区信息!$B$1:$B$5)</f>
        <v>001</v>
      </c>
      <c r="J819" t="str">
        <f>_xlfn.XLOOKUP($C819,战区信息!$A$1:$A$5,战区信息!$C$1:$C$5)</f>
        <v>江永</v>
      </c>
      <c r="K819" t="str">
        <f>_xlfn.XLOOKUP($C819,战区信息!$A$1:$A$5,战区信息!$D$1:$D$5)</f>
        <v>一级战区</v>
      </c>
      <c r="L819" t="str">
        <f>_xlfn.XLOOKUP($D819,城市信息!$B$1:$B$14,城市信息!$A$1:$A$14)</f>
        <v>013</v>
      </c>
      <c r="M819" t="str">
        <f>_xlfn.XLOOKUP($D819,城市信息!$B$1:$B$14,城市信息!$C$1:$C$14)</f>
        <v>张建</v>
      </c>
      <c r="N819" t="str">
        <f>_xlfn.XLOOKUP($D819,城市信息!$B$1:$B$14,城市信息!$D$1:$D$14)</f>
        <v>二线</v>
      </c>
      <c r="O819">
        <f>_xlfn.XLOOKUP($D819,城市信息!$B$1:$B$14,城市信息!$E$1:$E$14)</f>
        <v>8800</v>
      </c>
      <c r="P819" cm="1">
        <f t="array" ref="P819:U819">_xlfn.XLOOKUP(A819&amp;B819,'[1]2.4自动化报表-8月获客数据-非乱码'!$A:$A&amp;'[1]2.4自动化报表-8月获客数据-非乱码'!$B:$B,'[1]2.4自动化报表-8月获客数据-非乱码'!$C:$H)</f>
        <v>6274</v>
      </c>
      <c r="Q819">
        <v>6061</v>
      </c>
      <c r="R819">
        <v>5801</v>
      </c>
      <c r="S819">
        <v>3509</v>
      </c>
      <c r="T819">
        <v>1782</v>
      </c>
      <c r="U819">
        <v>694</v>
      </c>
    </row>
    <row r="820" spans="1:21" x14ac:dyDescent="0.3">
      <c r="A820" s="1">
        <v>44073</v>
      </c>
      <c r="B820" t="s">
        <v>22</v>
      </c>
      <c r="C820" t="s">
        <v>108</v>
      </c>
      <c r="D820" t="s">
        <v>109</v>
      </c>
      <c r="E820" t="s">
        <v>111</v>
      </c>
      <c r="F820" s="2">
        <v>6747</v>
      </c>
      <c r="G820">
        <v>454</v>
      </c>
      <c r="H820">
        <v>0</v>
      </c>
      <c r="I820" t="str">
        <f>_xlfn.XLOOKUP($C820,战区信息!$A$1:$A$5,战区信息!$B$1:$B$5)</f>
        <v>001</v>
      </c>
      <c r="J820" t="str">
        <f>_xlfn.XLOOKUP($C820,战区信息!$A$1:$A$5,战区信息!$C$1:$C$5)</f>
        <v>江永</v>
      </c>
      <c r="K820" t="str">
        <f>_xlfn.XLOOKUP($C820,战区信息!$A$1:$A$5,战区信息!$D$1:$D$5)</f>
        <v>一级战区</v>
      </c>
      <c r="L820" t="str">
        <f>_xlfn.XLOOKUP($D820,城市信息!$B$1:$B$14,城市信息!$A$1:$A$14)</f>
        <v>013</v>
      </c>
      <c r="M820" t="str">
        <f>_xlfn.XLOOKUP($D820,城市信息!$B$1:$B$14,城市信息!$C$1:$C$14)</f>
        <v>张建</v>
      </c>
      <c r="N820" t="str">
        <f>_xlfn.XLOOKUP($D820,城市信息!$B$1:$B$14,城市信息!$D$1:$D$14)</f>
        <v>二线</v>
      </c>
      <c r="O820">
        <f>_xlfn.XLOOKUP($D820,城市信息!$B$1:$B$14,城市信息!$E$1:$E$14)</f>
        <v>8800</v>
      </c>
      <c r="P820" cm="1">
        <f t="array" ref="P820:U820">_xlfn.XLOOKUP(A820&amp;B820,'[1]2.4自动化报表-8月获客数据-非乱码'!$A:$A&amp;'[1]2.4自动化报表-8月获客数据-非乱码'!$B:$B,'[1]2.4自动化报表-8月获客数据-非乱码'!$C:$H)</f>
        <v>450</v>
      </c>
      <c r="Q820">
        <v>439</v>
      </c>
      <c r="R820">
        <v>412</v>
      </c>
      <c r="S820">
        <v>241</v>
      </c>
      <c r="T820">
        <v>149</v>
      </c>
      <c r="U820">
        <v>691</v>
      </c>
    </row>
    <row r="821" spans="1:21" x14ac:dyDescent="0.3">
      <c r="A821" s="1">
        <v>44073</v>
      </c>
      <c r="B821" t="s">
        <v>21</v>
      </c>
      <c r="C821" t="s">
        <v>108</v>
      </c>
      <c r="D821" t="s">
        <v>109</v>
      </c>
      <c r="E821" t="s">
        <v>112</v>
      </c>
      <c r="F821" s="2">
        <v>361283</v>
      </c>
      <c r="G821" s="2">
        <v>19189</v>
      </c>
      <c r="H821" s="2">
        <v>15514</v>
      </c>
      <c r="I821" t="str">
        <f>_xlfn.XLOOKUP($C821,战区信息!$A$1:$A$5,战区信息!$B$1:$B$5)</f>
        <v>001</v>
      </c>
      <c r="J821" t="str">
        <f>_xlfn.XLOOKUP($C821,战区信息!$A$1:$A$5,战区信息!$C$1:$C$5)</f>
        <v>江永</v>
      </c>
      <c r="K821" t="str">
        <f>_xlfn.XLOOKUP($C821,战区信息!$A$1:$A$5,战区信息!$D$1:$D$5)</f>
        <v>一级战区</v>
      </c>
      <c r="L821" t="str">
        <f>_xlfn.XLOOKUP($D821,城市信息!$B$1:$B$14,城市信息!$A$1:$A$14)</f>
        <v>013</v>
      </c>
      <c r="M821" t="str">
        <f>_xlfn.XLOOKUP($D821,城市信息!$B$1:$B$14,城市信息!$C$1:$C$14)</f>
        <v>张建</v>
      </c>
      <c r="N821" t="str">
        <f>_xlfn.XLOOKUP($D821,城市信息!$B$1:$B$14,城市信息!$D$1:$D$14)</f>
        <v>二线</v>
      </c>
      <c r="O821">
        <f>_xlfn.XLOOKUP($D821,城市信息!$B$1:$B$14,城市信息!$E$1:$E$14)</f>
        <v>8800</v>
      </c>
      <c r="P821" cm="1">
        <f t="array" ref="P821:U821">_xlfn.XLOOKUP(A821&amp;B821,'[1]2.4自动化报表-8月获客数据-非乱码'!$A:$A&amp;'[1]2.4自动化报表-8月获客数据-非乱码'!$B:$B,'[1]2.4自动化报表-8月获客数据-非乱码'!$C:$H)</f>
        <v>7361</v>
      </c>
      <c r="Q821">
        <v>7068</v>
      </c>
      <c r="R821">
        <v>6722</v>
      </c>
      <c r="S821">
        <v>3898</v>
      </c>
      <c r="T821">
        <v>2126</v>
      </c>
      <c r="U821">
        <v>696</v>
      </c>
    </row>
    <row r="822" spans="1:21" x14ac:dyDescent="0.3">
      <c r="A822" s="1">
        <v>44073</v>
      </c>
      <c r="B822" t="s">
        <v>20</v>
      </c>
      <c r="C822" t="s">
        <v>108</v>
      </c>
      <c r="D822" t="s">
        <v>56</v>
      </c>
      <c r="E822" t="s">
        <v>113</v>
      </c>
      <c r="F822" s="2">
        <v>84721</v>
      </c>
      <c r="G822" s="2">
        <v>3809</v>
      </c>
      <c r="H822">
        <v>0</v>
      </c>
      <c r="I822" t="str">
        <f>_xlfn.XLOOKUP($C822,战区信息!$A$1:$A$5,战区信息!$B$1:$B$5)</f>
        <v>001</v>
      </c>
      <c r="J822" t="str">
        <f>_xlfn.XLOOKUP($C822,战区信息!$A$1:$A$5,战区信息!$C$1:$C$5)</f>
        <v>江永</v>
      </c>
      <c r="K822" t="str">
        <f>_xlfn.XLOOKUP($C822,战区信息!$A$1:$A$5,战区信息!$D$1:$D$5)</f>
        <v>一级战区</v>
      </c>
      <c r="L822" t="str">
        <f>_xlfn.XLOOKUP($D822,城市信息!$B$1:$B$14,城市信息!$A$1:$A$14)</f>
        <v>001</v>
      </c>
      <c r="M822" t="str">
        <f>_xlfn.XLOOKUP($D822,城市信息!$B$1:$B$14,城市信息!$C$1:$C$14)</f>
        <v>吴刚</v>
      </c>
      <c r="N822" t="str">
        <f>_xlfn.XLOOKUP($D822,城市信息!$B$1:$B$14,城市信息!$D$1:$D$14)</f>
        <v>一线</v>
      </c>
      <c r="O822">
        <f>_xlfn.XLOOKUP($D822,城市信息!$B$1:$B$14,城市信息!$E$1:$E$14)</f>
        <v>12114</v>
      </c>
      <c r="P822" cm="1">
        <f t="array" ref="P822:U822">_xlfn.XLOOKUP(A822&amp;B822,'[1]2.4自动化报表-8月获客数据-非乱码'!$A:$A&amp;'[1]2.4自动化报表-8月获客数据-非乱码'!$B:$B,'[1]2.4自动化报表-8月获客数据-非乱码'!$C:$H)</f>
        <v>5465</v>
      </c>
      <c r="Q822">
        <v>5313</v>
      </c>
      <c r="R822">
        <v>5111</v>
      </c>
      <c r="S822">
        <v>3087</v>
      </c>
      <c r="T822">
        <v>1714</v>
      </c>
      <c r="U822">
        <v>694</v>
      </c>
    </row>
    <row r="823" spans="1:21" x14ac:dyDescent="0.3">
      <c r="A823" s="1">
        <v>44073</v>
      </c>
      <c r="B823" t="s">
        <v>19</v>
      </c>
      <c r="C823" t="s">
        <v>108</v>
      </c>
      <c r="D823" t="s">
        <v>56</v>
      </c>
      <c r="E823" t="s">
        <v>114</v>
      </c>
      <c r="F823" s="2">
        <v>198343</v>
      </c>
      <c r="G823" s="2">
        <v>8973</v>
      </c>
      <c r="H823">
        <v>0</v>
      </c>
      <c r="I823" t="str">
        <f>_xlfn.XLOOKUP($C823,战区信息!$A$1:$A$5,战区信息!$B$1:$B$5)</f>
        <v>001</v>
      </c>
      <c r="J823" t="str">
        <f>_xlfn.XLOOKUP($C823,战区信息!$A$1:$A$5,战区信息!$C$1:$C$5)</f>
        <v>江永</v>
      </c>
      <c r="K823" t="str">
        <f>_xlfn.XLOOKUP($C823,战区信息!$A$1:$A$5,战区信息!$D$1:$D$5)</f>
        <v>一级战区</v>
      </c>
      <c r="L823" t="str">
        <f>_xlfn.XLOOKUP($D823,城市信息!$B$1:$B$14,城市信息!$A$1:$A$14)</f>
        <v>001</v>
      </c>
      <c r="M823" t="str">
        <f>_xlfn.XLOOKUP($D823,城市信息!$B$1:$B$14,城市信息!$C$1:$C$14)</f>
        <v>吴刚</v>
      </c>
      <c r="N823" t="str">
        <f>_xlfn.XLOOKUP($D823,城市信息!$B$1:$B$14,城市信息!$D$1:$D$14)</f>
        <v>一线</v>
      </c>
      <c r="O823">
        <f>_xlfn.XLOOKUP($D823,城市信息!$B$1:$B$14,城市信息!$E$1:$E$14)</f>
        <v>12114</v>
      </c>
      <c r="P823" cm="1">
        <f t="array" ref="P823:U823">_xlfn.XLOOKUP(A823&amp;B823,'[1]2.4自动化报表-8月获客数据-非乱码'!$A:$A&amp;'[1]2.4自动化报表-8月获客数据-非乱码'!$B:$B,'[1]2.4自动化报表-8月获客数据-非乱码'!$C:$H)</f>
        <v>2925</v>
      </c>
      <c r="Q823">
        <v>2858</v>
      </c>
      <c r="R823">
        <v>2747</v>
      </c>
      <c r="S823">
        <v>1612</v>
      </c>
      <c r="T823">
        <v>968</v>
      </c>
      <c r="U823">
        <v>696</v>
      </c>
    </row>
    <row r="824" spans="1:21" x14ac:dyDescent="0.3">
      <c r="A824" s="1">
        <v>44073</v>
      </c>
      <c r="B824" t="s">
        <v>18</v>
      </c>
      <c r="C824" t="s">
        <v>108</v>
      </c>
      <c r="D824" t="s">
        <v>56</v>
      </c>
      <c r="E824" t="s">
        <v>115</v>
      </c>
      <c r="F824" s="2">
        <v>89648</v>
      </c>
      <c r="G824" s="2">
        <v>6041</v>
      </c>
      <c r="H824">
        <v>0</v>
      </c>
      <c r="I824" t="str">
        <f>_xlfn.XLOOKUP($C824,战区信息!$A$1:$A$5,战区信息!$B$1:$B$5)</f>
        <v>001</v>
      </c>
      <c r="J824" t="str">
        <f>_xlfn.XLOOKUP($C824,战区信息!$A$1:$A$5,战区信息!$C$1:$C$5)</f>
        <v>江永</v>
      </c>
      <c r="K824" t="str">
        <f>_xlfn.XLOOKUP($C824,战区信息!$A$1:$A$5,战区信息!$D$1:$D$5)</f>
        <v>一级战区</v>
      </c>
      <c r="L824" t="str">
        <f>_xlfn.XLOOKUP($D824,城市信息!$B$1:$B$14,城市信息!$A$1:$A$14)</f>
        <v>001</v>
      </c>
      <c r="M824" t="str">
        <f>_xlfn.XLOOKUP($D824,城市信息!$B$1:$B$14,城市信息!$C$1:$C$14)</f>
        <v>吴刚</v>
      </c>
      <c r="N824" t="str">
        <f>_xlfn.XLOOKUP($D824,城市信息!$B$1:$B$14,城市信息!$D$1:$D$14)</f>
        <v>一线</v>
      </c>
      <c r="O824">
        <f>_xlfn.XLOOKUP($D824,城市信息!$B$1:$B$14,城市信息!$E$1:$E$14)</f>
        <v>12114</v>
      </c>
      <c r="P824" cm="1">
        <f t="array" ref="P824:U824">_xlfn.XLOOKUP(A824&amp;B824,'[1]2.4自动化报表-8月获客数据-非乱码'!$A:$A&amp;'[1]2.4自动化报表-8月获客数据-非乱码'!$B:$B,'[1]2.4自动化报表-8月获客数据-非乱码'!$C:$H)</f>
        <v>2633</v>
      </c>
      <c r="Q824">
        <v>2591</v>
      </c>
      <c r="R824">
        <v>2487</v>
      </c>
      <c r="S824">
        <v>1493</v>
      </c>
      <c r="T824">
        <v>808</v>
      </c>
      <c r="U824">
        <v>691</v>
      </c>
    </row>
    <row r="825" spans="1:21" x14ac:dyDescent="0.3">
      <c r="A825" s="1">
        <v>44073</v>
      </c>
      <c r="B825" t="s">
        <v>17</v>
      </c>
      <c r="C825" t="s">
        <v>108</v>
      </c>
      <c r="D825" t="s">
        <v>59</v>
      </c>
      <c r="E825" t="s">
        <v>116</v>
      </c>
      <c r="F825" s="2">
        <v>197576</v>
      </c>
      <c r="G825" s="2">
        <v>9551</v>
      </c>
      <c r="H825">
        <v>0</v>
      </c>
      <c r="I825" t="str">
        <f>_xlfn.XLOOKUP($C825,战区信息!$A$1:$A$5,战区信息!$B$1:$B$5)</f>
        <v>001</v>
      </c>
      <c r="J825" t="str">
        <f>_xlfn.XLOOKUP($C825,战区信息!$A$1:$A$5,战区信息!$C$1:$C$5)</f>
        <v>江永</v>
      </c>
      <c r="K825" t="str">
        <f>_xlfn.XLOOKUP($C825,战区信息!$A$1:$A$5,战区信息!$D$1:$D$5)</f>
        <v>一级战区</v>
      </c>
      <c r="L825" t="str">
        <f>_xlfn.XLOOKUP($D825,城市信息!$B$1:$B$14,城市信息!$A$1:$A$14)</f>
        <v>004</v>
      </c>
      <c r="M825" t="str">
        <f>_xlfn.XLOOKUP($D825,城市信息!$B$1:$B$14,城市信息!$C$1:$C$14)</f>
        <v>苏川</v>
      </c>
      <c r="N825" t="str">
        <f>_xlfn.XLOOKUP($D825,城市信息!$B$1:$B$14,城市信息!$D$1:$D$14)</f>
        <v>二线</v>
      </c>
      <c r="O825">
        <f>_xlfn.XLOOKUP($D825,城市信息!$B$1:$B$14,城市信息!$E$1:$E$14)</f>
        <v>9912</v>
      </c>
      <c r="P825" cm="1">
        <f t="array" ref="P825:U825">_xlfn.XLOOKUP(A825&amp;B825,'[1]2.4自动化报表-8月获客数据-非乱码'!$A:$A&amp;'[1]2.4自动化报表-8月获客数据-非乱码'!$B:$B,'[1]2.4自动化报表-8月获客数据-非乱码'!$C:$H)</f>
        <v>3131</v>
      </c>
      <c r="Q825">
        <v>3068</v>
      </c>
      <c r="R825">
        <v>2975</v>
      </c>
      <c r="S825">
        <v>1697</v>
      </c>
      <c r="T825">
        <v>986</v>
      </c>
      <c r="U825">
        <v>696</v>
      </c>
    </row>
    <row r="826" spans="1:21" x14ac:dyDescent="0.3">
      <c r="A826" s="1">
        <v>44073</v>
      </c>
      <c r="B826" t="s">
        <v>16</v>
      </c>
      <c r="C826" t="s">
        <v>108</v>
      </c>
      <c r="D826" t="s">
        <v>59</v>
      </c>
      <c r="E826" t="s">
        <v>117</v>
      </c>
      <c r="F826" s="2">
        <v>91599</v>
      </c>
      <c r="G826" s="2">
        <v>5168</v>
      </c>
      <c r="H826">
        <v>0</v>
      </c>
      <c r="I826" t="str">
        <f>_xlfn.XLOOKUP($C826,战区信息!$A$1:$A$5,战区信息!$B$1:$B$5)</f>
        <v>001</v>
      </c>
      <c r="J826" t="str">
        <f>_xlfn.XLOOKUP($C826,战区信息!$A$1:$A$5,战区信息!$C$1:$C$5)</f>
        <v>江永</v>
      </c>
      <c r="K826" t="str">
        <f>_xlfn.XLOOKUP($C826,战区信息!$A$1:$A$5,战区信息!$D$1:$D$5)</f>
        <v>一级战区</v>
      </c>
      <c r="L826" t="str">
        <f>_xlfn.XLOOKUP($D826,城市信息!$B$1:$B$14,城市信息!$A$1:$A$14)</f>
        <v>004</v>
      </c>
      <c r="M826" t="str">
        <f>_xlfn.XLOOKUP($D826,城市信息!$B$1:$B$14,城市信息!$C$1:$C$14)</f>
        <v>苏川</v>
      </c>
      <c r="N826" t="str">
        <f>_xlfn.XLOOKUP($D826,城市信息!$B$1:$B$14,城市信息!$D$1:$D$14)</f>
        <v>二线</v>
      </c>
      <c r="O826">
        <f>_xlfn.XLOOKUP($D826,城市信息!$B$1:$B$14,城市信息!$E$1:$E$14)</f>
        <v>9912</v>
      </c>
      <c r="P826" cm="1">
        <f t="array" ref="P826:U826">_xlfn.XLOOKUP(A826&amp;B826,'[1]2.4自动化报表-8月获客数据-非乱码'!$A:$A&amp;'[1]2.4自动化报表-8月获客数据-非乱码'!$B:$B,'[1]2.4自动化报表-8月获客数据-非乱码'!$C:$H)</f>
        <v>2105</v>
      </c>
      <c r="Q826">
        <v>2042</v>
      </c>
      <c r="R826">
        <v>1946</v>
      </c>
      <c r="S826">
        <v>1120</v>
      </c>
      <c r="T826">
        <v>651</v>
      </c>
      <c r="U826">
        <v>696</v>
      </c>
    </row>
    <row r="827" spans="1:21" x14ac:dyDescent="0.3">
      <c r="A827" s="1">
        <v>44073</v>
      </c>
      <c r="B827" t="s">
        <v>15</v>
      </c>
      <c r="C827" t="s">
        <v>108</v>
      </c>
      <c r="D827" t="s">
        <v>59</v>
      </c>
      <c r="E827" t="s">
        <v>118</v>
      </c>
      <c r="F827" s="2">
        <v>112316</v>
      </c>
      <c r="G827" s="2">
        <v>4691</v>
      </c>
      <c r="H827">
        <v>0</v>
      </c>
      <c r="I827" t="str">
        <f>_xlfn.XLOOKUP($C827,战区信息!$A$1:$A$5,战区信息!$B$1:$B$5)</f>
        <v>001</v>
      </c>
      <c r="J827" t="str">
        <f>_xlfn.XLOOKUP($C827,战区信息!$A$1:$A$5,战区信息!$C$1:$C$5)</f>
        <v>江永</v>
      </c>
      <c r="K827" t="str">
        <f>_xlfn.XLOOKUP($C827,战区信息!$A$1:$A$5,战区信息!$D$1:$D$5)</f>
        <v>一级战区</v>
      </c>
      <c r="L827" t="str">
        <f>_xlfn.XLOOKUP($D827,城市信息!$B$1:$B$14,城市信息!$A$1:$A$14)</f>
        <v>004</v>
      </c>
      <c r="M827" t="str">
        <f>_xlfn.XLOOKUP($D827,城市信息!$B$1:$B$14,城市信息!$C$1:$C$14)</f>
        <v>苏川</v>
      </c>
      <c r="N827" t="str">
        <f>_xlfn.XLOOKUP($D827,城市信息!$B$1:$B$14,城市信息!$D$1:$D$14)</f>
        <v>二线</v>
      </c>
      <c r="O827">
        <f>_xlfn.XLOOKUP($D827,城市信息!$B$1:$B$14,城市信息!$E$1:$E$14)</f>
        <v>9912</v>
      </c>
      <c r="P827" cm="1">
        <f t="array" ref="P827:U827">_xlfn.XLOOKUP(A827&amp;B827,'[1]2.4自动化报表-8月获客数据-非乱码'!$A:$A&amp;'[1]2.4自动化报表-8月获客数据-非乱码'!$B:$B,'[1]2.4自动化报表-8月获客数据-非乱码'!$C:$H)</f>
        <v>2844</v>
      </c>
      <c r="Q827">
        <v>2795</v>
      </c>
      <c r="R827">
        <v>2686</v>
      </c>
      <c r="S827">
        <v>1622</v>
      </c>
      <c r="T827">
        <v>805</v>
      </c>
      <c r="U827">
        <v>697</v>
      </c>
    </row>
    <row r="828" spans="1:21" x14ac:dyDescent="0.3">
      <c r="A828" s="1">
        <v>44073</v>
      </c>
      <c r="B828" t="s">
        <v>14</v>
      </c>
      <c r="C828" t="s">
        <v>108</v>
      </c>
      <c r="D828" t="s">
        <v>59</v>
      </c>
      <c r="E828" t="s">
        <v>119</v>
      </c>
      <c r="F828" s="2">
        <v>114522</v>
      </c>
      <c r="G828" s="2">
        <v>7409</v>
      </c>
      <c r="H828">
        <v>0</v>
      </c>
      <c r="I828" t="str">
        <f>_xlfn.XLOOKUP($C828,战区信息!$A$1:$A$5,战区信息!$B$1:$B$5)</f>
        <v>001</v>
      </c>
      <c r="J828" t="str">
        <f>_xlfn.XLOOKUP($C828,战区信息!$A$1:$A$5,战区信息!$C$1:$C$5)</f>
        <v>江永</v>
      </c>
      <c r="K828" t="str">
        <f>_xlfn.XLOOKUP($C828,战区信息!$A$1:$A$5,战区信息!$D$1:$D$5)</f>
        <v>一级战区</v>
      </c>
      <c r="L828" t="str">
        <f>_xlfn.XLOOKUP($D828,城市信息!$B$1:$B$14,城市信息!$A$1:$A$14)</f>
        <v>004</v>
      </c>
      <c r="M828" t="str">
        <f>_xlfn.XLOOKUP($D828,城市信息!$B$1:$B$14,城市信息!$C$1:$C$14)</f>
        <v>苏川</v>
      </c>
      <c r="N828" t="str">
        <f>_xlfn.XLOOKUP($D828,城市信息!$B$1:$B$14,城市信息!$D$1:$D$14)</f>
        <v>二线</v>
      </c>
      <c r="O828">
        <f>_xlfn.XLOOKUP($D828,城市信息!$B$1:$B$14,城市信息!$E$1:$E$14)</f>
        <v>9912</v>
      </c>
      <c r="P828" cm="1">
        <f t="array" ref="P828:U828">_xlfn.XLOOKUP(A828&amp;B828,'[1]2.4自动化报表-8月获客数据-非乱码'!$A:$A&amp;'[1]2.4自动化报表-8月获客数据-非乱码'!$B:$B,'[1]2.4自动化报表-8月获客数据-非乱码'!$C:$H)</f>
        <v>2660</v>
      </c>
      <c r="Q828">
        <v>2575</v>
      </c>
      <c r="R828">
        <v>2460</v>
      </c>
      <c r="S828">
        <v>1526</v>
      </c>
      <c r="T828">
        <v>744</v>
      </c>
      <c r="U828">
        <v>697</v>
      </c>
    </row>
    <row r="829" spans="1:21" x14ac:dyDescent="0.3">
      <c r="A829" s="1">
        <v>44073</v>
      </c>
      <c r="B829" t="s">
        <v>13</v>
      </c>
      <c r="C829" t="s">
        <v>108</v>
      </c>
      <c r="D829" t="s">
        <v>60</v>
      </c>
      <c r="E829" t="s">
        <v>120</v>
      </c>
      <c r="F829" s="2">
        <v>237819</v>
      </c>
      <c r="G829" s="2">
        <v>14855</v>
      </c>
      <c r="H829" s="2">
        <v>15000</v>
      </c>
      <c r="I829" t="str">
        <f>_xlfn.XLOOKUP($C829,战区信息!$A$1:$A$5,战区信息!$B$1:$B$5)</f>
        <v>001</v>
      </c>
      <c r="J829" t="str">
        <f>_xlfn.XLOOKUP($C829,战区信息!$A$1:$A$5,战区信息!$C$1:$C$5)</f>
        <v>江永</v>
      </c>
      <c r="K829" t="str">
        <f>_xlfn.XLOOKUP($C829,战区信息!$A$1:$A$5,战区信息!$D$1:$D$5)</f>
        <v>一级战区</v>
      </c>
      <c r="L829" t="str">
        <f>_xlfn.XLOOKUP($D829,城市信息!$B$1:$B$14,城市信息!$A$1:$A$14)</f>
        <v>005</v>
      </c>
      <c r="M829" t="str">
        <f>_xlfn.XLOOKUP($D829,城市信息!$B$1:$B$14,城市信息!$C$1:$C$14)</f>
        <v>侯阳冰</v>
      </c>
      <c r="N829" t="str">
        <f>_xlfn.XLOOKUP($D829,城市信息!$B$1:$B$14,城市信息!$D$1:$D$14)</f>
        <v>二线</v>
      </c>
      <c r="O829">
        <f>_xlfn.XLOOKUP($D829,城市信息!$B$1:$B$14,城市信息!$E$1:$E$14)</f>
        <v>8694</v>
      </c>
      <c r="P829" cm="1">
        <f t="array" ref="P829:U829">_xlfn.XLOOKUP(A829&amp;B829,'[1]2.4自动化报表-8月获客数据-非乱码'!$A:$A&amp;'[1]2.4自动化报表-8月获客数据-非乱码'!$B:$B,'[1]2.4自动化报表-8月获客数据-非乱码'!$C:$H)</f>
        <v>5963</v>
      </c>
      <c r="Q829">
        <v>5822</v>
      </c>
      <c r="R829">
        <v>5552</v>
      </c>
      <c r="S829">
        <v>3482</v>
      </c>
      <c r="T829">
        <v>1715</v>
      </c>
      <c r="U829">
        <v>697</v>
      </c>
    </row>
    <row r="830" spans="1:21" x14ac:dyDescent="0.3">
      <c r="A830" s="1">
        <v>44073</v>
      </c>
      <c r="B830" t="s">
        <v>12</v>
      </c>
      <c r="C830" t="s">
        <v>108</v>
      </c>
      <c r="D830" t="s">
        <v>60</v>
      </c>
      <c r="E830" t="s">
        <v>121</v>
      </c>
      <c r="F830" s="2">
        <v>143630</v>
      </c>
      <c r="G830" s="2">
        <v>6309</v>
      </c>
      <c r="H830">
        <v>0</v>
      </c>
      <c r="I830" t="str">
        <f>_xlfn.XLOOKUP($C830,战区信息!$A$1:$A$5,战区信息!$B$1:$B$5)</f>
        <v>001</v>
      </c>
      <c r="J830" t="str">
        <f>_xlfn.XLOOKUP($C830,战区信息!$A$1:$A$5,战区信息!$C$1:$C$5)</f>
        <v>江永</v>
      </c>
      <c r="K830" t="str">
        <f>_xlfn.XLOOKUP($C830,战区信息!$A$1:$A$5,战区信息!$D$1:$D$5)</f>
        <v>一级战区</v>
      </c>
      <c r="L830" t="str">
        <f>_xlfn.XLOOKUP($D830,城市信息!$B$1:$B$14,城市信息!$A$1:$A$14)</f>
        <v>005</v>
      </c>
      <c r="M830" t="str">
        <f>_xlfn.XLOOKUP($D830,城市信息!$B$1:$B$14,城市信息!$C$1:$C$14)</f>
        <v>侯阳冰</v>
      </c>
      <c r="N830" t="str">
        <f>_xlfn.XLOOKUP($D830,城市信息!$B$1:$B$14,城市信息!$D$1:$D$14)</f>
        <v>二线</v>
      </c>
      <c r="O830">
        <f>_xlfn.XLOOKUP($D830,城市信息!$B$1:$B$14,城市信息!$E$1:$E$14)</f>
        <v>8694</v>
      </c>
      <c r="P830" cm="1">
        <f t="array" ref="P830:U830">_xlfn.XLOOKUP(A830&amp;B830,'[1]2.4自动化报表-8月获客数据-非乱码'!$A:$A&amp;'[1]2.4自动化报表-8月获客数据-非乱码'!$B:$B,'[1]2.4自动化报表-8月获客数据-非乱码'!$C:$H)</f>
        <v>1475</v>
      </c>
      <c r="Q830">
        <v>1446</v>
      </c>
      <c r="R830">
        <v>1374</v>
      </c>
      <c r="S830">
        <v>875</v>
      </c>
      <c r="T830">
        <v>445</v>
      </c>
      <c r="U830">
        <v>696</v>
      </c>
    </row>
    <row r="831" spans="1:21" x14ac:dyDescent="0.3">
      <c r="A831" s="1">
        <v>44073</v>
      </c>
      <c r="B831" t="s">
        <v>11</v>
      </c>
      <c r="C831" t="s">
        <v>108</v>
      </c>
      <c r="D831" t="s">
        <v>58</v>
      </c>
      <c r="E831" t="s">
        <v>122</v>
      </c>
      <c r="F831" s="2">
        <v>147958</v>
      </c>
      <c r="G831" s="2">
        <v>7087</v>
      </c>
      <c r="H831">
        <v>0</v>
      </c>
      <c r="I831" t="str">
        <f>_xlfn.XLOOKUP($C831,战区信息!$A$1:$A$5,战区信息!$B$1:$B$5)</f>
        <v>001</v>
      </c>
      <c r="J831" t="str">
        <f>_xlfn.XLOOKUP($C831,战区信息!$A$1:$A$5,战区信息!$C$1:$C$5)</f>
        <v>江永</v>
      </c>
      <c r="K831" t="str">
        <f>_xlfn.XLOOKUP($C831,战区信息!$A$1:$A$5,战区信息!$D$1:$D$5)</f>
        <v>一级战区</v>
      </c>
      <c r="L831" t="str">
        <f>_xlfn.XLOOKUP($D831,城市信息!$B$1:$B$14,城市信息!$A$1:$A$14)</f>
        <v>003</v>
      </c>
      <c r="M831" t="str">
        <f>_xlfn.XLOOKUP($D831,城市信息!$B$1:$B$14,城市信息!$C$1:$C$14)</f>
        <v>杜光亮</v>
      </c>
      <c r="N831" t="str">
        <f>_xlfn.XLOOKUP($D831,城市信息!$B$1:$B$14,城市信息!$D$1:$D$14)</f>
        <v>二线</v>
      </c>
      <c r="O831">
        <f>_xlfn.XLOOKUP($D831,城市信息!$B$1:$B$14,城市信息!$E$1:$E$14)</f>
        <v>10499</v>
      </c>
      <c r="P831" cm="1">
        <f t="array" ref="P831:U831">_xlfn.XLOOKUP(A831&amp;B831,'[1]2.4自动化报表-8月获客数据-非乱码'!$A:$A&amp;'[1]2.4自动化报表-8月获客数据-非乱码'!$B:$B,'[1]2.4自动化报表-8月获客数据-非乱码'!$C:$H)</f>
        <v>6059</v>
      </c>
      <c r="Q831">
        <v>5828</v>
      </c>
      <c r="R831">
        <v>5518</v>
      </c>
      <c r="S831">
        <v>3422</v>
      </c>
      <c r="T831">
        <v>1629</v>
      </c>
      <c r="U831">
        <v>703</v>
      </c>
    </row>
    <row r="832" spans="1:21" x14ac:dyDescent="0.3">
      <c r="A832" s="1">
        <v>44073</v>
      </c>
      <c r="B832" t="s">
        <v>10</v>
      </c>
      <c r="C832" t="s">
        <v>108</v>
      </c>
      <c r="D832" t="s">
        <v>58</v>
      </c>
      <c r="E832" t="s">
        <v>123</v>
      </c>
      <c r="F832" s="2">
        <v>66198</v>
      </c>
      <c r="G832" s="2">
        <v>3235</v>
      </c>
      <c r="H832">
        <v>0</v>
      </c>
      <c r="I832" t="str">
        <f>_xlfn.XLOOKUP($C832,战区信息!$A$1:$A$5,战区信息!$B$1:$B$5)</f>
        <v>001</v>
      </c>
      <c r="J832" t="str">
        <f>_xlfn.XLOOKUP($C832,战区信息!$A$1:$A$5,战区信息!$C$1:$C$5)</f>
        <v>江永</v>
      </c>
      <c r="K832" t="str">
        <f>_xlfn.XLOOKUP($C832,战区信息!$A$1:$A$5,战区信息!$D$1:$D$5)</f>
        <v>一级战区</v>
      </c>
      <c r="L832" t="str">
        <f>_xlfn.XLOOKUP($D832,城市信息!$B$1:$B$14,城市信息!$A$1:$A$14)</f>
        <v>003</v>
      </c>
      <c r="M832" t="str">
        <f>_xlfn.XLOOKUP($D832,城市信息!$B$1:$B$14,城市信息!$C$1:$C$14)</f>
        <v>杜光亮</v>
      </c>
      <c r="N832" t="str">
        <f>_xlfn.XLOOKUP($D832,城市信息!$B$1:$B$14,城市信息!$D$1:$D$14)</f>
        <v>二线</v>
      </c>
      <c r="O832">
        <f>_xlfn.XLOOKUP($D832,城市信息!$B$1:$B$14,城市信息!$E$1:$E$14)</f>
        <v>10499</v>
      </c>
      <c r="P832" cm="1">
        <f t="array" ref="P832:U832">_xlfn.XLOOKUP(A832&amp;B832,'[1]2.4自动化报表-8月获客数据-非乱码'!$A:$A&amp;'[1]2.4自动化报表-8月获客数据-非乱码'!$B:$B,'[1]2.4自动化报表-8月获客数据-非乱码'!$C:$H)</f>
        <v>1773</v>
      </c>
      <c r="Q832">
        <v>1738</v>
      </c>
      <c r="R832">
        <v>1690</v>
      </c>
      <c r="S832">
        <v>1017</v>
      </c>
      <c r="T832">
        <v>614</v>
      </c>
      <c r="U832">
        <v>701</v>
      </c>
    </row>
    <row r="833" spans="1:21" x14ac:dyDescent="0.3">
      <c r="A833" s="1">
        <v>44073</v>
      </c>
      <c r="B833" t="s">
        <v>9</v>
      </c>
      <c r="C833" t="s">
        <v>108</v>
      </c>
      <c r="D833" t="s">
        <v>58</v>
      </c>
      <c r="E833" t="s">
        <v>124</v>
      </c>
      <c r="F833" s="2">
        <v>150640</v>
      </c>
      <c r="G833" s="2">
        <v>11136</v>
      </c>
      <c r="H833">
        <v>0</v>
      </c>
      <c r="I833" t="str">
        <f>_xlfn.XLOOKUP($C833,战区信息!$A$1:$A$5,战区信息!$B$1:$B$5)</f>
        <v>001</v>
      </c>
      <c r="J833" t="str">
        <f>_xlfn.XLOOKUP($C833,战区信息!$A$1:$A$5,战区信息!$C$1:$C$5)</f>
        <v>江永</v>
      </c>
      <c r="K833" t="str">
        <f>_xlfn.XLOOKUP($C833,战区信息!$A$1:$A$5,战区信息!$D$1:$D$5)</f>
        <v>一级战区</v>
      </c>
      <c r="L833" t="str">
        <f>_xlfn.XLOOKUP($D833,城市信息!$B$1:$B$14,城市信息!$A$1:$A$14)</f>
        <v>003</v>
      </c>
      <c r="M833" t="str">
        <f>_xlfn.XLOOKUP($D833,城市信息!$B$1:$B$14,城市信息!$C$1:$C$14)</f>
        <v>杜光亮</v>
      </c>
      <c r="N833" t="str">
        <f>_xlfn.XLOOKUP($D833,城市信息!$B$1:$B$14,城市信息!$D$1:$D$14)</f>
        <v>二线</v>
      </c>
      <c r="O833">
        <f>_xlfn.XLOOKUP($D833,城市信息!$B$1:$B$14,城市信息!$E$1:$E$14)</f>
        <v>10499</v>
      </c>
      <c r="P833" cm="1">
        <f t="array" ref="P833:U833">_xlfn.XLOOKUP(A833&amp;B833,'[1]2.4自动化报表-8月获客数据-非乱码'!$A:$A&amp;'[1]2.4自动化报表-8月获客数据-非乱码'!$B:$B,'[1]2.4自动化报表-8月获客数据-非乱码'!$C:$H)</f>
        <v>5515</v>
      </c>
      <c r="Q833">
        <v>5374</v>
      </c>
      <c r="R833">
        <v>5197</v>
      </c>
      <c r="S833">
        <v>2966</v>
      </c>
      <c r="T833">
        <v>1660</v>
      </c>
      <c r="U833">
        <v>694</v>
      </c>
    </row>
    <row r="834" spans="1:21" x14ac:dyDescent="0.3">
      <c r="A834" s="1">
        <v>44073</v>
      </c>
      <c r="B834" t="s">
        <v>8</v>
      </c>
      <c r="C834" t="s">
        <v>125</v>
      </c>
      <c r="D834" t="s">
        <v>66</v>
      </c>
      <c r="E834" t="s">
        <v>126</v>
      </c>
      <c r="F834" s="2">
        <v>105986</v>
      </c>
      <c r="G834" s="2">
        <v>5382</v>
      </c>
      <c r="H834">
        <v>0</v>
      </c>
      <c r="I834" t="str">
        <f>_xlfn.XLOOKUP($C834,战区信息!$A$1:$A$5,战区信息!$B$1:$B$5)</f>
        <v>004</v>
      </c>
      <c r="J834" t="str">
        <f>_xlfn.XLOOKUP($C834,战区信息!$A$1:$A$5,战区信息!$C$1:$C$5)</f>
        <v>沈乐欣</v>
      </c>
      <c r="K834" t="str">
        <f>_xlfn.XLOOKUP($C834,战区信息!$A$1:$A$5,战区信息!$D$1:$D$5)</f>
        <v>三级战区</v>
      </c>
      <c r="L834" t="str">
        <f>_xlfn.XLOOKUP($D834,城市信息!$B$1:$B$14,城市信息!$A$1:$A$14)</f>
        <v>011</v>
      </c>
      <c r="M834" t="str">
        <f>_xlfn.XLOOKUP($D834,城市信息!$B$1:$B$14,城市信息!$C$1:$C$14)</f>
        <v>冯谦</v>
      </c>
      <c r="N834" t="str">
        <f>_xlfn.XLOOKUP($D834,城市信息!$B$1:$B$14,城市信息!$D$1:$D$14)</f>
        <v>一线</v>
      </c>
      <c r="O834">
        <f>_xlfn.XLOOKUP($D834,城市信息!$B$1:$B$14,城市信息!$E$1:$E$14)</f>
        <v>8244</v>
      </c>
      <c r="P834" cm="1">
        <f t="array" ref="P834:U834">_xlfn.XLOOKUP(A834&amp;B834,'[1]2.4自动化报表-8月获客数据-非乱码'!$A:$A&amp;'[1]2.4自动化报表-8月获客数据-非乱码'!$B:$B,'[1]2.4自动化报表-8月获客数据-非乱码'!$C:$H)</f>
        <v>1211</v>
      </c>
      <c r="Q834">
        <v>1199</v>
      </c>
      <c r="R834">
        <v>1162</v>
      </c>
      <c r="S834">
        <v>662</v>
      </c>
      <c r="T834">
        <v>443</v>
      </c>
      <c r="U834">
        <v>685</v>
      </c>
    </row>
    <row r="835" spans="1:21" x14ac:dyDescent="0.3">
      <c r="A835" s="1">
        <v>44073</v>
      </c>
      <c r="B835" t="s">
        <v>7</v>
      </c>
      <c r="C835" t="s">
        <v>125</v>
      </c>
      <c r="D835" t="s">
        <v>62</v>
      </c>
      <c r="E835" t="s">
        <v>127</v>
      </c>
      <c r="F835" s="2">
        <v>3733</v>
      </c>
      <c r="G835">
        <v>98</v>
      </c>
      <c r="H835">
        <v>0</v>
      </c>
      <c r="I835" t="str">
        <f>_xlfn.XLOOKUP($C835,战区信息!$A$1:$A$5,战区信息!$B$1:$B$5)</f>
        <v>004</v>
      </c>
      <c r="J835" t="str">
        <f>_xlfn.XLOOKUP($C835,战区信息!$A$1:$A$5,战区信息!$C$1:$C$5)</f>
        <v>沈乐欣</v>
      </c>
      <c r="K835" t="str">
        <f>_xlfn.XLOOKUP($C835,战区信息!$A$1:$A$5,战区信息!$D$1:$D$5)</f>
        <v>三级战区</v>
      </c>
      <c r="L835" t="str">
        <f>_xlfn.XLOOKUP($D835,城市信息!$B$1:$B$14,城市信息!$A$1:$A$14)</f>
        <v>007</v>
      </c>
      <c r="M835" t="str">
        <f>_xlfn.XLOOKUP($D835,城市信息!$B$1:$B$14,城市信息!$C$1:$C$14)</f>
        <v>范俊发</v>
      </c>
      <c r="N835" t="str">
        <f>_xlfn.XLOOKUP($D835,城市信息!$B$1:$B$14,城市信息!$D$1:$D$14)</f>
        <v>一线</v>
      </c>
      <c r="O835">
        <f>_xlfn.XLOOKUP($D835,城市信息!$B$1:$B$14,城市信息!$E$1:$E$14)</f>
        <v>12358</v>
      </c>
      <c r="P835" cm="1">
        <f t="array" ref="P835:U835">_xlfn.XLOOKUP(A835&amp;B835,'[1]2.4自动化报表-8月获客数据-非乱码'!$A:$A&amp;'[1]2.4自动化报表-8月获客数据-非乱码'!$B:$B,'[1]2.4自动化报表-8月获客数据-非乱码'!$C:$H)</f>
        <v>51</v>
      </c>
      <c r="Q835">
        <v>49</v>
      </c>
      <c r="R835">
        <v>46</v>
      </c>
      <c r="S835">
        <v>26</v>
      </c>
      <c r="T835">
        <v>12</v>
      </c>
      <c r="U835">
        <v>689</v>
      </c>
    </row>
    <row r="836" spans="1:21" x14ac:dyDescent="0.3">
      <c r="A836" s="1">
        <v>44073</v>
      </c>
      <c r="B836" t="s">
        <v>6</v>
      </c>
      <c r="C836" t="s">
        <v>125</v>
      </c>
      <c r="D836" t="s">
        <v>62</v>
      </c>
      <c r="E836" t="s">
        <v>128</v>
      </c>
      <c r="F836" s="2">
        <v>94735</v>
      </c>
      <c r="G836" s="2">
        <v>4355</v>
      </c>
      <c r="H836" s="2">
        <v>12579</v>
      </c>
      <c r="I836" t="str">
        <f>_xlfn.XLOOKUP($C836,战区信息!$A$1:$A$5,战区信息!$B$1:$B$5)</f>
        <v>004</v>
      </c>
      <c r="J836" t="str">
        <f>_xlfn.XLOOKUP($C836,战区信息!$A$1:$A$5,战区信息!$C$1:$C$5)</f>
        <v>沈乐欣</v>
      </c>
      <c r="K836" t="str">
        <f>_xlfn.XLOOKUP($C836,战区信息!$A$1:$A$5,战区信息!$D$1:$D$5)</f>
        <v>三级战区</v>
      </c>
      <c r="L836" t="str">
        <f>_xlfn.XLOOKUP($D836,城市信息!$B$1:$B$14,城市信息!$A$1:$A$14)</f>
        <v>007</v>
      </c>
      <c r="M836" t="str">
        <f>_xlfn.XLOOKUP($D836,城市信息!$B$1:$B$14,城市信息!$C$1:$C$14)</f>
        <v>范俊发</v>
      </c>
      <c r="N836" t="str">
        <f>_xlfn.XLOOKUP($D836,城市信息!$B$1:$B$14,城市信息!$D$1:$D$14)</f>
        <v>一线</v>
      </c>
      <c r="O836">
        <f>_xlfn.XLOOKUP($D836,城市信息!$B$1:$B$14,城市信息!$E$1:$E$14)</f>
        <v>12358</v>
      </c>
      <c r="P836" cm="1">
        <f t="array" ref="P836:U836">_xlfn.XLOOKUP(A836&amp;B836,'[1]2.4自动化报表-8月获客数据-非乱码'!$A:$A&amp;'[1]2.4自动化报表-8月获客数据-非乱码'!$B:$B,'[1]2.4自动化报表-8月获客数据-非乱码'!$C:$H)</f>
        <v>2555</v>
      </c>
      <c r="Q836">
        <v>2517</v>
      </c>
      <c r="R836">
        <v>2444</v>
      </c>
      <c r="S836">
        <v>1485</v>
      </c>
      <c r="T836">
        <v>830</v>
      </c>
      <c r="U836">
        <v>689</v>
      </c>
    </row>
    <row r="837" spans="1:21" x14ac:dyDescent="0.3">
      <c r="A837" s="1">
        <v>44073</v>
      </c>
      <c r="B837" t="s">
        <v>5</v>
      </c>
      <c r="C837" t="s">
        <v>125</v>
      </c>
      <c r="D837" t="s">
        <v>62</v>
      </c>
      <c r="E837" t="s">
        <v>129</v>
      </c>
      <c r="F837" s="2">
        <v>101376</v>
      </c>
      <c r="G837" s="2">
        <v>4991</v>
      </c>
      <c r="H837" s="2">
        <v>5625</v>
      </c>
      <c r="I837" t="str">
        <f>_xlfn.XLOOKUP($C837,战区信息!$A$1:$A$5,战区信息!$B$1:$B$5)</f>
        <v>004</v>
      </c>
      <c r="J837" t="str">
        <f>_xlfn.XLOOKUP($C837,战区信息!$A$1:$A$5,战区信息!$C$1:$C$5)</f>
        <v>沈乐欣</v>
      </c>
      <c r="K837" t="str">
        <f>_xlfn.XLOOKUP($C837,战区信息!$A$1:$A$5,战区信息!$D$1:$D$5)</f>
        <v>三级战区</v>
      </c>
      <c r="L837" t="str">
        <f>_xlfn.XLOOKUP($D837,城市信息!$B$1:$B$14,城市信息!$A$1:$A$14)</f>
        <v>007</v>
      </c>
      <c r="M837" t="str">
        <f>_xlfn.XLOOKUP($D837,城市信息!$B$1:$B$14,城市信息!$C$1:$C$14)</f>
        <v>范俊发</v>
      </c>
      <c r="N837" t="str">
        <f>_xlfn.XLOOKUP($D837,城市信息!$B$1:$B$14,城市信息!$D$1:$D$14)</f>
        <v>一线</v>
      </c>
      <c r="O837">
        <f>_xlfn.XLOOKUP($D837,城市信息!$B$1:$B$14,城市信息!$E$1:$E$14)</f>
        <v>12358</v>
      </c>
      <c r="P837" cm="1">
        <f t="array" ref="P837:U837">_xlfn.XLOOKUP(A837&amp;B837,'[1]2.4自动化报表-8月获客数据-非乱码'!$A:$A&amp;'[1]2.4自动化报表-8月获客数据-非乱码'!$B:$B,'[1]2.4自动化报表-8月获客数据-非乱码'!$C:$H)</f>
        <v>2211</v>
      </c>
      <c r="Q837">
        <v>2160</v>
      </c>
      <c r="R837">
        <v>2064</v>
      </c>
      <c r="S837">
        <v>1307</v>
      </c>
      <c r="T837">
        <v>658</v>
      </c>
      <c r="U837">
        <v>689</v>
      </c>
    </row>
    <row r="838" spans="1:21" x14ac:dyDescent="0.3">
      <c r="A838" s="1">
        <v>44073</v>
      </c>
      <c r="B838" t="s">
        <v>33</v>
      </c>
      <c r="C838" t="s">
        <v>125</v>
      </c>
      <c r="D838" t="s">
        <v>62</v>
      </c>
      <c r="E838" t="s">
        <v>130</v>
      </c>
      <c r="F838" s="2">
        <v>5006</v>
      </c>
      <c r="G838">
        <v>379</v>
      </c>
      <c r="H838">
        <v>0</v>
      </c>
      <c r="I838" t="str">
        <f>_xlfn.XLOOKUP($C838,战区信息!$A$1:$A$5,战区信息!$B$1:$B$5)</f>
        <v>004</v>
      </c>
      <c r="J838" t="str">
        <f>_xlfn.XLOOKUP($C838,战区信息!$A$1:$A$5,战区信息!$C$1:$C$5)</f>
        <v>沈乐欣</v>
      </c>
      <c r="K838" t="str">
        <f>_xlfn.XLOOKUP($C838,战区信息!$A$1:$A$5,战区信息!$D$1:$D$5)</f>
        <v>三级战区</v>
      </c>
      <c r="L838" t="str">
        <f>_xlfn.XLOOKUP($D838,城市信息!$B$1:$B$14,城市信息!$A$1:$A$14)</f>
        <v>007</v>
      </c>
      <c r="M838" t="str">
        <f>_xlfn.XLOOKUP($D838,城市信息!$B$1:$B$14,城市信息!$C$1:$C$14)</f>
        <v>范俊发</v>
      </c>
      <c r="N838" t="str">
        <f>_xlfn.XLOOKUP($D838,城市信息!$B$1:$B$14,城市信息!$D$1:$D$14)</f>
        <v>一线</v>
      </c>
      <c r="O838">
        <f>_xlfn.XLOOKUP($D838,城市信息!$B$1:$B$14,城市信息!$E$1:$E$14)</f>
        <v>12358</v>
      </c>
      <c r="P838" cm="1">
        <f t="array" ref="P838:U838">_xlfn.XLOOKUP(A838&amp;B838,'[1]2.4自动化报表-8月获客数据-非乱码'!$A:$A&amp;'[1]2.4自动化报表-8月获客数据-非乱码'!$B:$B,'[1]2.4自动化报表-8月获客数据-非乱码'!$C:$H)</f>
        <v>207</v>
      </c>
      <c r="Q838">
        <v>204</v>
      </c>
      <c r="R838">
        <v>195</v>
      </c>
      <c r="S838">
        <v>121</v>
      </c>
      <c r="T838">
        <v>79</v>
      </c>
      <c r="U838">
        <v>696</v>
      </c>
    </row>
    <row r="839" spans="1:21" x14ac:dyDescent="0.3">
      <c r="A839" s="1">
        <v>44074</v>
      </c>
      <c r="B839" t="s">
        <v>32</v>
      </c>
      <c r="C839" t="s">
        <v>97</v>
      </c>
      <c r="D839" t="s">
        <v>67</v>
      </c>
      <c r="E839" t="s">
        <v>98</v>
      </c>
      <c r="F839" s="2">
        <v>107825</v>
      </c>
      <c r="G839" s="2">
        <v>8886</v>
      </c>
      <c r="H839" s="2">
        <v>17240</v>
      </c>
      <c r="I839" t="str">
        <f>_xlfn.XLOOKUP($C839,战区信息!$A$1:$A$5,战区信息!$B$1:$B$5)</f>
        <v>003</v>
      </c>
      <c r="J839" t="str">
        <f>_xlfn.XLOOKUP($C839,战区信息!$A$1:$A$5,战区信息!$C$1:$C$5)</f>
        <v>田楠</v>
      </c>
      <c r="K839" t="str">
        <f>_xlfn.XLOOKUP($C839,战区信息!$A$1:$A$5,战区信息!$D$1:$D$5)</f>
        <v>二级战区</v>
      </c>
      <c r="L839" t="str">
        <f>_xlfn.XLOOKUP($D839,城市信息!$B$1:$B$14,城市信息!$A$1:$A$14)</f>
        <v>012</v>
      </c>
      <c r="M839" t="str">
        <f>_xlfn.XLOOKUP($D839,城市信息!$B$1:$B$14,城市信息!$C$1:$C$14)</f>
        <v>于子默</v>
      </c>
      <c r="N839" t="str">
        <f>_xlfn.XLOOKUP($D839,城市信息!$B$1:$B$14,城市信息!$D$1:$D$14)</f>
        <v>二线</v>
      </c>
      <c r="O839">
        <f>_xlfn.XLOOKUP($D839,城市信息!$B$1:$B$14,城市信息!$E$1:$E$14)</f>
        <v>9713</v>
      </c>
      <c r="P839" cm="1">
        <f t="array" ref="P839:U839">_xlfn.XLOOKUP(A839&amp;B839,'[1]2.4自动化报表-8月获客数据-非乱码'!$A:$A&amp;'[1]2.4自动化报表-8月获客数据-非乱码'!$B:$B,'[1]2.4自动化报表-8月获客数据-非乱码'!$C:$H)</f>
        <v>2583</v>
      </c>
      <c r="Q839">
        <v>2540</v>
      </c>
      <c r="R839">
        <v>2470</v>
      </c>
      <c r="S839">
        <v>1542</v>
      </c>
      <c r="T839">
        <v>855</v>
      </c>
      <c r="U839">
        <v>690</v>
      </c>
    </row>
    <row r="840" spans="1:21" x14ac:dyDescent="0.3">
      <c r="A840" s="1">
        <v>44074</v>
      </c>
      <c r="B840" t="s">
        <v>31</v>
      </c>
      <c r="C840" t="s">
        <v>97</v>
      </c>
      <c r="D840" t="s">
        <v>65</v>
      </c>
      <c r="E840" t="s">
        <v>99</v>
      </c>
      <c r="F840" s="2">
        <v>165624</v>
      </c>
      <c r="G840" s="2">
        <v>12288</v>
      </c>
      <c r="H840" s="2">
        <v>10063</v>
      </c>
      <c r="I840" t="str">
        <f>_xlfn.XLOOKUP($C840,战区信息!$A$1:$A$5,战区信息!$B$1:$B$5)</f>
        <v>003</v>
      </c>
      <c r="J840" t="str">
        <f>_xlfn.XLOOKUP($C840,战区信息!$A$1:$A$5,战区信息!$C$1:$C$5)</f>
        <v>田楠</v>
      </c>
      <c r="K840" t="str">
        <f>_xlfn.XLOOKUP($C840,战区信息!$A$1:$A$5,战区信息!$D$1:$D$5)</f>
        <v>二级战区</v>
      </c>
      <c r="L840" t="str">
        <f>_xlfn.XLOOKUP($D840,城市信息!$B$1:$B$14,城市信息!$A$1:$A$14)</f>
        <v>010</v>
      </c>
      <c r="M840" t="str">
        <f>_xlfn.XLOOKUP($D840,城市信息!$B$1:$B$14,城市信息!$C$1:$C$14)</f>
        <v>黄鹏天</v>
      </c>
      <c r="N840" t="str">
        <f>_xlfn.XLOOKUP($D840,城市信息!$B$1:$B$14,城市信息!$D$1:$D$14)</f>
        <v>二线</v>
      </c>
      <c r="O840">
        <f>_xlfn.XLOOKUP($D840,城市信息!$B$1:$B$14,城市信息!$E$1:$E$14)</f>
        <v>8295</v>
      </c>
      <c r="P840" cm="1">
        <f t="array" ref="P840:U840">_xlfn.XLOOKUP(A840&amp;B840,'[1]2.4自动化报表-8月获客数据-非乱码'!$A:$A&amp;'[1]2.4自动化报表-8月获客数据-非乱码'!$B:$B,'[1]2.4自动化报表-8月获客数据-非乱码'!$C:$H)</f>
        <v>3717</v>
      </c>
      <c r="Q840">
        <v>3652</v>
      </c>
      <c r="R840">
        <v>3534</v>
      </c>
      <c r="S840">
        <v>2135</v>
      </c>
      <c r="T840">
        <v>1196</v>
      </c>
      <c r="U840">
        <v>691</v>
      </c>
    </row>
    <row r="841" spans="1:21" x14ac:dyDescent="0.3">
      <c r="A841" s="1">
        <v>44074</v>
      </c>
      <c r="B841" t="s">
        <v>30</v>
      </c>
      <c r="C841" t="s">
        <v>97</v>
      </c>
      <c r="D841" t="s">
        <v>61</v>
      </c>
      <c r="E841" t="s">
        <v>100</v>
      </c>
      <c r="F841" s="2">
        <v>245205</v>
      </c>
      <c r="G841" s="2">
        <v>17637</v>
      </c>
      <c r="H841" s="2">
        <v>5031</v>
      </c>
      <c r="I841" t="str">
        <f>_xlfn.XLOOKUP($C841,战区信息!$A$1:$A$5,战区信息!$B$1:$B$5)</f>
        <v>003</v>
      </c>
      <c r="J841" t="str">
        <f>_xlfn.XLOOKUP($C841,战区信息!$A$1:$A$5,战区信息!$C$1:$C$5)</f>
        <v>田楠</v>
      </c>
      <c r="K841" t="str">
        <f>_xlfn.XLOOKUP($C841,战区信息!$A$1:$A$5,战区信息!$D$1:$D$5)</f>
        <v>二级战区</v>
      </c>
      <c r="L841" t="str">
        <f>_xlfn.XLOOKUP($D841,城市信息!$B$1:$B$14,城市信息!$A$1:$A$14)</f>
        <v>006</v>
      </c>
      <c r="M841" t="str">
        <f>_xlfn.XLOOKUP($D841,城市信息!$B$1:$B$14,城市信息!$C$1:$C$14)</f>
        <v>王刚</v>
      </c>
      <c r="N841" t="str">
        <f>_xlfn.XLOOKUP($D841,城市信息!$B$1:$B$14,城市信息!$D$1:$D$14)</f>
        <v>二线</v>
      </c>
      <c r="O841">
        <f>_xlfn.XLOOKUP($D841,城市信息!$B$1:$B$14,城市信息!$E$1:$E$14)</f>
        <v>9107</v>
      </c>
      <c r="P841" cm="1">
        <f t="array" ref="P841:U841">_xlfn.XLOOKUP(A841&amp;B841,'[1]2.4自动化报表-8月获客数据-非乱码'!$A:$A&amp;'[1]2.4自动化报表-8月获客数据-非乱码'!$B:$B,'[1]2.4自动化报表-8月获客数据-非乱码'!$C:$H)</f>
        <v>4940</v>
      </c>
      <c r="Q841">
        <v>4827</v>
      </c>
      <c r="R841">
        <v>4636</v>
      </c>
      <c r="S841">
        <v>2993</v>
      </c>
      <c r="T841">
        <v>1495</v>
      </c>
      <c r="U841">
        <v>701</v>
      </c>
    </row>
    <row r="842" spans="1:21" x14ac:dyDescent="0.3">
      <c r="A842" s="1">
        <v>44074</v>
      </c>
      <c r="B842" t="s">
        <v>29</v>
      </c>
      <c r="C842" t="s">
        <v>97</v>
      </c>
      <c r="D842" t="s">
        <v>64</v>
      </c>
      <c r="E842" t="s">
        <v>101</v>
      </c>
      <c r="F842" s="2">
        <v>71062</v>
      </c>
      <c r="G842" s="2">
        <v>3703</v>
      </c>
      <c r="H842">
        <v>0</v>
      </c>
      <c r="I842" t="str">
        <f>_xlfn.XLOOKUP($C842,战区信息!$A$1:$A$5,战区信息!$B$1:$B$5)</f>
        <v>003</v>
      </c>
      <c r="J842" t="str">
        <f>_xlfn.XLOOKUP($C842,战区信息!$A$1:$A$5,战区信息!$C$1:$C$5)</f>
        <v>田楠</v>
      </c>
      <c r="K842" t="str">
        <f>_xlfn.XLOOKUP($C842,战区信息!$A$1:$A$5,战区信息!$D$1:$D$5)</f>
        <v>二级战区</v>
      </c>
      <c r="L842" t="str">
        <f>_xlfn.XLOOKUP($D842,城市信息!$B$1:$B$14,城市信息!$A$1:$A$14)</f>
        <v>009</v>
      </c>
      <c r="M842" t="str">
        <f>_xlfn.XLOOKUP($D842,城市信息!$B$1:$B$14,城市信息!$C$1:$C$14)</f>
        <v>叶超</v>
      </c>
      <c r="N842" t="str">
        <f>_xlfn.XLOOKUP($D842,城市信息!$B$1:$B$14,城市信息!$D$1:$D$14)</f>
        <v>二线</v>
      </c>
      <c r="O842">
        <f>_xlfn.XLOOKUP($D842,城市信息!$B$1:$B$14,城市信息!$E$1:$E$14)</f>
        <v>9016</v>
      </c>
      <c r="P842" cm="1">
        <f t="array" ref="P842:U842">_xlfn.XLOOKUP(A842&amp;B842,'[1]2.4自动化报表-8月获客数据-非乱码'!$A:$A&amp;'[1]2.4自动化报表-8月获客数据-非乱码'!$B:$B,'[1]2.4自动化报表-8月获客数据-非乱码'!$C:$H)</f>
        <v>2281</v>
      </c>
      <c r="Q842">
        <v>2226</v>
      </c>
      <c r="R842">
        <v>2147</v>
      </c>
      <c r="S842">
        <v>1395</v>
      </c>
      <c r="T842">
        <v>803</v>
      </c>
      <c r="U842">
        <v>692</v>
      </c>
    </row>
    <row r="843" spans="1:21" x14ac:dyDescent="0.3">
      <c r="A843" s="1">
        <v>44074</v>
      </c>
      <c r="B843" t="s">
        <v>28</v>
      </c>
      <c r="C843" t="s">
        <v>97</v>
      </c>
      <c r="D843" t="s">
        <v>64</v>
      </c>
      <c r="E843" t="s">
        <v>102</v>
      </c>
      <c r="F843" s="2">
        <v>10408</v>
      </c>
      <c r="G843">
        <v>758</v>
      </c>
      <c r="H843">
        <v>0</v>
      </c>
      <c r="I843" t="str">
        <f>_xlfn.XLOOKUP($C843,战区信息!$A$1:$A$5,战区信息!$B$1:$B$5)</f>
        <v>003</v>
      </c>
      <c r="J843" t="str">
        <f>_xlfn.XLOOKUP($C843,战区信息!$A$1:$A$5,战区信息!$C$1:$C$5)</f>
        <v>田楠</v>
      </c>
      <c r="K843" t="str">
        <f>_xlfn.XLOOKUP($C843,战区信息!$A$1:$A$5,战区信息!$D$1:$D$5)</f>
        <v>二级战区</v>
      </c>
      <c r="L843" t="str">
        <f>_xlfn.XLOOKUP($D843,城市信息!$B$1:$B$14,城市信息!$A$1:$A$14)</f>
        <v>009</v>
      </c>
      <c r="M843" t="str">
        <f>_xlfn.XLOOKUP($D843,城市信息!$B$1:$B$14,城市信息!$C$1:$C$14)</f>
        <v>叶超</v>
      </c>
      <c r="N843" t="str">
        <f>_xlfn.XLOOKUP($D843,城市信息!$B$1:$B$14,城市信息!$D$1:$D$14)</f>
        <v>二线</v>
      </c>
      <c r="O843">
        <f>_xlfn.XLOOKUP($D843,城市信息!$B$1:$B$14,城市信息!$E$1:$E$14)</f>
        <v>9016</v>
      </c>
      <c r="P843" cm="1">
        <f t="array" ref="P843:U843">_xlfn.XLOOKUP(A843&amp;B843,'[1]2.4自动化报表-8月获客数据-非乱码'!$A:$A&amp;'[1]2.4自动化报表-8月获客数据-非乱码'!$B:$B,'[1]2.4自动化报表-8月获客数据-非乱码'!$C:$H)</f>
        <v>672</v>
      </c>
      <c r="Q843">
        <v>662</v>
      </c>
      <c r="R843">
        <v>643</v>
      </c>
      <c r="S843">
        <v>443</v>
      </c>
      <c r="T843">
        <v>209</v>
      </c>
      <c r="U843">
        <v>692</v>
      </c>
    </row>
    <row r="844" spans="1:21" x14ac:dyDescent="0.3">
      <c r="A844" s="1">
        <v>44074</v>
      </c>
      <c r="B844" t="s">
        <v>27</v>
      </c>
      <c r="C844" t="s">
        <v>103</v>
      </c>
      <c r="D844" t="s">
        <v>63</v>
      </c>
      <c r="E844" t="s">
        <v>104</v>
      </c>
      <c r="F844" s="2">
        <v>166418</v>
      </c>
      <c r="G844" s="2">
        <v>9489</v>
      </c>
      <c r="H844">
        <v>0</v>
      </c>
      <c r="I844" t="str">
        <f>_xlfn.XLOOKUP($C844,战区信息!$A$1:$A$5,战区信息!$B$1:$B$5)</f>
        <v>002</v>
      </c>
      <c r="J844" t="str">
        <f>_xlfn.XLOOKUP($C844,战区信息!$A$1:$A$5,战区信息!$C$1:$C$5)</f>
        <v>高安平</v>
      </c>
      <c r="K844" t="str">
        <f>_xlfn.XLOOKUP($C844,战区信息!$A$1:$A$5,战区信息!$D$1:$D$5)</f>
        <v>二级战区</v>
      </c>
      <c r="L844" t="str">
        <f>_xlfn.XLOOKUP($D844,城市信息!$B$1:$B$14,城市信息!$A$1:$A$14)</f>
        <v>008</v>
      </c>
      <c r="M844" t="str">
        <f>_xlfn.XLOOKUP($D844,城市信息!$B$1:$B$14,城市信息!$C$1:$C$14)</f>
        <v>高弘壮</v>
      </c>
      <c r="N844" t="str">
        <f>_xlfn.XLOOKUP($D844,城市信息!$B$1:$B$14,城市信息!$D$1:$D$14)</f>
        <v>一线</v>
      </c>
      <c r="O844">
        <f>_xlfn.XLOOKUP($D844,城市信息!$B$1:$B$14,城市信息!$E$1:$E$14)</f>
        <v>11498</v>
      </c>
      <c r="P844" cm="1">
        <f t="array" ref="P844:U844">_xlfn.XLOOKUP(A844&amp;B844,'[1]2.4自动化报表-8月获客数据-非乱码'!$A:$A&amp;'[1]2.4自动化报表-8月获客数据-非乱码'!$B:$B,'[1]2.4自动化报表-8月获客数据-非乱码'!$C:$H)</f>
        <v>3823</v>
      </c>
      <c r="Q844">
        <v>3708</v>
      </c>
      <c r="R844">
        <v>3535</v>
      </c>
      <c r="S844">
        <v>2103</v>
      </c>
      <c r="T844">
        <v>1122</v>
      </c>
      <c r="U844">
        <v>689</v>
      </c>
    </row>
    <row r="845" spans="1:21" x14ac:dyDescent="0.3">
      <c r="A845" s="1">
        <v>44074</v>
      </c>
      <c r="B845" t="s">
        <v>26</v>
      </c>
      <c r="C845" t="s">
        <v>103</v>
      </c>
      <c r="D845" t="s">
        <v>57</v>
      </c>
      <c r="E845" t="s">
        <v>105</v>
      </c>
      <c r="F845" s="2">
        <v>374718</v>
      </c>
      <c r="G845" s="2">
        <v>22217</v>
      </c>
      <c r="H845" s="2">
        <v>13417</v>
      </c>
      <c r="I845" t="str">
        <f>_xlfn.XLOOKUP($C845,战区信息!$A$1:$A$5,战区信息!$B$1:$B$5)</f>
        <v>002</v>
      </c>
      <c r="J845" t="str">
        <f>_xlfn.XLOOKUP($C845,战区信息!$A$1:$A$5,战区信息!$C$1:$C$5)</f>
        <v>高安平</v>
      </c>
      <c r="K845" t="str">
        <f>_xlfn.XLOOKUP($C845,战区信息!$A$1:$A$5,战区信息!$D$1:$D$5)</f>
        <v>二级战区</v>
      </c>
      <c r="L845" t="str">
        <f>_xlfn.XLOOKUP($D845,城市信息!$B$1:$B$14,城市信息!$A$1:$A$14)</f>
        <v>002</v>
      </c>
      <c r="M845" t="str">
        <f>_xlfn.XLOOKUP($D845,城市信息!$B$1:$B$14,城市信息!$C$1:$C$14)</f>
        <v>孙乒</v>
      </c>
      <c r="N845" t="str">
        <f>_xlfn.XLOOKUP($D845,城市信息!$B$1:$B$14,城市信息!$D$1:$D$14)</f>
        <v>一线</v>
      </c>
      <c r="O845">
        <f>_xlfn.XLOOKUP($D845,城市信息!$B$1:$B$14,城市信息!$E$1:$E$14)</f>
        <v>9854</v>
      </c>
      <c r="P845" cm="1">
        <f t="array" ref="P845:U845">_xlfn.XLOOKUP(A845&amp;B845,'[1]2.4自动化报表-8月获客数据-非乱码'!$A:$A&amp;'[1]2.4自动化报表-8月获客数据-非乱码'!$B:$B,'[1]2.4自动化报表-8月获客数据-非乱码'!$C:$H)</f>
        <v>7766</v>
      </c>
      <c r="Q845">
        <v>7581</v>
      </c>
      <c r="R845">
        <v>7277</v>
      </c>
      <c r="S845">
        <v>4488</v>
      </c>
      <c r="T845">
        <v>2479</v>
      </c>
      <c r="U845">
        <v>688</v>
      </c>
    </row>
    <row r="846" spans="1:21" x14ac:dyDescent="0.3">
      <c r="A846" s="1">
        <v>44074</v>
      </c>
      <c r="B846" t="s">
        <v>25</v>
      </c>
      <c r="C846" t="s">
        <v>103</v>
      </c>
      <c r="D846" t="s">
        <v>57</v>
      </c>
      <c r="E846" t="s">
        <v>106</v>
      </c>
      <c r="F846" s="2">
        <v>131312</v>
      </c>
      <c r="G846" s="2">
        <v>8984</v>
      </c>
      <c r="H846" s="2">
        <v>13862</v>
      </c>
      <c r="I846" t="str">
        <f>_xlfn.XLOOKUP($C846,战区信息!$A$1:$A$5,战区信息!$B$1:$B$5)</f>
        <v>002</v>
      </c>
      <c r="J846" t="str">
        <f>_xlfn.XLOOKUP($C846,战区信息!$A$1:$A$5,战区信息!$C$1:$C$5)</f>
        <v>高安平</v>
      </c>
      <c r="K846" t="str">
        <f>_xlfn.XLOOKUP($C846,战区信息!$A$1:$A$5,战区信息!$D$1:$D$5)</f>
        <v>二级战区</v>
      </c>
      <c r="L846" t="str">
        <f>_xlfn.XLOOKUP($D846,城市信息!$B$1:$B$14,城市信息!$A$1:$A$14)</f>
        <v>002</v>
      </c>
      <c r="M846" t="str">
        <f>_xlfn.XLOOKUP($D846,城市信息!$B$1:$B$14,城市信息!$C$1:$C$14)</f>
        <v>孙乒</v>
      </c>
      <c r="N846" t="str">
        <f>_xlfn.XLOOKUP($D846,城市信息!$B$1:$B$14,城市信息!$D$1:$D$14)</f>
        <v>一线</v>
      </c>
      <c r="O846">
        <f>_xlfn.XLOOKUP($D846,城市信息!$B$1:$B$14,城市信息!$E$1:$E$14)</f>
        <v>9854</v>
      </c>
      <c r="P846" cm="1">
        <f t="array" ref="P846:U846">_xlfn.XLOOKUP(A846&amp;B846,'[1]2.4自动化报表-8月获客数据-非乱码'!$A:$A&amp;'[1]2.4自动化报表-8月获客数据-非乱码'!$B:$B,'[1]2.4自动化报表-8月获客数据-非乱码'!$C:$H)</f>
        <v>4986</v>
      </c>
      <c r="Q846">
        <v>4822</v>
      </c>
      <c r="R846">
        <v>4570</v>
      </c>
      <c r="S846">
        <v>2771</v>
      </c>
      <c r="T846">
        <v>1616</v>
      </c>
      <c r="U846">
        <v>690</v>
      </c>
    </row>
    <row r="847" spans="1:21" x14ac:dyDescent="0.3">
      <c r="A847" s="1">
        <v>44074</v>
      </c>
      <c r="B847" t="s">
        <v>24</v>
      </c>
      <c r="C847" t="s">
        <v>103</v>
      </c>
      <c r="D847" t="s">
        <v>57</v>
      </c>
      <c r="E847" t="s">
        <v>107</v>
      </c>
      <c r="F847" s="2">
        <v>192874</v>
      </c>
      <c r="G847" s="2">
        <v>13914</v>
      </c>
      <c r="H847">
        <v>941</v>
      </c>
      <c r="I847" t="str">
        <f>_xlfn.XLOOKUP($C847,战区信息!$A$1:$A$5,战区信息!$B$1:$B$5)</f>
        <v>002</v>
      </c>
      <c r="J847" t="str">
        <f>_xlfn.XLOOKUP($C847,战区信息!$A$1:$A$5,战区信息!$C$1:$C$5)</f>
        <v>高安平</v>
      </c>
      <c r="K847" t="str">
        <f>_xlfn.XLOOKUP($C847,战区信息!$A$1:$A$5,战区信息!$D$1:$D$5)</f>
        <v>二级战区</v>
      </c>
      <c r="L847" t="str">
        <f>_xlfn.XLOOKUP($D847,城市信息!$B$1:$B$14,城市信息!$A$1:$A$14)</f>
        <v>002</v>
      </c>
      <c r="M847" t="str">
        <f>_xlfn.XLOOKUP($D847,城市信息!$B$1:$B$14,城市信息!$C$1:$C$14)</f>
        <v>孙乒</v>
      </c>
      <c r="N847" t="str">
        <f>_xlfn.XLOOKUP($D847,城市信息!$B$1:$B$14,城市信息!$D$1:$D$14)</f>
        <v>一线</v>
      </c>
      <c r="O847">
        <f>_xlfn.XLOOKUP($D847,城市信息!$B$1:$B$14,城市信息!$E$1:$E$14)</f>
        <v>9854</v>
      </c>
      <c r="P847" cm="1">
        <f t="array" ref="P847:U847">_xlfn.XLOOKUP(A847&amp;B847,'[1]2.4自动化报表-8月获客数据-非乱码'!$A:$A&amp;'[1]2.4自动化报表-8月获客数据-非乱码'!$B:$B,'[1]2.4自动化报表-8月获客数据-非乱码'!$C:$H)</f>
        <v>4769</v>
      </c>
      <c r="Q847">
        <v>4672</v>
      </c>
      <c r="R847">
        <v>4468</v>
      </c>
      <c r="S847">
        <v>2745</v>
      </c>
      <c r="T847">
        <v>1595</v>
      </c>
      <c r="U847">
        <v>691</v>
      </c>
    </row>
    <row r="848" spans="1:21" x14ac:dyDescent="0.3">
      <c r="A848" s="1">
        <v>44074</v>
      </c>
      <c r="B848" t="s">
        <v>23</v>
      </c>
      <c r="C848" t="s">
        <v>108</v>
      </c>
      <c r="D848" t="s">
        <v>109</v>
      </c>
      <c r="E848" t="s">
        <v>110</v>
      </c>
      <c r="F848" s="2">
        <v>255010</v>
      </c>
      <c r="G848" s="2">
        <v>18549</v>
      </c>
      <c r="H848">
        <v>0</v>
      </c>
      <c r="I848" t="str">
        <f>_xlfn.XLOOKUP($C848,战区信息!$A$1:$A$5,战区信息!$B$1:$B$5)</f>
        <v>001</v>
      </c>
      <c r="J848" t="str">
        <f>_xlfn.XLOOKUP($C848,战区信息!$A$1:$A$5,战区信息!$C$1:$C$5)</f>
        <v>江永</v>
      </c>
      <c r="K848" t="str">
        <f>_xlfn.XLOOKUP($C848,战区信息!$A$1:$A$5,战区信息!$D$1:$D$5)</f>
        <v>一级战区</v>
      </c>
      <c r="L848" t="str">
        <f>_xlfn.XLOOKUP($D848,城市信息!$B$1:$B$14,城市信息!$A$1:$A$14)</f>
        <v>013</v>
      </c>
      <c r="M848" t="str">
        <f>_xlfn.XLOOKUP($D848,城市信息!$B$1:$B$14,城市信息!$C$1:$C$14)</f>
        <v>张建</v>
      </c>
      <c r="N848" t="str">
        <f>_xlfn.XLOOKUP($D848,城市信息!$B$1:$B$14,城市信息!$D$1:$D$14)</f>
        <v>二线</v>
      </c>
      <c r="O848">
        <f>_xlfn.XLOOKUP($D848,城市信息!$B$1:$B$14,城市信息!$E$1:$E$14)</f>
        <v>8800</v>
      </c>
      <c r="P848" cm="1">
        <f t="array" ref="P848:U848">_xlfn.XLOOKUP(A848&amp;B848,'[1]2.4自动化报表-8月获客数据-非乱码'!$A:$A&amp;'[1]2.4自动化报表-8月获客数据-非乱码'!$B:$B,'[1]2.4自动化报表-8月获客数据-非乱码'!$C:$H)</f>
        <v>5718</v>
      </c>
      <c r="Q848">
        <v>5485</v>
      </c>
      <c r="R848">
        <v>5221</v>
      </c>
      <c r="S848">
        <v>3223</v>
      </c>
      <c r="T848">
        <v>1676</v>
      </c>
      <c r="U848">
        <v>694</v>
      </c>
    </row>
    <row r="849" spans="1:21" x14ac:dyDescent="0.3">
      <c r="A849" s="1">
        <v>44074</v>
      </c>
      <c r="B849" t="s">
        <v>22</v>
      </c>
      <c r="C849" t="s">
        <v>108</v>
      </c>
      <c r="D849" t="s">
        <v>109</v>
      </c>
      <c r="E849" t="s">
        <v>111</v>
      </c>
      <c r="F849" s="2">
        <v>29006</v>
      </c>
      <c r="G849" s="2">
        <v>1196</v>
      </c>
      <c r="H849">
        <v>0</v>
      </c>
      <c r="I849" t="str">
        <f>_xlfn.XLOOKUP($C849,战区信息!$A$1:$A$5,战区信息!$B$1:$B$5)</f>
        <v>001</v>
      </c>
      <c r="J849" t="str">
        <f>_xlfn.XLOOKUP($C849,战区信息!$A$1:$A$5,战区信息!$C$1:$C$5)</f>
        <v>江永</v>
      </c>
      <c r="K849" t="str">
        <f>_xlfn.XLOOKUP($C849,战区信息!$A$1:$A$5,战区信息!$D$1:$D$5)</f>
        <v>一级战区</v>
      </c>
      <c r="L849" t="str">
        <f>_xlfn.XLOOKUP($D849,城市信息!$B$1:$B$14,城市信息!$A$1:$A$14)</f>
        <v>013</v>
      </c>
      <c r="M849" t="str">
        <f>_xlfn.XLOOKUP($D849,城市信息!$B$1:$B$14,城市信息!$C$1:$C$14)</f>
        <v>张建</v>
      </c>
      <c r="N849" t="str">
        <f>_xlfn.XLOOKUP($D849,城市信息!$B$1:$B$14,城市信息!$D$1:$D$14)</f>
        <v>二线</v>
      </c>
      <c r="O849">
        <f>_xlfn.XLOOKUP($D849,城市信息!$B$1:$B$14,城市信息!$E$1:$E$14)</f>
        <v>8800</v>
      </c>
      <c r="P849" cm="1">
        <f t="array" ref="P849:U849">_xlfn.XLOOKUP(A849&amp;B849,'[1]2.4自动化报表-8月获客数据-非乱码'!$A:$A&amp;'[1]2.4自动化报表-8月获客数据-非乱码'!$B:$B,'[1]2.4自动化报表-8月获客数据-非乱码'!$C:$H)</f>
        <v>244</v>
      </c>
      <c r="Q849">
        <v>235</v>
      </c>
      <c r="R849">
        <v>210</v>
      </c>
      <c r="S849">
        <v>106</v>
      </c>
      <c r="T849">
        <v>59</v>
      </c>
      <c r="U849">
        <v>692</v>
      </c>
    </row>
    <row r="850" spans="1:21" x14ac:dyDescent="0.3">
      <c r="A850" s="1">
        <v>44074</v>
      </c>
      <c r="B850" t="s">
        <v>21</v>
      </c>
      <c r="C850" t="s">
        <v>108</v>
      </c>
      <c r="D850" t="s">
        <v>109</v>
      </c>
      <c r="E850" t="s">
        <v>112</v>
      </c>
      <c r="F850" s="2">
        <v>312971</v>
      </c>
      <c r="G850" s="2">
        <v>20962</v>
      </c>
      <c r="H850">
        <v>0</v>
      </c>
      <c r="I850" t="str">
        <f>_xlfn.XLOOKUP($C850,战区信息!$A$1:$A$5,战区信息!$B$1:$B$5)</f>
        <v>001</v>
      </c>
      <c r="J850" t="str">
        <f>_xlfn.XLOOKUP($C850,战区信息!$A$1:$A$5,战区信息!$C$1:$C$5)</f>
        <v>江永</v>
      </c>
      <c r="K850" t="str">
        <f>_xlfn.XLOOKUP($C850,战区信息!$A$1:$A$5,战区信息!$D$1:$D$5)</f>
        <v>一级战区</v>
      </c>
      <c r="L850" t="str">
        <f>_xlfn.XLOOKUP($D850,城市信息!$B$1:$B$14,城市信息!$A$1:$A$14)</f>
        <v>013</v>
      </c>
      <c r="M850" t="str">
        <f>_xlfn.XLOOKUP($D850,城市信息!$B$1:$B$14,城市信息!$C$1:$C$14)</f>
        <v>张建</v>
      </c>
      <c r="N850" t="str">
        <f>_xlfn.XLOOKUP($D850,城市信息!$B$1:$B$14,城市信息!$D$1:$D$14)</f>
        <v>二线</v>
      </c>
      <c r="O850">
        <f>_xlfn.XLOOKUP($D850,城市信息!$B$1:$B$14,城市信息!$E$1:$E$14)</f>
        <v>8800</v>
      </c>
      <c r="P850" cm="1">
        <f t="array" ref="P850:U850">_xlfn.XLOOKUP(A850&amp;B850,'[1]2.4自动化报表-8月获客数据-非乱码'!$A:$A&amp;'[1]2.4自动化报表-8月获客数据-非乱码'!$B:$B,'[1]2.4自动化报表-8月获客数据-非乱码'!$C:$H)</f>
        <v>7899</v>
      </c>
      <c r="Q850">
        <v>7576</v>
      </c>
      <c r="R850">
        <v>7176</v>
      </c>
      <c r="S850">
        <v>4159</v>
      </c>
      <c r="T850">
        <v>2242</v>
      </c>
      <c r="U850">
        <v>696</v>
      </c>
    </row>
    <row r="851" spans="1:21" x14ac:dyDescent="0.3">
      <c r="A851" s="1">
        <v>44074</v>
      </c>
      <c r="B851" t="s">
        <v>20</v>
      </c>
      <c r="C851" t="s">
        <v>108</v>
      </c>
      <c r="D851" t="s">
        <v>56</v>
      </c>
      <c r="E851" t="s">
        <v>113</v>
      </c>
      <c r="F851" s="2">
        <v>59701</v>
      </c>
      <c r="G851" s="2">
        <v>3346</v>
      </c>
      <c r="H851">
        <v>0</v>
      </c>
      <c r="I851" t="str">
        <f>_xlfn.XLOOKUP($C851,战区信息!$A$1:$A$5,战区信息!$B$1:$B$5)</f>
        <v>001</v>
      </c>
      <c r="J851" t="str">
        <f>_xlfn.XLOOKUP($C851,战区信息!$A$1:$A$5,战区信息!$C$1:$C$5)</f>
        <v>江永</v>
      </c>
      <c r="K851" t="str">
        <f>_xlfn.XLOOKUP($C851,战区信息!$A$1:$A$5,战区信息!$D$1:$D$5)</f>
        <v>一级战区</v>
      </c>
      <c r="L851" t="str">
        <f>_xlfn.XLOOKUP($D851,城市信息!$B$1:$B$14,城市信息!$A$1:$A$14)</f>
        <v>001</v>
      </c>
      <c r="M851" t="str">
        <f>_xlfn.XLOOKUP($D851,城市信息!$B$1:$B$14,城市信息!$C$1:$C$14)</f>
        <v>吴刚</v>
      </c>
      <c r="N851" t="str">
        <f>_xlfn.XLOOKUP($D851,城市信息!$B$1:$B$14,城市信息!$D$1:$D$14)</f>
        <v>一线</v>
      </c>
      <c r="O851">
        <f>_xlfn.XLOOKUP($D851,城市信息!$B$1:$B$14,城市信息!$E$1:$E$14)</f>
        <v>12114</v>
      </c>
      <c r="P851" cm="1">
        <f t="array" ref="P851:U851">_xlfn.XLOOKUP(A851&amp;B851,'[1]2.4自动化报表-8月获客数据-非乱码'!$A:$A&amp;'[1]2.4自动化报表-8月获客数据-非乱码'!$B:$B,'[1]2.4自动化报表-8月获客数据-非乱码'!$C:$H)</f>
        <v>5112</v>
      </c>
      <c r="Q851">
        <v>4939</v>
      </c>
      <c r="R851">
        <v>4740</v>
      </c>
      <c r="S851">
        <v>2854</v>
      </c>
      <c r="T851">
        <v>1618</v>
      </c>
      <c r="U851">
        <v>695</v>
      </c>
    </row>
    <row r="852" spans="1:21" x14ac:dyDescent="0.3">
      <c r="A852" s="1">
        <v>44074</v>
      </c>
      <c r="B852" t="s">
        <v>19</v>
      </c>
      <c r="C852" t="s">
        <v>108</v>
      </c>
      <c r="D852" t="s">
        <v>56</v>
      </c>
      <c r="E852" t="s">
        <v>114</v>
      </c>
      <c r="F852" s="2">
        <v>102799</v>
      </c>
      <c r="G852" s="2">
        <v>7523</v>
      </c>
      <c r="H852">
        <v>0</v>
      </c>
      <c r="I852" t="str">
        <f>_xlfn.XLOOKUP($C852,战区信息!$A$1:$A$5,战区信息!$B$1:$B$5)</f>
        <v>001</v>
      </c>
      <c r="J852" t="str">
        <f>_xlfn.XLOOKUP($C852,战区信息!$A$1:$A$5,战区信息!$C$1:$C$5)</f>
        <v>江永</v>
      </c>
      <c r="K852" t="str">
        <f>_xlfn.XLOOKUP($C852,战区信息!$A$1:$A$5,战区信息!$D$1:$D$5)</f>
        <v>一级战区</v>
      </c>
      <c r="L852" t="str">
        <f>_xlfn.XLOOKUP($D852,城市信息!$B$1:$B$14,城市信息!$A$1:$A$14)</f>
        <v>001</v>
      </c>
      <c r="M852" t="str">
        <f>_xlfn.XLOOKUP($D852,城市信息!$B$1:$B$14,城市信息!$C$1:$C$14)</f>
        <v>吴刚</v>
      </c>
      <c r="N852" t="str">
        <f>_xlfn.XLOOKUP($D852,城市信息!$B$1:$B$14,城市信息!$D$1:$D$14)</f>
        <v>一线</v>
      </c>
      <c r="O852">
        <f>_xlfn.XLOOKUP($D852,城市信息!$B$1:$B$14,城市信息!$E$1:$E$14)</f>
        <v>12114</v>
      </c>
      <c r="P852" cm="1">
        <f t="array" ref="P852:U852">_xlfn.XLOOKUP(A852&amp;B852,'[1]2.4自动化报表-8月获客数据-非乱码'!$A:$A&amp;'[1]2.4自动化报表-8月获客数据-非乱码'!$B:$B,'[1]2.4自动化报表-8月获客数据-非乱码'!$C:$H)</f>
        <v>3281</v>
      </c>
      <c r="Q852">
        <v>3198</v>
      </c>
      <c r="R852">
        <v>3076</v>
      </c>
      <c r="S852">
        <v>1800</v>
      </c>
      <c r="T852">
        <v>1083</v>
      </c>
      <c r="U852">
        <v>696</v>
      </c>
    </row>
    <row r="853" spans="1:21" x14ac:dyDescent="0.3">
      <c r="A853" s="1">
        <v>44074</v>
      </c>
      <c r="B853" t="s">
        <v>18</v>
      </c>
      <c r="C853" t="s">
        <v>108</v>
      </c>
      <c r="D853" t="s">
        <v>56</v>
      </c>
      <c r="E853" t="s">
        <v>115</v>
      </c>
      <c r="F853" s="2">
        <v>86935</v>
      </c>
      <c r="G853" s="2">
        <v>5219</v>
      </c>
      <c r="H853">
        <v>0</v>
      </c>
      <c r="I853" t="str">
        <f>_xlfn.XLOOKUP($C853,战区信息!$A$1:$A$5,战区信息!$B$1:$B$5)</f>
        <v>001</v>
      </c>
      <c r="J853" t="str">
        <f>_xlfn.XLOOKUP($C853,战区信息!$A$1:$A$5,战区信息!$C$1:$C$5)</f>
        <v>江永</v>
      </c>
      <c r="K853" t="str">
        <f>_xlfn.XLOOKUP($C853,战区信息!$A$1:$A$5,战区信息!$D$1:$D$5)</f>
        <v>一级战区</v>
      </c>
      <c r="L853" t="str">
        <f>_xlfn.XLOOKUP($D853,城市信息!$B$1:$B$14,城市信息!$A$1:$A$14)</f>
        <v>001</v>
      </c>
      <c r="M853" t="str">
        <f>_xlfn.XLOOKUP($D853,城市信息!$B$1:$B$14,城市信息!$C$1:$C$14)</f>
        <v>吴刚</v>
      </c>
      <c r="N853" t="str">
        <f>_xlfn.XLOOKUP($D853,城市信息!$B$1:$B$14,城市信息!$D$1:$D$14)</f>
        <v>一线</v>
      </c>
      <c r="O853">
        <f>_xlfn.XLOOKUP($D853,城市信息!$B$1:$B$14,城市信息!$E$1:$E$14)</f>
        <v>12114</v>
      </c>
      <c r="P853" cm="1">
        <f t="array" ref="P853:U853">_xlfn.XLOOKUP(A853&amp;B853,'[1]2.4自动化报表-8月获客数据-非乱码'!$A:$A&amp;'[1]2.4自动化报表-8月获客数据-非乱码'!$B:$B,'[1]2.4自动化报表-8月获客数据-非乱码'!$C:$H)</f>
        <v>2962</v>
      </c>
      <c r="Q853">
        <v>2914</v>
      </c>
      <c r="R853">
        <v>2790</v>
      </c>
      <c r="S853">
        <v>1680</v>
      </c>
      <c r="T853">
        <v>892</v>
      </c>
      <c r="U853">
        <v>690</v>
      </c>
    </row>
    <row r="854" spans="1:21" x14ac:dyDescent="0.3">
      <c r="A854" s="1">
        <v>44074</v>
      </c>
      <c r="B854" t="s">
        <v>17</v>
      </c>
      <c r="C854" t="s">
        <v>108</v>
      </c>
      <c r="D854" t="s">
        <v>59</v>
      </c>
      <c r="E854" t="s">
        <v>116</v>
      </c>
      <c r="F854" s="2">
        <v>202668</v>
      </c>
      <c r="G854" s="2">
        <v>11405</v>
      </c>
      <c r="H854">
        <v>0</v>
      </c>
      <c r="I854" t="str">
        <f>_xlfn.XLOOKUP($C854,战区信息!$A$1:$A$5,战区信息!$B$1:$B$5)</f>
        <v>001</v>
      </c>
      <c r="J854" t="str">
        <f>_xlfn.XLOOKUP($C854,战区信息!$A$1:$A$5,战区信息!$C$1:$C$5)</f>
        <v>江永</v>
      </c>
      <c r="K854" t="str">
        <f>_xlfn.XLOOKUP($C854,战区信息!$A$1:$A$5,战区信息!$D$1:$D$5)</f>
        <v>一级战区</v>
      </c>
      <c r="L854" t="str">
        <f>_xlfn.XLOOKUP($D854,城市信息!$B$1:$B$14,城市信息!$A$1:$A$14)</f>
        <v>004</v>
      </c>
      <c r="M854" t="str">
        <f>_xlfn.XLOOKUP($D854,城市信息!$B$1:$B$14,城市信息!$C$1:$C$14)</f>
        <v>苏川</v>
      </c>
      <c r="N854" t="str">
        <f>_xlfn.XLOOKUP($D854,城市信息!$B$1:$B$14,城市信息!$D$1:$D$14)</f>
        <v>二线</v>
      </c>
      <c r="O854">
        <f>_xlfn.XLOOKUP($D854,城市信息!$B$1:$B$14,城市信息!$E$1:$E$14)</f>
        <v>9912</v>
      </c>
      <c r="P854" cm="1">
        <f t="array" ref="P854:U854">_xlfn.XLOOKUP(A854&amp;B854,'[1]2.4自动化报表-8月获客数据-非乱码'!$A:$A&amp;'[1]2.4自动化报表-8月获客数据-非乱码'!$B:$B,'[1]2.4自动化报表-8月获客数据-非乱码'!$C:$H)</f>
        <v>3214</v>
      </c>
      <c r="Q854">
        <v>3143</v>
      </c>
      <c r="R854">
        <v>3032</v>
      </c>
      <c r="S854">
        <v>1771</v>
      </c>
      <c r="T854">
        <v>993</v>
      </c>
      <c r="U854">
        <v>698</v>
      </c>
    </row>
    <row r="855" spans="1:21" x14ac:dyDescent="0.3">
      <c r="A855" s="1">
        <v>44074</v>
      </c>
      <c r="B855" t="s">
        <v>16</v>
      </c>
      <c r="C855" t="s">
        <v>108</v>
      </c>
      <c r="D855" t="s">
        <v>59</v>
      </c>
      <c r="E855" t="s">
        <v>117</v>
      </c>
      <c r="F855" s="2">
        <v>91747</v>
      </c>
      <c r="G855" s="2">
        <v>8623</v>
      </c>
      <c r="H855">
        <v>0</v>
      </c>
      <c r="I855" t="str">
        <f>_xlfn.XLOOKUP($C855,战区信息!$A$1:$A$5,战区信息!$B$1:$B$5)</f>
        <v>001</v>
      </c>
      <c r="J855" t="str">
        <f>_xlfn.XLOOKUP($C855,战区信息!$A$1:$A$5,战区信息!$C$1:$C$5)</f>
        <v>江永</v>
      </c>
      <c r="K855" t="str">
        <f>_xlfn.XLOOKUP($C855,战区信息!$A$1:$A$5,战区信息!$D$1:$D$5)</f>
        <v>一级战区</v>
      </c>
      <c r="L855" t="str">
        <f>_xlfn.XLOOKUP($D855,城市信息!$B$1:$B$14,城市信息!$A$1:$A$14)</f>
        <v>004</v>
      </c>
      <c r="M855" t="str">
        <f>_xlfn.XLOOKUP($D855,城市信息!$B$1:$B$14,城市信息!$C$1:$C$14)</f>
        <v>苏川</v>
      </c>
      <c r="N855" t="str">
        <f>_xlfn.XLOOKUP($D855,城市信息!$B$1:$B$14,城市信息!$D$1:$D$14)</f>
        <v>二线</v>
      </c>
      <c r="O855">
        <f>_xlfn.XLOOKUP($D855,城市信息!$B$1:$B$14,城市信息!$E$1:$E$14)</f>
        <v>9912</v>
      </c>
      <c r="P855" cm="1">
        <f t="array" ref="P855:U855">_xlfn.XLOOKUP(A855&amp;B855,'[1]2.4自动化报表-8月获客数据-非乱码'!$A:$A&amp;'[1]2.4自动化报表-8月获客数据-非乱码'!$B:$B,'[1]2.4自动化报表-8月获客数据-非乱码'!$C:$H)</f>
        <v>2105</v>
      </c>
      <c r="Q855">
        <v>2042</v>
      </c>
      <c r="R855">
        <v>1946</v>
      </c>
      <c r="S855">
        <v>1120</v>
      </c>
      <c r="T855">
        <v>651</v>
      </c>
      <c r="U855">
        <v>696</v>
      </c>
    </row>
    <row r="856" spans="1:21" x14ac:dyDescent="0.3">
      <c r="A856" s="1">
        <v>44074</v>
      </c>
      <c r="B856" t="s">
        <v>15</v>
      </c>
      <c r="C856" t="s">
        <v>108</v>
      </c>
      <c r="D856" t="s">
        <v>59</v>
      </c>
      <c r="E856" t="s">
        <v>118</v>
      </c>
      <c r="F856" s="2">
        <v>172504</v>
      </c>
      <c r="G856" s="2">
        <v>12258</v>
      </c>
      <c r="H856">
        <v>0</v>
      </c>
      <c r="I856" t="str">
        <f>_xlfn.XLOOKUP($C856,战区信息!$A$1:$A$5,战区信息!$B$1:$B$5)</f>
        <v>001</v>
      </c>
      <c r="J856" t="str">
        <f>_xlfn.XLOOKUP($C856,战区信息!$A$1:$A$5,战区信息!$C$1:$C$5)</f>
        <v>江永</v>
      </c>
      <c r="K856" t="str">
        <f>_xlfn.XLOOKUP($C856,战区信息!$A$1:$A$5,战区信息!$D$1:$D$5)</f>
        <v>一级战区</v>
      </c>
      <c r="L856" t="str">
        <f>_xlfn.XLOOKUP($D856,城市信息!$B$1:$B$14,城市信息!$A$1:$A$14)</f>
        <v>004</v>
      </c>
      <c r="M856" t="str">
        <f>_xlfn.XLOOKUP($D856,城市信息!$B$1:$B$14,城市信息!$C$1:$C$14)</f>
        <v>苏川</v>
      </c>
      <c r="N856" t="str">
        <f>_xlfn.XLOOKUP($D856,城市信息!$B$1:$B$14,城市信息!$D$1:$D$14)</f>
        <v>二线</v>
      </c>
      <c r="O856">
        <f>_xlfn.XLOOKUP($D856,城市信息!$B$1:$B$14,城市信息!$E$1:$E$14)</f>
        <v>9912</v>
      </c>
      <c r="P856" cm="1">
        <f t="array" ref="P856:U856">_xlfn.XLOOKUP(A856&amp;B856,'[1]2.4自动化报表-8月获客数据-非乱码'!$A:$A&amp;'[1]2.4自动化报表-8月获客数据-非乱码'!$B:$B,'[1]2.4自动化报表-8月获客数据-非乱码'!$C:$H)</f>
        <v>2743</v>
      </c>
      <c r="Q856">
        <v>2693</v>
      </c>
      <c r="R856">
        <v>2590</v>
      </c>
      <c r="S856">
        <v>1580</v>
      </c>
      <c r="T856">
        <v>775</v>
      </c>
      <c r="U856">
        <v>697</v>
      </c>
    </row>
    <row r="857" spans="1:21" x14ac:dyDescent="0.3">
      <c r="A857" s="1">
        <v>44074</v>
      </c>
      <c r="B857" t="s">
        <v>14</v>
      </c>
      <c r="C857" t="s">
        <v>108</v>
      </c>
      <c r="D857" t="s">
        <v>59</v>
      </c>
      <c r="E857" t="s">
        <v>119</v>
      </c>
      <c r="F857" s="2">
        <v>110807</v>
      </c>
      <c r="G857" s="2">
        <v>5660</v>
      </c>
      <c r="H857" s="2">
        <v>5096</v>
      </c>
      <c r="I857" t="str">
        <f>_xlfn.XLOOKUP($C857,战区信息!$A$1:$A$5,战区信息!$B$1:$B$5)</f>
        <v>001</v>
      </c>
      <c r="J857" t="str">
        <f>_xlfn.XLOOKUP($C857,战区信息!$A$1:$A$5,战区信息!$C$1:$C$5)</f>
        <v>江永</v>
      </c>
      <c r="K857" t="str">
        <f>_xlfn.XLOOKUP($C857,战区信息!$A$1:$A$5,战区信息!$D$1:$D$5)</f>
        <v>一级战区</v>
      </c>
      <c r="L857" t="str">
        <f>_xlfn.XLOOKUP($D857,城市信息!$B$1:$B$14,城市信息!$A$1:$A$14)</f>
        <v>004</v>
      </c>
      <c r="M857" t="str">
        <f>_xlfn.XLOOKUP($D857,城市信息!$B$1:$B$14,城市信息!$C$1:$C$14)</f>
        <v>苏川</v>
      </c>
      <c r="N857" t="str">
        <f>_xlfn.XLOOKUP($D857,城市信息!$B$1:$B$14,城市信息!$D$1:$D$14)</f>
        <v>二线</v>
      </c>
      <c r="O857">
        <f>_xlfn.XLOOKUP($D857,城市信息!$B$1:$B$14,城市信息!$E$1:$E$14)</f>
        <v>9912</v>
      </c>
      <c r="P857" cm="1">
        <f t="array" ref="P857:U857">_xlfn.XLOOKUP(A857&amp;B857,'[1]2.4自动化报表-8月获客数据-非乱码'!$A:$A&amp;'[1]2.4自动化报表-8月获客数据-非乱码'!$B:$B,'[1]2.4自动化报表-8月获客数据-非乱码'!$C:$H)</f>
        <v>2483</v>
      </c>
      <c r="Q857">
        <v>2393</v>
      </c>
      <c r="R857">
        <v>2291</v>
      </c>
      <c r="S857">
        <v>1406</v>
      </c>
      <c r="T857">
        <v>732</v>
      </c>
      <c r="U857">
        <v>698</v>
      </c>
    </row>
    <row r="858" spans="1:21" x14ac:dyDescent="0.3">
      <c r="A858" s="1">
        <v>44074</v>
      </c>
      <c r="B858" t="s">
        <v>13</v>
      </c>
      <c r="C858" t="s">
        <v>108</v>
      </c>
      <c r="D858" t="s">
        <v>60</v>
      </c>
      <c r="E858" t="s">
        <v>120</v>
      </c>
      <c r="F858" s="2">
        <v>222538</v>
      </c>
      <c r="G858" s="2">
        <v>13399</v>
      </c>
      <c r="H858">
        <v>0</v>
      </c>
      <c r="I858" t="str">
        <f>_xlfn.XLOOKUP($C858,战区信息!$A$1:$A$5,战区信息!$B$1:$B$5)</f>
        <v>001</v>
      </c>
      <c r="J858" t="str">
        <f>_xlfn.XLOOKUP($C858,战区信息!$A$1:$A$5,战区信息!$C$1:$C$5)</f>
        <v>江永</v>
      </c>
      <c r="K858" t="str">
        <f>_xlfn.XLOOKUP($C858,战区信息!$A$1:$A$5,战区信息!$D$1:$D$5)</f>
        <v>一级战区</v>
      </c>
      <c r="L858" t="str">
        <f>_xlfn.XLOOKUP($D858,城市信息!$B$1:$B$14,城市信息!$A$1:$A$14)</f>
        <v>005</v>
      </c>
      <c r="M858" t="str">
        <f>_xlfn.XLOOKUP($D858,城市信息!$B$1:$B$14,城市信息!$C$1:$C$14)</f>
        <v>侯阳冰</v>
      </c>
      <c r="N858" t="str">
        <f>_xlfn.XLOOKUP($D858,城市信息!$B$1:$B$14,城市信息!$D$1:$D$14)</f>
        <v>二线</v>
      </c>
      <c r="O858">
        <f>_xlfn.XLOOKUP($D858,城市信息!$B$1:$B$14,城市信息!$E$1:$E$14)</f>
        <v>8694</v>
      </c>
      <c r="P858" cm="1">
        <f t="array" ref="P858:U858">_xlfn.XLOOKUP(A858&amp;B858,'[1]2.4自动化报表-8月获客数据-非乱码'!$A:$A&amp;'[1]2.4自动化报表-8月获客数据-非乱码'!$B:$B,'[1]2.4自动化报表-8月获客数据-非乱码'!$C:$H)</f>
        <v>6216</v>
      </c>
      <c r="Q858">
        <v>6065</v>
      </c>
      <c r="R858">
        <v>5780</v>
      </c>
      <c r="S858">
        <v>3615</v>
      </c>
      <c r="T858">
        <v>1774</v>
      </c>
      <c r="U858">
        <v>696</v>
      </c>
    </row>
    <row r="859" spans="1:21" x14ac:dyDescent="0.3">
      <c r="A859" s="1">
        <v>44074</v>
      </c>
      <c r="B859" t="s">
        <v>12</v>
      </c>
      <c r="C859" t="s">
        <v>108</v>
      </c>
      <c r="D859" t="s">
        <v>60</v>
      </c>
      <c r="E859" t="s">
        <v>121</v>
      </c>
      <c r="F859" s="2">
        <v>155335</v>
      </c>
      <c r="G859" s="2">
        <v>8795</v>
      </c>
      <c r="H859">
        <v>0</v>
      </c>
      <c r="I859" t="str">
        <f>_xlfn.XLOOKUP($C859,战区信息!$A$1:$A$5,战区信息!$B$1:$B$5)</f>
        <v>001</v>
      </c>
      <c r="J859" t="str">
        <f>_xlfn.XLOOKUP($C859,战区信息!$A$1:$A$5,战区信息!$C$1:$C$5)</f>
        <v>江永</v>
      </c>
      <c r="K859" t="str">
        <f>_xlfn.XLOOKUP($C859,战区信息!$A$1:$A$5,战区信息!$D$1:$D$5)</f>
        <v>一级战区</v>
      </c>
      <c r="L859" t="str">
        <f>_xlfn.XLOOKUP($D859,城市信息!$B$1:$B$14,城市信息!$A$1:$A$14)</f>
        <v>005</v>
      </c>
      <c r="M859" t="str">
        <f>_xlfn.XLOOKUP($D859,城市信息!$B$1:$B$14,城市信息!$C$1:$C$14)</f>
        <v>侯阳冰</v>
      </c>
      <c r="N859" t="str">
        <f>_xlfn.XLOOKUP($D859,城市信息!$B$1:$B$14,城市信息!$D$1:$D$14)</f>
        <v>二线</v>
      </c>
      <c r="O859">
        <f>_xlfn.XLOOKUP($D859,城市信息!$B$1:$B$14,城市信息!$E$1:$E$14)</f>
        <v>8694</v>
      </c>
      <c r="P859" cm="1">
        <f t="array" ref="P859:U859">_xlfn.XLOOKUP(A859&amp;B859,'[1]2.4自动化报表-8月获客数据-非乱码'!$A:$A&amp;'[1]2.4自动化报表-8月获客数据-非乱码'!$B:$B,'[1]2.4自动化报表-8月获客数据-非乱码'!$C:$H)</f>
        <v>1237</v>
      </c>
      <c r="Q859">
        <v>1221</v>
      </c>
      <c r="R859">
        <v>1162</v>
      </c>
      <c r="S859">
        <v>735</v>
      </c>
      <c r="T859">
        <v>371</v>
      </c>
      <c r="U859">
        <v>697</v>
      </c>
    </row>
    <row r="860" spans="1:21" x14ac:dyDescent="0.3">
      <c r="A860" s="1">
        <v>44074</v>
      </c>
      <c r="B860" t="s">
        <v>11</v>
      </c>
      <c r="C860" t="s">
        <v>108</v>
      </c>
      <c r="D860" t="s">
        <v>58</v>
      </c>
      <c r="E860" t="s">
        <v>122</v>
      </c>
      <c r="F860" s="2">
        <v>85227</v>
      </c>
      <c r="G860" s="2">
        <v>6305</v>
      </c>
      <c r="H860">
        <v>0</v>
      </c>
      <c r="I860" t="str">
        <f>_xlfn.XLOOKUP($C860,战区信息!$A$1:$A$5,战区信息!$B$1:$B$5)</f>
        <v>001</v>
      </c>
      <c r="J860" t="str">
        <f>_xlfn.XLOOKUP($C860,战区信息!$A$1:$A$5,战区信息!$C$1:$C$5)</f>
        <v>江永</v>
      </c>
      <c r="K860" t="str">
        <f>_xlfn.XLOOKUP($C860,战区信息!$A$1:$A$5,战区信息!$D$1:$D$5)</f>
        <v>一级战区</v>
      </c>
      <c r="L860" t="str">
        <f>_xlfn.XLOOKUP($D860,城市信息!$B$1:$B$14,城市信息!$A$1:$A$14)</f>
        <v>003</v>
      </c>
      <c r="M860" t="str">
        <f>_xlfn.XLOOKUP($D860,城市信息!$B$1:$B$14,城市信息!$C$1:$C$14)</f>
        <v>杜光亮</v>
      </c>
      <c r="N860" t="str">
        <f>_xlfn.XLOOKUP($D860,城市信息!$B$1:$B$14,城市信息!$D$1:$D$14)</f>
        <v>二线</v>
      </c>
      <c r="O860">
        <f>_xlfn.XLOOKUP($D860,城市信息!$B$1:$B$14,城市信息!$E$1:$E$14)</f>
        <v>10499</v>
      </c>
      <c r="P860" cm="1">
        <f t="array" ref="P860:U860">_xlfn.XLOOKUP(A860&amp;B860,'[1]2.4自动化报表-8月获客数据-非乱码'!$A:$A&amp;'[1]2.4自动化报表-8月获客数据-非乱码'!$B:$B,'[1]2.4自动化报表-8月获客数据-非乱码'!$C:$H)</f>
        <v>4213</v>
      </c>
      <c r="Q860">
        <v>4050</v>
      </c>
      <c r="R860">
        <v>3834</v>
      </c>
      <c r="S860">
        <v>2400</v>
      </c>
      <c r="T860">
        <v>1171</v>
      </c>
      <c r="U860">
        <v>702</v>
      </c>
    </row>
    <row r="861" spans="1:21" x14ac:dyDescent="0.3">
      <c r="A861" s="1">
        <v>44074</v>
      </c>
      <c r="B861" t="s">
        <v>10</v>
      </c>
      <c r="C861" t="s">
        <v>108</v>
      </c>
      <c r="D861" t="s">
        <v>58</v>
      </c>
      <c r="E861" t="s">
        <v>123</v>
      </c>
      <c r="F861" s="2">
        <v>53543</v>
      </c>
      <c r="G861" s="2">
        <v>4266</v>
      </c>
      <c r="H861">
        <v>0</v>
      </c>
      <c r="I861" t="str">
        <f>_xlfn.XLOOKUP($C861,战区信息!$A$1:$A$5,战区信息!$B$1:$B$5)</f>
        <v>001</v>
      </c>
      <c r="J861" t="str">
        <f>_xlfn.XLOOKUP($C861,战区信息!$A$1:$A$5,战区信息!$C$1:$C$5)</f>
        <v>江永</v>
      </c>
      <c r="K861" t="str">
        <f>_xlfn.XLOOKUP($C861,战区信息!$A$1:$A$5,战区信息!$D$1:$D$5)</f>
        <v>一级战区</v>
      </c>
      <c r="L861" t="str">
        <f>_xlfn.XLOOKUP($D861,城市信息!$B$1:$B$14,城市信息!$A$1:$A$14)</f>
        <v>003</v>
      </c>
      <c r="M861" t="str">
        <f>_xlfn.XLOOKUP($D861,城市信息!$B$1:$B$14,城市信息!$C$1:$C$14)</f>
        <v>杜光亮</v>
      </c>
      <c r="N861" t="str">
        <f>_xlfn.XLOOKUP($D861,城市信息!$B$1:$B$14,城市信息!$D$1:$D$14)</f>
        <v>二线</v>
      </c>
      <c r="O861">
        <f>_xlfn.XLOOKUP($D861,城市信息!$B$1:$B$14,城市信息!$E$1:$E$14)</f>
        <v>10499</v>
      </c>
      <c r="P861" cm="1">
        <f t="array" ref="P861:U861">_xlfn.XLOOKUP(A861&amp;B861,'[1]2.4自动化报表-8月获客数据-非乱码'!$A:$A&amp;'[1]2.4自动化报表-8月获客数据-非乱码'!$B:$B,'[1]2.4自动化报表-8月获客数据-非乱码'!$C:$H)</f>
        <v>1773</v>
      </c>
      <c r="Q861">
        <v>1738</v>
      </c>
      <c r="R861">
        <v>1690</v>
      </c>
      <c r="S861">
        <v>1017</v>
      </c>
      <c r="T861">
        <v>614</v>
      </c>
      <c r="U861">
        <v>701</v>
      </c>
    </row>
    <row r="862" spans="1:21" x14ac:dyDescent="0.3">
      <c r="A862" s="1">
        <v>44074</v>
      </c>
      <c r="B862" t="s">
        <v>9</v>
      </c>
      <c r="C862" t="s">
        <v>108</v>
      </c>
      <c r="D862" t="s">
        <v>58</v>
      </c>
      <c r="E862" t="s">
        <v>124</v>
      </c>
      <c r="F862" s="2">
        <v>212887</v>
      </c>
      <c r="G862" s="2">
        <v>15269</v>
      </c>
      <c r="H862" s="2">
        <v>1886</v>
      </c>
      <c r="I862" t="str">
        <f>_xlfn.XLOOKUP($C862,战区信息!$A$1:$A$5,战区信息!$B$1:$B$5)</f>
        <v>001</v>
      </c>
      <c r="J862" t="str">
        <f>_xlfn.XLOOKUP($C862,战区信息!$A$1:$A$5,战区信息!$C$1:$C$5)</f>
        <v>江永</v>
      </c>
      <c r="K862" t="str">
        <f>_xlfn.XLOOKUP($C862,战区信息!$A$1:$A$5,战区信息!$D$1:$D$5)</f>
        <v>一级战区</v>
      </c>
      <c r="L862" t="str">
        <f>_xlfn.XLOOKUP($D862,城市信息!$B$1:$B$14,城市信息!$A$1:$A$14)</f>
        <v>003</v>
      </c>
      <c r="M862" t="str">
        <f>_xlfn.XLOOKUP($D862,城市信息!$B$1:$B$14,城市信息!$C$1:$C$14)</f>
        <v>杜光亮</v>
      </c>
      <c r="N862" t="str">
        <f>_xlfn.XLOOKUP($D862,城市信息!$B$1:$B$14,城市信息!$D$1:$D$14)</f>
        <v>二线</v>
      </c>
      <c r="O862">
        <f>_xlfn.XLOOKUP($D862,城市信息!$B$1:$B$14,城市信息!$E$1:$E$14)</f>
        <v>10499</v>
      </c>
      <c r="P862" cm="1">
        <f t="array" ref="P862:U862">_xlfn.XLOOKUP(A862&amp;B862,'[1]2.4自动化报表-8月获客数据-非乱码'!$A:$A&amp;'[1]2.4自动化报表-8月获客数据-非乱码'!$B:$B,'[1]2.4自动化报表-8月获客数据-非乱码'!$C:$H)</f>
        <v>5393</v>
      </c>
      <c r="Q862">
        <v>5252</v>
      </c>
      <c r="R862">
        <v>5078</v>
      </c>
      <c r="S862">
        <v>2906</v>
      </c>
      <c r="T862">
        <v>1628</v>
      </c>
      <c r="U862">
        <v>694</v>
      </c>
    </row>
    <row r="863" spans="1:21" x14ac:dyDescent="0.3">
      <c r="A863" s="1">
        <v>44074</v>
      </c>
      <c r="B863" t="s">
        <v>8</v>
      </c>
      <c r="C863" t="s">
        <v>125</v>
      </c>
      <c r="D863" t="s">
        <v>66</v>
      </c>
      <c r="E863" t="s">
        <v>126</v>
      </c>
      <c r="F863" s="2">
        <v>102696</v>
      </c>
      <c r="G863" s="2">
        <v>6684</v>
      </c>
      <c r="H863" s="2">
        <v>1310</v>
      </c>
      <c r="I863" t="str">
        <f>_xlfn.XLOOKUP($C863,战区信息!$A$1:$A$5,战区信息!$B$1:$B$5)</f>
        <v>004</v>
      </c>
      <c r="J863" t="str">
        <f>_xlfn.XLOOKUP($C863,战区信息!$A$1:$A$5,战区信息!$C$1:$C$5)</f>
        <v>沈乐欣</v>
      </c>
      <c r="K863" t="str">
        <f>_xlfn.XLOOKUP($C863,战区信息!$A$1:$A$5,战区信息!$D$1:$D$5)</f>
        <v>三级战区</v>
      </c>
      <c r="L863" t="str">
        <f>_xlfn.XLOOKUP($D863,城市信息!$B$1:$B$14,城市信息!$A$1:$A$14)</f>
        <v>011</v>
      </c>
      <c r="M863" t="str">
        <f>_xlfn.XLOOKUP($D863,城市信息!$B$1:$B$14,城市信息!$C$1:$C$14)</f>
        <v>冯谦</v>
      </c>
      <c r="N863" t="str">
        <f>_xlfn.XLOOKUP($D863,城市信息!$B$1:$B$14,城市信息!$D$1:$D$14)</f>
        <v>一线</v>
      </c>
      <c r="O863">
        <f>_xlfn.XLOOKUP($D863,城市信息!$B$1:$B$14,城市信息!$E$1:$E$14)</f>
        <v>8244</v>
      </c>
      <c r="P863" cm="1">
        <f t="array" ref="P863:U863">_xlfn.XLOOKUP(A863&amp;B863,'[1]2.4自动化报表-8月获客数据-非乱码'!$A:$A&amp;'[1]2.4自动化报表-8月获客数据-非乱码'!$B:$B,'[1]2.4自动化报表-8月获客数据-非乱码'!$C:$H)</f>
        <v>1744</v>
      </c>
      <c r="Q863">
        <v>1716</v>
      </c>
      <c r="R863">
        <v>1649</v>
      </c>
      <c r="S863">
        <v>1002</v>
      </c>
      <c r="T863">
        <v>579</v>
      </c>
      <c r="U863">
        <v>690</v>
      </c>
    </row>
    <row r="864" spans="1:21" x14ac:dyDescent="0.3">
      <c r="A864" s="1">
        <v>44074</v>
      </c>
      <c r="B864" t="s">
        <v>7</v>
      </c>
      <c r="C864" t="s">
        <v>125</v>
      </c>
      <c r="D864" t="s">
        <v>62</v>
      </c>
      <c r="E864" t="s">
        <v>127</v>
      </c>
      <c r="F864" s="2">
        <v>15001</v>
      </c>
      <c r="G864">
        <v>625</v>
      </c>
      <c r="H864">
        <v>0</v>
      </c>
      <c r="I864" t="str">
        <f>_xlfn.XLOOKUP($C864,战区信息!$A$1:$A$5,战区信息!$B$1:$B$5)</f>
        <v>004</v>
      </c>
      <c r="J864" t="str">
        <f>_xlfn.XLOOKUP($C864,战区信息!$A$1:$A$5,战区信息!$C$1:$C$5)</f>
        <v>沈乐欣</v>
      </c>
      <c r="K864" t="str">
        <f>_xlfn.XLOOKUP($C864,战区信息!$A$1:$A$5,战区信息!$D$1:$D$5)</f>
        <v>三级战区</v>
      </c>
      <c r="L864" t="str">
        <f>_xlfn.XLOOKUP($D864,城市信息!$B$1:$B$14,城市信息!$A$1:$A$14)</f>
        <v>007</v>
      </c>
      <c r="M864" t="str">
        <f>_xlfn.XLOOKUP($D864,城市信息!$B$1:$B$14,城市信息!$C$1:$C$14)</f>
        <v>范俊发</v>
      </c>
      <c r="N864" t="str">
        <f>_xlfn.XLOOKUP($D864,城市信息!$B$1:$B$14,城市信息!$D$1:$D$14)</f>
        <v>一线</v>
      </c>
      <c r="O864">
        <f>_xlfn.XLOOKUP($D864,城市信息!$B$1:$B$14,城市信息!$E$1:$E$14)</f>
        <v>12358</v>
      </c>
      <c r="P864" cm="1">
        <f t="array" ref="P864:U864">_xlfn.XLOOKUP(A864&amp;B864,'[1]2.4自动化报表-8月获客数据-非乱码'!$A:$A&amp;'[1]2.4自动化报表-8月获客数据-非乱码'!$B:$B,'[1]2.4自动化报表-8月获客数据-非乱码'!$C:$H)</f>
        <v>38</v>
      </c>
      <c r="Q864">
        <v>38</v>
      </c>
      <c r="R864">
        <v>35</v>
      </c>
      <c r="S864">
        <v>18</v>
      </c>
      <c r="T864">
        <v>9</v>
      </c>
      <c r="U864">
        <v>684</v>
      </c>
    </row>
    <row r="865" spans="1:21" x14ac:dyDescent="0.3">
      <c r="A865" s="1">
        <v>44074</v>
      </c>
      <c r="B865" t="s">
        <v>6</v>
      </c>
      <c r="C865" t="s">
        <v>125</v>
      </c>
      <c r="D865" t="s">
        <v>62</v>
      </c>
      <c r="E865" t="s">
        <v>128</v>
      </c>
      <c r="F865" s="2">
        <v>52224</v>
      </c>
      <c r="G865" s="2">
        <v>3465</v>
      </c>
      <c r="H865">
        <v>119</v>
      </c>
      <c r="I865" t="str">
        <f>_xlfn.XLOOKUP($C865,战区信息!$A$1:$A$5,战区信息!$B$1:$B$5)</f>
        <v>004</v>
      </c>
      <c r="J865" t="str">
        <f>_xlfn.XLOOKUP($C865,战区信息!$A$1:$A$5,战区信息!$C$1:$C$5)</f>
        <v>沈乐欣</v>
      </c>
      <c r="K865" t="str">
        <f>_xlfn.XLOOKUP($C865,战区信息!$A$1:$A$5,战区信息!$D$1:$D$5)</f>
        <v>三级战区</v>
      </c>
      <c r="L865" t="str">
        <f>_xlfn.XLOOKUP($D865,城市信息!$B$1:$B$14,城市信息!$A$1:$A$14)</f>
        <v>007</v>
      </c>
      <c r="M865" t="str">
        <f>_xlfn.XLOOKUP($D865,城市信息!$B$1:$B$14,城市信息!$C$1:$C$14)</f>
        <v>范俊发</v>
      </c>
      <c r="N865" t="str">
        <f>_xlfn.XLOOKUP($D865,城市信息!$B$1:$B$14,城市信息!$D$1:$D$14)</f>
        <v>一线</v>
      </c>
      <c r="O865">
        <f>_xlfn.XLOOKUP($D865,城市信息!$B$1:$B$14,城市信息!$E$1:$E$14)</f>
        <v>12358</v>
      </c>
      <c r="P865" cm="1">
        <f t="array" ref="P865:U865">_xlfn.XLOOKUP(A865&amp;B865,'[1]2.4自动化报表-8月获客数据-非乱码'!$A:$A&amp;'[1]2.4自动化报表-8月获客数据-非乱码'!$B:$B,'[1]2.4自动化报表-8月获客数据-非乱码'!$C:$H)</f>
        <v>2188</v>
      </c>
      <c r="Q865">
        <v>2161</v>
      </c>
      <c r="R865">
        <v>2104</v>
      </c>
      <c r="S865">
        <v>1274</v>
      </c>
      <c r="T865">
        <v>736</v>
      </c>
      <c r="U865">
        <v>689</v>
      </c>
    </row>
    <row r="866" spans="1:21" x14ac:dyDescent="0.3">
      <c r="A866" s="1">
        <v>44074</v>
      </c>
      <c r="B866" t="s">
        <v>5</v>
      </c>
      <c r="C866" t="s">
        <v>125</v>
      </c>
      <c r="D866" t="s">
        <v>62</v>
      </c>
      <c r="E866" t="s">
        <v>129</v>
      </c>
      <c r="F866" s="2">
        <v>93852</v>
      </c>
      <c r="G866" s="2">
        <v>7773</v>
      </c>
      <c r="H866">
        <v>0</v>
      </c>
      <c r="I866" t="str">
        <f>_xlfn.XLOOKUP($C866,战区信息!$A$1:$A$5,战区信息!$B$1:$B$5)</f>
        <v>004</v>
      </c>
      <c r="J866" t="str">
        <f>_xlfn.XLOOKUP($C866,战区信息!$A$1:$A$5,战区信息!$C$1:$C$5)</f>
        <v>沈乐欣</v>
      </c>
      <c r="K866" t="str">
        <f>_xlfn.XLOOKUP($C866,战区信息!$A$1:$A$5,战区信息!$D$1:$D$5)</f>
        <v>三级战区</v>
      </c>
      <c r="L866" t="str">
        <f>_xlfn.XLOOKUP($D866,城市信息!$B$1:$B$14,城市信息!$A$1:$A$14)</f>
        <v>007</v>
      </c>
      <c r="M866" t="str">
        <f>_xlfn.XLOOKUP($D866,城市信息!$B$1:$B$14,城市信息!$C$1:$C$14)</f>
        <v>范俊发</v>
      </c>
      <c r="N866" t="str">
        <f>_xlfn.XLOOKUP($D866,城市信息!$B$1:$B$14,城市信息!$D$1:$D$14)</f>
        <v>一线</v>
      </c>
      <c r="O866">
        <f>_xlfn.XLOOKUP($D866,城市信息!$B$1:$B$14,城市信息!$E$1:$E$14)</f>
        <v>12358</v>
      </c>
      <c r="P866" cm="1">
        <f t="array" ref="P866:U866">_xlfn.XLOOKUP(A866&amp;B866,'[1]2.4自动化报表-8月获客数据-非乱码'!$A:$A&amp;'[1]2.4自动化报表-8月获客数据-非乱码'!$B:$B,'[1]2.4自动化报表-8月获客数据-非乱码'!$C:$H)</f>
        <v>2900</v>
      </c>
      <c r="Q866">
        <v>2842</v>
      </c>
      <c r="R866">
        <v>2727</v>
      </c>
      <c r="S866">
        <v>1693</v>
      </c>
      <c r="T866">
        <v>846</v>
      </c>
      <c r="U866">
        <v>690</v>
      </c>
    </row>
    <row r="867" spans="1:21" x14ac:dyDescent="0.3">
      <c r="A867" s="1">
        <v>44074</v>
      </c>
      <c r="B867" t="s">
        <v>33</v>
      </c>
      <c r="C867" t="s">
        <v>125</v>
      </c>
      <c r="D867" t="s">
        <v>62</v>
      </c>
      <c r="E867" t="s">
        <v>130</v>
      </c>
      <c r="F867">
        <v>9</v>
      </c>
      <c r="G867">
        <v>0</v>
      </c>
      <c r="H867">
        <v>0</v>
      </c>
      <c r="I867" t="str">
        <f>_xlfn.XLOOKUP($C867,战区信息!$A$1:$A$5,战区信息!$B$1:$B$5)</f>
        <v>004</v>
      </c>
      <c r="J867" t="str">
        <f>_xlfn.XLOOKUP($C867,战区信息!$A$1:$A$5,战区信息!$C$1:$C$5)</f>
        <v>沈乐欣</v>
      </c>
      <c r="K867" t="str">
        <f>_xlfn.XLOOKUP($C867,战区信息!$A$1:$A$5,战区信息!$D$1:$D$5)</f>
        <v>三级战区</v>
      </c>
      <c r="L867" t="str">
        <f>_xlfn.XLOOKUP($D867,城市信息!$B$1:$B$14,城市信息!$A$1:$A$14)</f>
        <v>007</v>
      </c>
      <c r="M867" t="str">
        <f>_xlfn.XLOOKUP($D867,城市信息!$B$1:$B$14,城市信息!$C$1:$C$14)</f>
        <v>范俊发</v>
      </c>
      <c r="N867" t="str">
        <f>_xlfn.XLOOKUP($D867,城市信息!$B$1:$B$14,城市信息!$D$1:$D$14)</f>
        <v>一线</v>
      </c>
      <c r="O867">
        <f>_xlfn.XLOOKUP($D867,城市信息!$B$1:$B$14,城市信息!$E$1:$E$14)</f>
        <v>12358</v>
      </c>
      <c r="P867" cm="1">
        <f t="array" ref="P867:U867">_xlfn.XLOOKUP(A867&amp;B867,'[1]2.4自动化报表-8月获客数据-非乱码'!$A:$A&amp;'[1]2.4自动化报表-8月获客数据-非乱码'!$B:$B,'[1]2.4自动化报表-8月获客数据-非乱码'!$C:$H)</f>
        <v>207</v>
      </c>
      <c r="Q867">
        <v>204</v>
      </c>
      <c r="R867">
        <v>195</v>
      </c>
      <c r="S867">
        <v>121</v>
      </c>
      <c r="T867">
        <v>79</v>
      </c>
      <c r="U867">
        <v>696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M2:M86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807F-3464-4F1B-B682-569C0B7D0894}">
  <dimension ref="A1:D5"/>
  <sheetViews>
    <sheetView workbookViewId="0"/>
  </sheetViews>
  <sheetFormatPr defaultRowHeight="14" x14ac:dyDescent="0.3"/>
  <sheetData>
    <row r="1" spans="1:4" x14ac:dyDescent="0.3">
      <c r="A1" t="s">
        <v>89</v>
      </c>
      <c r="B1" t="s">
        <v>44</v>
      </c>
      <c r="C1" t="s">
        <v>38</v>
      </c>
      <c r="D1" t="s">
        <v>43</v>
      </c>
    </row>
    <row r="2" spans="1:4" x14ac:dyDescent="0.3">
      <c r="A2" t="s">
        <v>34</v>
      </c>
      <c r="B2" s="3" t="s">
        <v>45</v>
      </c>
      <c r="C2" t="s">
        <v>39</v>
      </c>
      <c r="D2" t="s">
        <v>51</v>
      </c>
    </row>
    <row r="3" spans="1:4" x14ac:dyDescent="0.3">
      <c r="A3" t="s">
        <v>35</v>
      </c>
      <c r="B3" s="3" t="s">
        <v>48</v>
      </c>
      <c r="C3" t="s">
        <v>40</v>
      </c>
      <c r="D3" t="s">
        <v>52</v>
      </c>
    </row>
    <row r="4" spans="1:4" x14ac:dyDescent="0.3">
      <c r="A4" t="s">
        <v>36</v>
      </c>
      <c r="B4" s="3" t="s">
        <v>46</v>
      </c>
      <c r="C4" t="s">
        <v>41</v>
      </c>
      <c r="D4" t="s">
        <v>52</v>
      </c>
    </row>
    <row r="5" spans="1:4" x14ac:dyDescent="0.3">
      <c r="A5" t="s">
        <v>37</v>
      </c>
      <c r="B5" s="3" t="s">
        <v>50</v>
      </c>
      <c r="C5" t="s">
        <v>42</v>
      </c>
      <c r="D5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70EF-7A2C-42F7-ACF8-8DBCF3E7443B}">
  <dimension ref="A1:E14"/>
  <sheetViews>
    <sheetView workbookViewId="0"/>
  </sheetViews>
  <sheetFormatPr defaultRowHeight="14" x14ac:dyDescent="0.3"/>
  <sheetData>
    <row r="1" spans="1:5" x14ac:dyDescent="0.3">
      <c r="A1" t="s">
        <v>55</v>
      </c>
      <c r="B1" t="s">
        <v>54</v>
      </c>
      <c r="C1" t="s">
        <v>76</v>
      </c>
      <c r="D1" t="s">
        <v>90</v>
      </c>
      <c r="E1" t="s">
        <v>93</v>
      </c>
    </row>
    <row r="2" spans="1:5" x14ac:dyDescent="0.3">
      <c r="A2" s="3" t="s">
        <v>45</v>
      </c>
      <c r="B2" s="4" t="s">
        <v>56</v>
      </c>
      <c r="C2" t="s">
        <v>78</v>
      </c>
      <c r="D2" t="s">
        <v>91</v>
      </c>
      <c r="E2">
        <v>12114</v>
      </c>
    </row>
    <row r="3" spans="1:5" x14ac:dyDescent="0.3">
      <c r="A3" s="3" t="s">
        <v>46</v>
      </c>
      <c r="B3" s="4" t="s">
        <v>57</v>
      </c>
      <c r="C3" t="s">
        <v>77</v>
      </c>
      <c r="D3" t="s">
        <v>91</v>
      </c>
      <c r="E3">
        <v>9854</v>
      </c>
    </row>
    <row r="4" spans="1:5" x14ac:dyDescent="0.3">
      <c r="A4" s="3" t="s">
        <v>47</v>
      </c>
      <c r="B4" s="4" t="s">
        <v>58</v>
      </c>
      <c r="C4" t="s">
        <v>83</v>
      </c>
      <c r="D4" t="s">
        <v>92</v>
      </c>
      <c r="E4">
        <v>10499</v>
      </c>
    </row>
    <row r="5" spans="1:5" x14ac:dyDescent="0.3">
      <c r="A5" s="3" t="s">
        <v>49</v>
      </c>
      <c r="B5" s="4" t="s">
        <v>59</v>
      </c>
      <c r="C5" t="s">
        <v>80</v>
      </c>
      <c r="D5" t="s">
        <v>92</v>
      </c>
      <c r="E5">
        <v>9912</v>
      </c>
    </row>
    <row r="6" spans="1:5" x14ac:dyDescent="0.3">
      <c r="A6" s="3" t="s">
        <v>68</v>
      </c>
      <c r="B6" s="4" t="s">
        <v>60</v>
      </c>
      <c r="C6" t="s">
        <v>84</v>
      </c>
      <c r="D6" t="s">
        <v>92</v>
      </c>
      <c r="E6">
        <v>8694</v>
      </c>
    </row>
    <row r="7" spans="1:5" x14ac:dyDescent="0.3">
      <c r="A7" s="3" t="s">
        <v>69</v>
      </c>
      <c r="B7" s="4" t="s">
        <v>61</v>
      </c>
      <c r="C7" t="s">
        <v>79</v>
      </c>
      <c r="D7" t="s">
        <v>92</v>
      </c>
      <c r="E7">
        <v>9107</v>
      </c>
    </row>
    <row r="8" spans="1:5" x14ac:dyDescent="0.3">
      <c r="A8" s="3" t="s">
        <v>70</v>
      </c>
      <c r="B8" s="4" t="s">
        <v>62</v>
      </c>
      <c r="C8" t="s">
        <v>85</v>
      </c>
      <c r="D8" t="s">
        <v>91</v>
      </c>
      <c r="E8">
        <v>12358</v>
      </c>
    </row>
    <row r="9" spans="1:5" x14ac:dyDescent="0.3">
      <c r="A9" s="3" t="s">
        <v>71</v>
      </c>
      <c r="B9" s="4" t="s">
        <v>63</v>
      </c>
      <c r="C9" t="s">
        <v>86</v>
      </c>
      <c r="D9" t="s">
        <v>91</v>
      </c>
      <c r="E9">
        <v>11498</v>
      </c>
    </row>
    <row r="10" spans="1:5" x14ac:dyDescent="0.3">
      <c r="A10" s="3" t="s">
        <v>72</v>
      </c>
      <c r="B10" s="4" t="s">
        <v>64</v>
      </c>
      <c r="C10" t="s">
        <v>82</v>
      </c>
      <c r="D10" t="s">
        <v>92</v>
      </c>
      <c r="E10">
        <v>9016</v>
      </c>
    </row>
    <row r="11" spans="1:5" x14ac:dyDescent="0.3">
      <c r="A11" s="3" t="s">
        <v>73</v>
      </c>
      <c r="B11" s="4" t="s">
        <v>65</v>
      </c>
      <c r="C11" t="s">
        <v>87</v>
      </c>
      <c r="D11" t="s">
        <v>92</v>
      </c>
      <c r="E11">
        <v>8295</v>
      </c>
    </row>
    <row r="12" spans="1:5" x14ac:dyDescent="0.3">
      <c r="A12" s="3" t="s">
        <v>74</v>
      </c>
      <c r="B12" s="4" t="s">
        <v>66</v>
      </c>
      <c r="C12" t="s">
        <v>81</v>
      </c>
      <c r="D12" t="s">
        <v>91</v>
      </c>
      <c r="E12">
        <v>8244</v>
      </c>
    </row>
    <row r="13" spans="1:5" x14ac:dyDescent="0.3">
      <c r="A13" s="3" t="s">
        <v>75</v>
      </c>
      <c r="B13" s="4" t="s">
        <v>67</v>
      </c>
      <c r="C13" t="s">
        <v>88</v>
      </c>
      <c r="D13" t="s">
        <v>92</v>
      </c>
      <c r="E13">
        <v>9713</v>
      </c>
    </row>
    <row r="14" spans="1:5" x14ac:dyDescent="0.3">
      <c r="A14" s="3" t="s">
        <v>94</v>
      </c>
      <c r="B14" s="4" t="s">
        <v>95</v>
      </c>
      <c r="C14" t="s">
        <v>96</v>
      </c>
      <c r="D14" t="s">
        <v>92</v>
      </c>
      <c r="E14">
        <v>8800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27AF-02B5-4DAC-9564-3C84BD4A05AB}">
  <dimension ref="A1:U42"/>
  <sheetViews>
    <sheetView workbookViewId="0"/>
  </sheetViews>
  <sheetFormatPr defaultRowHeight="14" x14ac:dyDescent="0.3"/>
  <cols>
    <col min="1" max="1" width="23.1640625" bestFit="1" customWidth="1"/>
    <col min="2" max="2" width="10.1640625" bestFit="1" customWidth="1"/>
    <col min="4" max="4" width="10.58203125" bestFit="1" customWidth="1"/>
    <col min="5" max="5" width="12.9140625" customWidth="1"/>
    <col min="9" max="9" width="9.1640625" bestFit="1" customWidth="1"/>
    <col min="10" max="10" width="10.4140625" bestFit="1" customWidth="1"/>
    <col min="11" max="11" width="10.83203125" bestFit="1" customWidth="1"/>
    <col min="16" max="16" width="15.83203125" style="7" bestFit="1" customWidth="1"/>
    <col min="17" max="17" width="11.33203125" bestFit="1" customWidth="1"/>
    <col min="19" max="19" width="11.33203125" bestFit="1" customWidth="1"/>
    <col min="20" max="20" width="9.58203125" customWidth="1"/>
    <col min="21" max="21" width="12.1640625" bestFit="1" customWidth="1"/>
  </cols>
  <sheetData>
    <row r="1" spans="1:21" x14ac:dyDescent="0.3">
      <c r="A1" t="s">
        <v>139</v>
      </c>
      <c r="S1" t="s">
        <v>142</v>
      </c>
      <c r="T1" t="s">
        <v>133</v>
      </c>
      <c r="U1" s="7" t="s">
        <v>145</v>
      </c>
    </row>
    <row r="2" spans="1:21" x14ac:dyDescent="0.3">
      <c r="A2" t="s">
        <v>140</v>
      </c>
      <c r="B2" s="6">
        <v>44059</v>
      </c>
      <c r="C2" t="s">
        <v>141</v>
      </c>
      <c r="D2" s="6">
        <f>B2+6</f>
        <v>44065</v>
      </c>
      <c r="Q2" s="6"/>
      <c r="S2" s="6">
        <v>44044</v>
      </c>
      <c r="T2" t="s">
        <v>147</v>
      </c>
      <c r="U2" s="7">
        <v>103000000</v>
      </c>
    </row>
    <row r="3" spans="1:21" x14ac:dyDescent="0.3">
      <c r="A3" t="s">
        <v>133</v>
      </c>
      <c r="B3" t="s">
        <v>146</v>
      </c>
      <c r="E3" s="12" t="str">
        <f>P7</f>
        <v>前台毛利</v>
      </c>
      <c r="G3" t="str">
        <f>N7</f>
        <v>逾期金额</v>
      </c>
      <c r="I3" t="str">
        <f>H7</f>
        <v>成交额</v>
      </c>
      <c r="K3" t="str">
        <f>I7</f>
        <v>成交人数</v>
      </c>
      <c r="M3" t="str">
        <f>'8月成交数据'!P1</f>
        <v>注册人数</v>
      </c>
      <c r="O3" t="str">
        <f>K7</f>
        <v>注册成交率</v>
      </c>
      <c r="Q3" s="6"/>
      <c r="S3" s="6">
        <f>S2+1</f>
        <v>44045</v>
      </c>
      <c r="T3" t="s">
        <v>34</v>
      </c>
      <c r="U3" s="7">
        <v>65000000</v>
      </c>
    </row>
    <row r="4" spans="1:21" x14ac:dyDescent="0.3">
      <c r="A4" t="s">
        <v>143</v>
      </c>
      <c r="B4" cm="1">
        <f t="array" ref="B4">_xlfn.IFS(B3=T2,U2,B3="东部战区",U3,B3="西部战区",U4,B3="南部战区",U5,B3="北部战区",U6)</f>
        <v>103000000</v>
      </c>
      <c r="C4" s="9">
        <f>IF($B$3="总和",SUMIFS('8月成交数据'!$F:$F,'8月成交数据'!$A:$A,"&gt;="&amp;EOMONTH(A8,-1)+1,'8月成交数据'!$A:$A,"&lt;="&amp;A14),SUMIFS('8月成交数据'!$F:$F,'8月成交数据'!$A:$A,"&gt;="&amp;EOMONTH(A8,-1)+1,'8月成交数据'!$A:$A,"&lt;="&amp;A14,'8月成交数据'!$C:$C,$B$3))/B4</f>
        <v>0.61393820388349518</v>
      </c>
      <c r="D4" s="9">
        <f>C4-1</f>
        <v>-0.38606179611650482</v>
      </c>
      <c r="E4" s="9">
        <f>P15</f>
        <v>-53907.149999999958</v>
      </c>
      <c r="G4">
        <f>N15</f>
        <v>405873</v>
      </c>
      <c r="I4">
        <f>H15</f>
        <v>22972405</v>
      </c>
      <c r="K4">
        <f>E15</f>
        <v>334338</v>
      </c>
      <c r="M4">
        <f>C15</f>
        <v>592742</v>
      </c>
      <c r="O4">
        <f>K15</f>
        <v>0.30750140870732967</v>
      </c>
      <c r="Q4" s="6"/>
      <c r="S4" s="6">
        <f t="shared" ref="S4:S32" si="0">S3+1</f>
        <v>44046</v>
      </c>
      <c r="T4" t="s">
        <v>36</v>
      </c>
      <c r="U4" s="7">
        <v>13000000</v>
      </c>
    </row>
    <row r="5" spans="1:21" x14ac:dyDescent="0.3">
      <c r="A5" t="s">
        <v>144</v>
      </c>
      <c r="B5">
        <f>B4/4</f>
        <v>25750000</v>
      </c>
      <c r="C5" s="9">
        <f>H15/B5</f>
        <v>0.89213223300970879</v>
      </c>
      <c r="D5" s="9">
        <f>C5-1</f>
        <v>-0.10786776699029121</v>
      </c>
      <c r="E5" s="9">
        <f>P26</f>
        <v>-80506.629999999946</v>
      </c>
      <c r="F5">
        <f>E4/E5-1</f>
        <v>-0.33040111106377212</v>
      </c>
      <c r="G5">
        <f>N26</f>
        <v>344488</v>
      </c>
      <c r="H5">
        <f>G4/G5-1</f>
        <v>0.17819198346531673</v>
      </c>
      <c r="I5">
        <f>H26</f>
        <v>19314421</v>
      </c>
      <c r="J5">
        <f>I4/I5-1</f>
        <v>0.18939133614204651</v>
      </c>
      <c r="K5">
        <f>I26</f>
        <v>175103</v>
      </c>
      <c r="L5">
        <f>K4/K5</f>
        <v>1.9093790511870157</v>
      </c>
      <c r="M5">
        <f>C26</f>
        <v>569082</v>
      </c>
      <c r="N5">
        <f>M4/M5-1</f>
        <v>4.1575730738276695E-2</v>
      </c>
      <c r="O5">
        <f>K26</f>
        <v>0.30769379456739099</v>
      </c>
      <c r="P5" s="13">
        <f>O4/O5-1</f>
        <v>-6.2525102377120056E-4</v>
      </c>
      <c r="Q5" s="6"/>
      <c r="S5" s="6">
        <f t="shared" si="0"/>
        <v>44047</v>
      </c>
      <c r="T5" t="s">
        <v>37</v>
      </c>
      <c r="U5" s="7">
        <v>5000000</v>
      </c>
    </row>
    <row r="6" spans="1:21" x14ac:dyDescent="0.3">
      <c r="C6" t="s">
        <v>151</v>
      </c>
      <c r="H6" t="s">
        <v>154</v>
      </c>
      <c r="L6" t="s">
        <v>159</v>
      </c>
      <c r="N6" t="s">
        <v>162</v>
      </c>
      <c r="O6" t="s">
        <v>163</v>
      </c>
      <c r="Q6" s="6"/>
      <c r="S6" s="6">
        <f t="shared" si="0"/>
        <v>44048</v>
      </c>
      <c r="T6" t="s">
        <v>35</v>
      </c>
      <c r="U6" s="7">
        <v>20000000</v>
      </c>
    </row>
    <row r="7" spans="1:21" x14ac:dyDescent="0.3">
      <c r="A7" t="s">
        <v>0</v>
      </c>
      <c r="B7" t="s">
        <v>0</v>
      </c>
      <c r="C7" t="str">
        <f>'8月成交数据'!P1</f>
        <v>注册人数</v>
      </c>
      <c r="D7" t="str">
        <f>'8月成交数据'!R1</f>
        <v>戳额人数</v>
      </c>
      <c r="E7" t="s">
        <v>150</v>
      </c>
      <c r="F7" t="s">
        <v>152</v>
      </c>
      <c r="G7" t="s">
        <v>153</v>
      </c>
      <c r="H7" t="s">
        <v>155</v>
      </c>
      <c r="I7" t="s">
        <v>156</v>
      </c>
      <c r="J7" t="s">
        <v>157</v>
      </c>
      <c r="K7" t="s">
        <v>158</v>
      </c>
      <c r="L7" t="s">
        <v>160</v>
      </c>
      <c r="M7" t="s">
        <v>161</v>
      </c>
      <c r="N7" t="s">
        <v>4</v>
      </c>
      <c r="O7" t="s">
        <v>164</v>
      </c>
      <c r="P7" s="7" t="s">
        <v>165</v>
      </c>
      <c r="Q7" s="6"/>
      <c r="S7" s="6">
        <f t="shared" si="0"/>
        <v>44049</v>
      </c>
    </row>
    <row r="8" spans="1:21" x14ac:dyDescent="0.3">
      <c r="A8" s="6">
        <f>B2</f>
        <v>44059</v>
      </c>
      <c r="B8" s="8">
        <f>A8</f>
        <v>44059</v>
      </c>
      <c r="C8">
        <f>IF($B$3="总和",SUMIFS('8月成交数据'!$P:$P,'8月成交数据'!A:A,$A8),SUMIFS('8月成交数据'!$P:$P,'8月成交数据'!$A:$A,$A8,'8月成交数据'!$C:$C,$B$3))</f>
        <v>81764</v>
      </c>
      <c r="D8">
        <f>IF($B$3="总和",SUMIFS('8月成交数据'!$R:$R,'8月成交数据'!$A:$A,$A8),SUMIFS('8月成交数据'!$R:$R,'8月成交数据'!$A:$A,$A8,'8月成交数据'!$C:$C,$B$3))</f>
        <v>76225</v>
      </c>
      <c r="E8">
        <f>IF($B$3="总和",SUMIFS('8月成交数据'!$S:$S,'8月成交数据'!$A:$A,$A8),SUMIFS('8月成交数据'!$S:$S,'8月成交数据'!$A:$A,$A8,'8月成交数据'!$C:$C,$B$3))</f>
        <v>46042</v>
      </c>
      <c r="F8">
        <f>D8/C8</f>
        <v>0.93225624969424192</v>
      </c>
      <c r="G8">
        <f>E8/D8</f>
        <v>0.60402755001639885</v>
      </c>
      <c r="H8">
        <f>IF($B$3="总和",SUMIFS('8月成交数据'!$F:$F,'8月成交数据'!$A:$A,$A8),SUMIFS('8月成交数据'!$F:$F,'8月成交数据'!$A:$A,$A8,'8月成交数据'!$C:$C,$B$3))</f>
        <v>3370709</v>
      </c>
      <c r="I8">
        <f>IF($B$3="总和",SUMIFS('8月成交数据'!$T:$T,'8月成交数据'!$A:$A,$A8),SUMIFS('8月成交数据'!$T:$T,'8月成交数据'!$A:$A,$A8,'8月成交数据'!$C:$C,$B$3))</f>
        <v>25466</v>
      </c>
      <c r="J8">
        <f>I8/E8</f>
        <v>0.55310368793710096</v>
      </c>
      <c r="K8">
        <f>I8/C8</f>
        <v>0.31145736509955479</v>
      </c>
      <c r="L8">
        <f>H8*0.03</f>
        <v>101121.26999999999</v>
      </c>
      <c r="M8">
        <f>C8*0.5</f>
        <v>40882</v>
      </c>
      <c r="N8">
        <f>IF($B$3="总和",SUMIFS('8月成交数据'!$H:$H,'8月成交数据'!$A:$A,$A8),SUMIFS('8月成交数据'!$H:$H,'8月成交数据'!$A:$A,$A8,'8月成交数据'!$C:$C,$B$3))</f>
        <v>52376</v>
      </c>
      <c r="O8">
        <f>IF($B$3="总和",SUMIFS('8月成交数据'!$G:$G,'8月成交数据'!$A:$A,$A8),SUMIFS('8月成交数据'!$G:$G,'8月成交数据'!$A:$A,$A8,'8月成交数据'!$C:$C,$B$3))</f>
        <v>222896</v>
      </c>
      <c r="P8" s="10">
        <f>O8-L8-M8-N8</f>
        <v>28516.73000000001</v>
      </c>
      <c r="Q8" s="6"/>
      <c r="S8" s="6">
        <f t="shared" si="0"/>
        <v>44050</v>
      </c>
    </row>
    <row r="9" spans="1:21" x14ac:dyDescent="0.3">
      <c r="A9" s="6">
        <f>A8+1</f>
        <v>44060</v>
      </c>
      <c r="B9" s="8">
        <f t="shared" ref="B9:B14" si="1">A9</f>
        <v>44060</v>
      </c>
      <c r="C9">
        <f>IF($B$3="总和",SUMIFS('8月成交数据'!$P:$P,'8月成交数据'!A:A,$A9),SUMIFS('8月成交数据'!$P:$P,'8月成交数据'!$A:$A,$A9,'8月成交数据'!$C:$C,$B$3))</f>
        <v>81385</v>
      </c>
      <c r="D9">
        <f>IF($B$3="总和",SUMIFS('8月成交数据'!$R:$R,'8月成交数据'!$A:$A,$A9),SUMIFS('8月成交数据'!$R:$R,'8月成交数据'!$A:$A,$A9,'8月成交数据'!$C:$C,$B$3))</f>
        <v>75926</v>
      </c>
      <c r="E9">
        <f>IF($B$3="总和",SUMIFS('8月成交数据'!$S:$S,'8月成交数据'!$A:$A,$A9),SUMIFS('8月成交数据'!$S:$S,'8月成交数据'!$A:$A,$A9,'8月成交数据'!$C:$C,$B$3))</f>
        <v>45914</v>
      </c>
      <c r="F9">
        <f t="shared" ref="F9:F15" si="2">D9/C9</f>
        <v>0.93292375744916134</v>
      </c>
      <c r="G9">
        <f t="shared" ref="G9:G15" si="3">E9/D9</f>
        <v>0.60472038563864816</v>
      </c>
      <c r="H9">
        <f>IF($B$3="总和",SUMIFS('8月成交数据'!$F:$F,'8月成交数据'!$A:$A,$A9),SUMIFS('8月成交数据'!$F:$F,'8月成交数据'!$A:$A,$A9,'8月成交数据'!$C:$C,$B$3))</f>
        <v>2979802</v>
      </c>
      <c r="I9">
        <f>IF($B$3="总和",SUMIFS('8月成交数据'!$T:$T,'8月成交数据'!$A:$A,$A9),SUMIFS('8月成交数据'!$T:$T,'8月成交数据'!$A:$A,$A9,'8月成交数据'!$C:$C,$B$3))</f>
        <v>24945</v>
      </c>
      <c r="J9">
        <f t="shared" ref="J9:J15" si="4">I9/E9</f>
        <v>0.54329834037548463</v>
      </c>
      <c r="K9">
        <f t="shared" ref="K9:K15" si="5">I9/C9</f>
        <v>0.30650611292007124</v>
      </c>
      <c r="L9">
        <f t="shared" ref="L9:L14" si="6">H9*0.03</f>
        <v>89394.06</v>
      </c>
      <c r="M9">
        <f t="shared" ref="M9:M14" si="7">C9*0.5</f>
        <v>40692.5</v>
      </c>
      <c r="N9">
        <f>IF($B$3="总和",SUMIFS('8月成交数据'!$H:$H,'8月成交数据'!$A:$A,$A9),SUMIFS('8月成交数据'!$H:$H,'8月成交数据'!$A:$A,$A9,'8月成交数据'!$C:$C,$B$3))</f>
        <v>25603</v>
      </c>
      <c r="O9">
        <f>IF($B$3="总和",SUMIFS('8月成交数据'!$G:$G,'8月成交数据'!$A:$A,$A9),SUMIFS('8月成交数据'!$G:$G,'8月成交数据'!$A:$A,$A9,'8月成交数据'!$C:$C,$B$3))</f>
        <v>145812</v>
      </c>
      <c r="P9" s="10">
        <f t="shared" ref="P9:P14" si="8">O9-L9-M9-N9</f>
        <v>-9877.5599999999977</v>
      </c>
      <c r="Q9" s="6"/>
      <c r="S9" s="6">
        <f t="shared" si="0"/>
        <v>44051</v>
      </c>
    </row>
    <row r="10" spans="1:21" x14ac:dyDescent="0.3">
      <c r="A10" s="6">
        <f t="shared" ref="A10:A13" si="9">A9+1</f>
        <v>44061</v>
      </c>
      <c r="B10" s="8">
        <f t="shared" si="1"/>
        <v>44061</v>
      </c>
      <c r="C10">
        <f>IF($B$3="总和",SUMIFS('8月成交数据'!$P:$P,'8月成交数据'!A:A,$A10),SUMIFS('8月成交数据'!$P:$P,'8月成交数据'!$A:$A,$A10,'8月成交数据'!$C:$C,$B$3))</f>
        <v>73170</v>
      </c>
      <c r="D10">
        <f>IF($B$3="总和",SUMIFS('8月成交数据'!$R:$R,'8月成交数据'!$A:$A,$A10),SUMIFS('8月成交数据'!$R:$R,'8月成交数据'!$A:$A,$A10,'8月成交数据'!$C:$C,$B$3))</f>
        <v>68234</v>
      </c>
      <c r="E10">
        <f>IF($B$3="总和",SUMIFS('8月成交数据'!$S:$S,'8月成交数据'!$A:$A,$A10),SUMIFS('8月成交数据'!$S:$S,'8月成交数据'!$A:$A,$A10,'8月成交数据'!$C:$C,$B$3))</f>
        <v>41008</v>
      </c>
      <c r="F10">
        <f t="shared" si="2"/>
        <v>0.93254065873992076</v>
      </c>
      <c r="G10">
        <f t="shared" si="3"/>
        <v>0.60099070844447045</v>
      </c>
      <c r="H10">
        <f>IF($B$3="总和",SUMIFS('8月成交数据'!$F:$F,'8月成交数据'!$A:$A,$A10),SUMIFS('8月成交数据'!$F:$F,'8月成交数据'!$A:$A,$A10,'8月成交数据'!$C:$C,$B$3))</f>
        <v>1627270</v>
      </c>
      <c r="I10">
        <f>IF($B$3="总和",SUMIFS('8月成交数据'!$T:$T,'8月成交数据'!$A:$A,$A10),SUMIFS('8月成交数据'!$T:$T,'8月成交数据'!$A:$A,$A10,'8月成交数据'!$C:$C,$B$3))</f>
        <v>22599</v>
      </c>
      <c r="J10">
        <f t="shared" si="4"/>
        <v>0.55108759266484586</v>
      </c>
      <c r="K10">
        <f t="shared" si="5"/>
        <v>0.30885608856088559</v>
      </c>
      <c r="L10">
        <f t="shared" si="6"/>
        <v>48818.1</v>
      </c>
      <c r="M10">
        <f t="shared" si="7"/>
        <v>36585</v>
      </c>
      <c r="N10">
        <f>IF($B$3="总和",SUMIFS('8月成交数据'!$H:$H,'8月成交数据'!$A:$A,$A10),SUMIFS('8月成交数据'!$H:$H,'8月成交数据'!$A:$A,$A10,'8月成交数据'!$C:$C,$B$3))</f>
        <v>17689</v>
      </c>
      <c r="O10">
        <f>IF($B$3="总和",SUMIFS('8月成交数据'!$G:$G,'8月成交数据'!$A:$A,$A10),SUMIFS('8月成交数据'!$G:$G,'8月成交数据'!$A:$A,$A10,'8月成交数据'!$C:$C,$B$3))</f>
        <v>84108</v>
      </c>
      <c r="P10" s="10">
        <f t="shared" si="8"/>
        <v>-18984.099999999999</v>
      </c>
      <c r="Q10" s="6"/>
      <c r="S10" s="6">
        <f t="shared" si="0"/>
        <v>44052</v>
      </c>
    </row>
    <row r="11" spans="1:21" x14ac:dyDescent="0.3">
      <c r="A11" s="6">
        <f t="shared" si="9"/>
        <v>44062</v>
      </c>
      <c r="B11" s="8">
        <f t="shared" si="1"/>
        <v>44062</v>
      </c>
      <c r="C11">
        <f>IF($B$3="总和",SUMIFS('8月成交数据'!$P:$P,'8月成交数据'!A:A,$A11),SUMIFS('8月成交数据'!$P:$P,'8月成交数据'!$A:$A,$A11,'8月成交数据'!$C:$C,$B$3))</f>
        <v>87288</v>
      </c>
      <c r="D11">
        <f>IF($B$3="总和",SUMIFS('8月成交数据'!$R:$R,'8月成交数据'!$A:$A,$A11),SUMIFS('8月成交数据'!$R:$R,'8月成交数据'!$A:$A,$A11,'8月成交数据'!$C:$C,$B$3))</f>
        <v>81476</v>
      </c>
      <c r="E11">
        <f>IF($B$3="总和",SUMIFS('8月成交数据'!$S:$S,'8月成交数据'!$A:$A,$A11),SUMIFS('8月成交数据'!$S:$S,'8月成交数据'!$A:$A,$A11,'8月成交数据'!$C:$C,$B$3))</f>
        <v>49317</v>
      </c>
      <c r="F11">
        <f t="shared" si="2"/>
        <v>0.93341581889835945</v>
      </c>
      <c r="G11">
        <f t="shared" si="3"/>
        <v>0.60529481074181357</v>
      </c>
      <c r="H11">
        <f>IF($B$3="总和",SUMIFS('8月成交数据'!$F:$F,'8月成交数据'!$A:$A,$A11),SUMIFS('8月成交数据'!$F:$F,'8月成交数据'!$A:$A,$A11,'8月成交数据'!$C:$C,$B$3))</f>
        <v>3620618</v>
      </c>
      <c r="I11">
        <f>IF($B$3="总和",SUMIFS('8月成交数据'!$T:$T,'8月成交数据'!$A:$A,$A11),SUMIFS('8月成交数据'!$T:$T,'8月成交数据'!$A:$A,$A11,'8月成交数据'!$C:$C,$B$3))</f>
        <v>26712</v>
      </c>
      <c r="J11">
        <f t="shared" si="4"/>
        <v>0.54163878581422231</v>
      </c>
      <c r="K11">
        <f t="shared" si="5"/>
        <v>0.3060214462469068</v>
      </c>
      <c r="L11">
        <f t="shared" si="6"/>
        <v>108618.54</v>
      </c>
      <c r="M11">
        <f t="shared" si="7"/>
        <v>43644</v>
      </c>
      <c r="N11">
        <f>IF($B$3="总和",SUMIFS('8月成交数据'!$H:$H,'8月成交数据'!$A:$A,$A11),SUMIFS('8月成交数据'!$H:$H,'8月成交数据'!$A:$A,$A11,'8月成交数据'!$C:$C,$B$3))</f>
        <v>92711</v>
      </c>
      <c r="O11">
        <f>IF($B$3="总和",SUMIFS('8月成交数据'!$G:$G,'8月成交数据'!$A:$A,$A11),SUMIFS('8月成交数据'!$G:$G,'8月成交数据'!$A:$A,$A11,'8月成交数据'!$C:$C,$B$3))</f>
        <v>233100</v>
      </c>
      <c r="P11" s="10">
        <f t="shared" si="8"/>
        <v>-11873.539999999994</v>
      </c>
      <c r="Q11" s="6"/>
      <c r="S11" s="6">
        <f t="shared" si="0"/>
        <v>44053</v>
      </c>
    </row>
    <row r="12" spans="1:21" x14ac:dyDescent="0.3">
      <c r="A12" s="6">
        <f t="shared" si="9"/>
        <v>44063</v>
      </c>
      <c r="B12" s="8">
        <f t="shared" si="1"/>
        <v>44063</v>
      </c>
      <c r="C12">
        <f>IF($B$3="总和",SUMIFS('8月成交数据'!$P:$P,'8月成交数据'!A:A,$A12),SUMIFS('8月成交数据'!$P:$P,'8月成交数据'!$A:$A,$A12,'8月成交数据'!$C:$C,$B$3))</f>
        <v>88537</v>
      </c>
      <c r="D12">
        <f>IF($B$3="总和",SUMIFS('8月成交数据'!$R:$R,'8月成交数据'!$A:$A,$A12),SUMIFS('8月成交数据'!$R:$R,'8月成交数据'!$A:$A,$A12,'8月成交数据'!$C:$C,$B$3))</f>
        <v>82589</v>
      </c>
      <c r="E12">
        <f>IF($B$3="总和",SUMIFS('8月成交数据'!$S:$S,'8月成交数据'!$A:$A,$A12),SUMIFS('8月成交数据'!$S:$S,'8月成交数据'!$A:$A,$A12,'8月成交数据'!$C:$C,$B$3))</f>
        <v>49926</v>
      </c>
      <c r="F12">
        <f t="shared" si="2"/>
        <v>0.9328190474039102</v>
      </c>
      <c r="G12">
        <f t="shared" si="3"/>
        <v>0.60451149668842097</v>
      </c>
      <c r="H12">
        <f>IF($B$3="总和",SUMIFS('8月成交数据'!$F:$F,'8月成交数据'!$A:$A,$A12),SUMIFS('8月成交数据'!$F:$F,'8月成交数据'!$A:$A,$A12,'8月成交数据'!$C:$C,$B$3))</f>
        <v>3579879</v>
      </c>
      <c r="I12">
        <f>IF($B$3="总和",SUMIFS('8月成交数据'!$T:$T,'8月成交数据'!$A:$A,$A12),SUMIFS('8月成交数据'!$T:$T,'8月成交数据'!$A:$A,$A12,'8月成交数据'!$C:$C,$B$3))</f>
        <v>27117</v>
      </c>
      <c r="J12">
        <f t="shared" si="4"/>
        <v>0.54314385290229539</v>
      </c>
      <c r="K12">
        <f t="shared" si="5"/>
        <v>0.30627873092605351</v>
      </c>
      <c r="L12">
        <f t="shared" si="6"/>
        <v>107396.37</v>
      </c>
      <c r="M12">
        <f t="shared" si="7"/>
        <v>44268.5</v>
      </c>
      <c r="N12">
        <f>IF($B$3="总和",SUMIFS('8月成交数据'!$H:$H,'8月成交数据'!$A:$A,$A12),SUMIFS('8月成交数据'!$H:$H,'8月成交数据'!$A:$A,$A12,'8月成交数据'!$C:$C,$B$3))</f>
        <v>27541</v>
      </c>
      <c r="O12">
        <f>IF($B$3="总和",SUMIFS('8月成交数据'!$G:$G,'8月成交数据'!$A:$A,$A12),SUMIFS('8月成交数据'!$G:$G,'8月成交数据'!$A:$A,$A12,'8月成交数据'!$C:$C,$B$3))</f>
        <v>199157</v>
      </c>
      <c r="P12" s="10">
        <f t="shared" si="8"/>
        <v>19951.130000000005</v>
      </c>
      <c r="Q12" s="6"/>
      <c r="S12" s="6">
        <f t="shared" si="0"/>
        <v>44054</v>
      </c>
    </row>
    <row r="13" spans="1:21" x14ac:dyDescent="0.3">
      <c r="A13" s="6">
        <f t="shared" si="9"/>
        <v>44064</v>
      </c>
      <c r="B13" s="8">
        <f t="shared" si="1"/>
        <v>44064</v>
      </c>
      <c r="C13">
        <f>IF($B$3="总和",SUMIFS('8月成交数据'!$P:$P,'8月成交数据'!A:A,$A13),SUMIFS('8月成交数据'!$P:$P,'8月成交数据'!$A:$A,$A13,'8月成交数据'!$C:$C,$B$3))</f>
        <v>89999</v>
      </c>
      <c r="D13">
        <f>IF($B$3="总和",SUMIFS('8月成交数据'!$R:$R,'8月成交数据'!$A:$A,$A13),SUMIFS('8月成交数据'!$R:$R,'8月成交数据'!$A:$A,$A13,'8月成交数据'!$C:$C,$B$3))</f>
        <v>84093</v>
      </c>
      <c r="E13">
        <f>IF($B$3="总和",SUMIFS('8月成交数据'!$S:$S,'8月成交数据'!$A:$A,$A13),SUMIFS('8月成交数据'!$S:$S,'8月成交数据'!$A:$A,$A13,'8月成交数据'!$C:$C,$B$3))</f>
        <v>50879</v>
      </c>
      <c r="F13">
        <f t="shared" si="2"/>
        <v>0.93437704863387372</v>
      </c>
      <c r="G13">
        <f t="shared" si="3"/>
        <v>0.60503252351563153</v>
      </c>
      <c r="H13">
        <f>IF($B$3="总和",SUMIFS('8月成交数据'!$F:$F,'8月成交数据'!$A:$A,$A13),SUMIFS('8月成交数据'!$F:$F,'8月成交数据'!$A:$A,$A13,'8月成交数据'!$C:$C,$B$3))</f>
        <v>4114557</v>
      </c>
      <c r="I13">
        <f>IF($B$3="总和",SUMIFS('8月成交数据'!$T:$T,'8月成交数据'!$A:$A,$A13),SUMIFS('8月成交数据'!$T:$T,'8月成交数据'!$A:$A,$A13,'8月成交数据'!$C:$C,$B$3))</f>
        <v>27661</v>
      </c>
      <c r="J13">
        <f t="shared" si="4"/>
        <v>0.54366241474871757</v>
      </c>
      <c r="K13">
        <f t="shared" si="5"/>
        <v>0.30734785942066023</v>
      </c>
      <c r="L13">
        <f t="shared" si="6"/>
        <v>123436.70999999999</v>
      </c>
      <c r="M13">
        <f t="shared" si="7"/>
        <v>44999.5</v>
      </c>
      <c r="N13">
        <f>IF($B$3="总和",SUMIFS('8月成交数据'!$H:$H,'8月成交数据'!$A:$A,$A13),SUMIFS('8月成交数据'!$H:$H,'8月成交数据'!$A:$A,$A13,'8月成交数据'!$C:$C,$B$3))</f>
        <v>96008</v>
      </c>
      <c r="O13">
        <f>IF($B$3="总和",SUMIFS('8月成交数据'!$G:$G,'8月成交数据'!$A:$A,$A13),SUMIFS('8月成交数据'!$G:$G,'8月成交数据'!$A:$A,$A13,'8月成交数据'!$C:$C,$B$3))</f>
        <v>219780</v>
      </c>
      <c r="P13" s="10">
        <f t="shared" si="8"/>
        <v>-44664.209999999992</v>
      </c>
      <c r="Q13" s="6"/>
      <c r="S13" s="6">
        <f t="shared" si="0"/>
        <v>44055</v>
      </c>
    </row>
    <row r="14" spans="1:21" x14ac:dyDescent="0.3">
      <c r="A14" s="6">
        <f>A13+1</f>
        <v>44065</v>
      </c>
      <c r="B14" s="8">
        <f t="shared" si="1"/>
        <v>44065</v>
      </c>
      <c r="C14">
        <f>IF($B$3="总和",SUMIFS('8月成交数据'!$P:$P,'8月成交数据'!A:A,$A14),SUMIFS('8月成交数据'!$P:$P,'8月成交数据'!$A:$A,$A14,'8月成交数据'!$C:$C,$B$3))</f>
        <v>90599</v>
      </c>
      <c r="D14">
        <f>IF($B$3="总和",SUMIFS('8月成交数据'!$R:$R,'8月成交数据'!$A:$A,$A14),SUMIFS('8月成交数据'!$R:$R,'8月成交数据'!$A:$A,$A14,'8月成交数据'!$C:$C,$B$3))</f>
        <v>84522</v>
      </c>
      <c r="E14">
        <f>IF($B$3="总和",SUMIFS('8月成交数据'!$S:$S,'8月成交数据'!$A:$A,$A14),SUMIFS('8月成交数据'!$S:$S,'8月成交数据'!$A:$A,$A14,'8月成交数据'!$C:$C,$B$3))</f>
        <v>51252</v>
      </c>
      <c r="F14">
        <f t="shared" si="2"/>
        <v>0.93292420446141788</v>
      </c>
      <c r="G14">
        <f t="shared" si="3"/>
        <v>0.6063746716831121</v>
      </c>
      <c r="H14">
        <f>IF($B$3="总和",SUMIFS('8月成交数据'!$F:$F,'8月成交数据'!$A:$A,$A14),SUMIFS('8月成交数据'!$F:$F,'8月成交数据'!$A:$A,$A14,'8月成交数据'!$C:$C,$B$3))</f>
        <v>3679570</v>
      </c>
      <c r="I14">
        <f>IF($B$3="总和",SUMIFS('8月成交数据'!$T:$T,'8月成交数据'!$A:$A,$A14),SUMIFS('8月成交数据'!$T:$T,'8月成交数据'!$A:$A,$A14,'8月成交数据'!$C:$C,$B$3))</f>
        <v>27769</v>
      </c>
      <c r="J14">
        <f t="shared" si="4"/>
        <v>0.54181300241941777</v>
      </c>
      <c r="K14">
        <f t="shared" si="5"/>
        <v>0.30650448680449011</v>
      </c>
      <c r="L14">
        <f t="shared" si="6"/>
        <v>110387.09999999999</v>
      </c>
      <c r="M14">
        <f t="shared" si="7"/>
        <v>45299.5</v>
      </c>
      <c r="N14">
        <f>IF($B$3="总和",SUMIFS('8月成交数据'!$H:$H,'8月成交数据'!$A:$A,$A14),SUMIFS('8月成交数据'!$H:$H,'8月成交数据'!$A:$A,$A14,'8月成交数据'!$C:$C,$B$3))</f>
        <v>93945</v>
      </c>
      <c r="O14">
        <f>IF($B$3="总和",SUMIFS('8月成交数据'!$G:$G,'8月成交数据'!$A:$A,$A14),SUMIFS('8月成交数据'!$G:$G,'8月成交数据'!$A:$A,$A14,'8月成交数据'!$C:$C,$B$3))</f>
        <v>232656</v>
      </c>
      <c r="P14" s="10">
        <f t="shared" si="8"/>
        <v>-16975.599999999991</v>
      </c>
      <c r="Q14" s="6"/>
      <c r="S14" s="6">
        <f t="shared" si="0"/>
        <v>44056</v>
      </c>
    </row>
    <row r="15" spans="1:21" x14ac:dyDescent="0.3">
      <c r="A15" t="s">
        <v>147</v>
      </c>
      <c r="C15">
        <f>SUM(C8:C14)</f>
        <v>592742</v>
      </c>
      <c r="D15">
        <f t="shared" ref="D15:P15" si="10">SUM(D8:D14)</f>
        <v>553065</v>
      </c>
      <c r="E15">
        <f t="shared" si="10"/>
        <v>334338</v>
      </c>
      <c r="F15">
        <f t="shared" si="2"/>
        <v>0.9330619392585644</v>
      </c>
      <c r="G15">
        <f t="shared" si="3"/>
        <v>0.60451845623932088</v>
      </c>
      <c r="H15">
        <f t="shared" si="10"/>
        <v>22972405</v>
      </c>
      <c r="I15">
        <f t="shared" si="10"/>
        <v>182269</v>
      </c>
      <c r="J15">
        <f t="shared" si="4"/>
        <v>0.54516387607750239</v>
      </c>
      <c r="K15">
        <f t="shared" si="5"/>
        <v>0.30750140870732967</v>
      </c>
      <c r="L15">
        <f t="shared" si="10"/>
        <v>689172.14999999991</v>
      </c>
      <c r="M15">
        <f t="shared" si="10"/>
        <v>296371</v>
      </c>
      <c r="N15">
        <f t="shared" si="10"/>
        <v>405873</v>
      </c>
      <c r="O15">
        <f t="shared" si="10"/>
        <v>1337509</v>
      </c>
      <c r="P15" s="11">
        <f t="shared" si="10"/>
        <v>-53907.149999999958</v>
      </c>
      <c r="Q15" s="6"/>
      <c r="S15" s="6">
        <f t="shared" si="0"/>
        <v>44057</v>
      </c>
    </row>
    <row r="16" spans="1:21" x14ac:dyDescent="0.3">
      <c r="Q16" s="6"/>
      <c r="S16" s="6">
        <f t="shared" si="0"/>
        <v>44058</v>
      </c>
    </row>
    <row r="17" spans="1:19" x14ac:dyDescent="0.3">
      <c r="C17" t="s">
        <v>151</v>
      </c>
      <c r="H17" t="s">
        <v>154</v>
      </c>
      <c r="L17" t="s">
        <v>159</v>
      </c>
      <c r="N17" t="s">
        <v>162</v>
      </c>
      <c r="O17" t="s">
        <v>163</v>
      </c>
      <c r="Q17" s="6"/>
      <c r="S17" s="6">
        <f t="shared" si="0"/>
        <v>44059</v>
      </c>
    </row>
    <row r="18" spans="1:19" x14ac:dyDescent="0.3">
      <c r="A18" t="s">
        <v>0</v>
      </c>
      <c r="B18" t="s">
        <v>0</v>
      </c>
      <c r="C18" t="str">
        <f>C7</f>
        <v>注册人数</v>
      </c>
      <c r="D18" t="str">
        <f>D7</f>
        <v>戳额人数</v>
      </c>
      <c r="E18" t="s">
        <v>150</v>
      </c>
      <c r="F18" t="s">
        <v>152</v>
      </c>
      <c r="G18" t="s">
        <v>153</v>
      </c>
      <c r="H18" t="s">
        <v>155</v>
      </c>
      <c r="I18" t="s">
        <v>156</v>
      </c>
      <c r="J18" t="s">
        <v>157</v>
      </c>
      <c r="K18" t="s">
        <v>158</v>
      </c>
      <c r="L18" t="s">
        <v>160</v>
      </c>
      <c r="M18" t="s">
        <v>161</v>
      </c>
      <c r="N18" t="s">
        <v>4</v>
      </c>
      <c r="O18" t="s">
        <v>164</v>
      </c>
      <c r="P18" s="7" t="s">
        <v>165</v>
      </c>
      <c r="Q18" s="6"/>
      <c r="S18" s="6">
        <f t="shared" si="0"/>
        <v>44060</v>
      </c>
    </row>
    <row r="19" spans="1:19" x14ac:dyDescent="0.3">
      <c r="A19" s="6">
        <f>A8-7</f>
        <v>44052</v>
      </c>
      <c r="B19" s="8">
        <f>A19</f>
        <v>44052</v>
      </c>
      <c r="C19">
        <f>IF($B$3="总和",SUMIFS('8月成交数据'!$P:$P,'8月成交数据'!A:A,$A19),SUMIFS('8月成交数据'!$P:$P,'8月成交数据'!$A:$A,$A19,'8月成交数据'!$C:$C,$B$3))</f>
        <v>86846</v>
      </c>
      <c r="D19">
        <f>IF($B$3="总和",SUMIFS('8月成交数据'!$R:$R,'8月成交数据'!$A:$A,$A19),SUMIFS('8月成交数据'!$R:$R,'8月成交数据'!$A:$A,$A19,'8月成交数据'!$C:$C,$B$3))</f>
        <v>81149</v>
      </c>
      <c r="E19">
        <f>IF($B$3="总和",SUMIFS('8月成交数据'!$S:$S,'8月成交数据'!$A:$A,$A19),SUMIFS('8月成交数据'!$S:$S,'8月成交数据'!$A:$A,$A19,'8月成交数据'!$C:$C,$B$3))</f>
        <v>49024</v>
      </c>
      <c r="F19">
        <f>D19/C19</f>
        <v>0.93440112382838592</v>
      </c>
      <c r="G19">
        <f>E19/D19</f>
        <v>0.60412327939962296</v>
      </c>
      <c r="H19">
        <f>IF($B$3="总和",SUMIFS('8月成交数据'!$F:$F,'8月成交数据'!$A:$A,$A19),SUMIFS('8月成交数据'!$F:$F,'8月成交数据'!$A:$A,$A19,'8月成交数据'!$C:$C,$B$3))</f>
        <v>3217120</v>
      </c>
      <c r="I19">
        <f>IF($B$3="总和",SUMIFS('8月成交数据'!$T:$T,'8月成交数据'!$A:$A,$A19),SUMIFS('8月成交数据'!$T:$T,'8月成交数据'!$A:$A,$A19,'8月成交数据'!$C:$C,$B$3))</f>
        <v>26583</v>
      </c>
      <c r="J19">
        <f>I19/E19</f>
        <v>0.54224461488250653</v>
      </c>
      <c r="K19">
        <f>I19/C19</f>
        <v>0.30609354489556229</v>
      </c>
      <c r="L19">
        <f>H19*0.03</f>
        <v>96513.599999999991</v>
      </c>
      <c r="M19">
        <f>C19*0.5</f>
        <v>43423</v>
      </c>
      <c r="N19">
        <f>IF($B$3="总和",SUMIFS('8月成交数据'!$H:$H,'8月成交数据'!$A:$A,$A19),SUMIFS('8月成交数据'!$H:$H,'8月成交数据'!$A:$A,$A19,'8月成交数据'!$C:$C,$B$3))</f>
        <v>74531</v>
      </c>
      <c r="O19">
        <f>IF($B$3="总和",SUMIFS('8月成交数据'!$G:$G,'8月成交数据'!$A:$A,$A19),SUMIFS('8月成交数据'!$G:$G,'8月成交数据'!$A:$A,$A19,'8月成交数据'!$C:$C,$B$3))</f>
        <v>177892</v>
      </c>
      <c r="P19" s="10">
        <f>O19-L19-M19-N19</f>
        <v>-36575.599999999991</v>
      </c>
      <c r="Q19" s="6"/>
      <c r="S19" s="6">
        <f t="shared" si="0"/>
        <v>44061</v>
      </c>
    </row>
    <row r="20" spans="1:19" x14ac:dyDescent="0.3">
      <c r="A20" s="6">
        <f>A19+1</f>
        <v>44053</v>
      </c>
      <c r="B20" s="8">
        <f t="shared" ref="B20:B25" si="11">A20</f>
        <v>44053</v>
      </c>
      <c r="C20">
        <f>IF($B$3="总和",SUMIFS('8月成交数据'!$P:$P,'8月成交数据'!A:A,$A20),SUMIFS('8月成交数据'!$P:$P,'8月成交数据'!$A:$A,$A20,'8月成交数据'!$C:$C,$B$3))</f>
        <v>76259</v>
      </c>
      <c r="D20">
        <f>IF($B$3="总和",SUMIFS('8月成交数据'!$R:$R,'8月成交数据'!$A:$A,$A20),SUMIFS('8月成交数据'!$R:$R,'8月成交数据'!$A:$A,$A20,'8月成交数据'!$C:$C,$B$3))</f>
        <v>71373</v>
      </c>
      <c r="E20">
        <f>IF($B$3="总和",SUMIFS('8月成交数据'!$S:$S,'8月成交数据'!$A:$A,$A20),SUMIFS('8月成交数据'!$S:$S,'8月成交数据'!$A:$A,$A20,'8月成交数据'!$C:$C,$B$3))</f>
        <v>42997</v>
      </c>
      <c r="F20">
        <f t="shared" ref="F20:F26" si="12">D20/C20</f>
        <v>0.93592887396897417</v>
      </c>
      <c r="G20">
        <f t="shared" ref="G20:G26" si="13">E20/D20</f>
        <v>0.6024266879632354</v>
      </c>
      <c r="H20">
        <f>IF($B$3="总和",SUMIFS('8月成交数据'!$F:$F,'8月成交数据'!$A:$A,$A20),SUMIFS('8月成交数据'!$F:$F,'8月成交数据'!$A:$A,$A20,'8月成交数据'!$C:$C,$B$3))</f>
        <v>1641138</v>
      </c>
      <c r="I20">
        <f>IF($B$3="总和",SUMIFS('8月成交数据'!$T:$T,'8月成交数据'!$A:$A,$A20),SUMIFS('8月成交数据'!$T:$T,'8月成交数据'!$A:$A,$A20,'8月成交数据'!$C:$C,$B$3))</f>
        <v>23540</v>
      </c>
      <c r="J20">
        <f t="shared" ref="J20:J26" si="14">I20/E20</f>
        <v>0.54748005674814526</v>
      </c>
      <c r="K20">
        <f t="shared" ref="K20:K26" si="15">I20/C20</f>
        <v>0.3086848765391626</v>
      </c>
      <c r="L20">
        <f t="shared" ref="L20:L25" si="16">H20*0.03</f>
        <v>49234.14</v>
      </c>
      <c r="M20">
        <f t="shared" ref="M20:M25" si="17">C20*0.5</f>
        <v>38129.5</v>
      </c>
      <c r="N20">
        <f>IF($B$3="总和",SUMIFS('8月成交数据'!$H:$H,'8月成交数据'!$A:$A,$A20),SUMIFS('8月成交数据'!$H:$H,'8月成交数据'!$A:$A,$A20,'8月成交数据'!$C:$C,$B$3))</f>
        <v>41597</v>
      </c>
      <c r="O20">
        <f>IF($B$3="总和",SUMIFS('8月成交数据'!$G:$G,'8月成交数据'!$A:$A,$A20),SUMIFS('8月成交数据'!$G:$G,'8月成交数据'!$A:$A,$A20,'8月成交数据'!$C:$C,$B$3))</f>
        <v>78943</v>
      </c>
      <c r="P20" s="10">
        <f t="shared" ref="P20:P25" si="18">O20-L20-M20-N20</f>
        <v>-50017.64</v>
      </c>
      <c r="Q20" s="6"/>
      <c r="S20" s="6">
        <f t="shared" si="0"/>
        <v>44062</v>
      </c>
    </row>
    <row r="21" spans="1:19" x14ac:dyDescent="0.3">
      <c r="A21" s="6">
        <f t="shared" ref="A21:A24" si="19">A20+1</f>
        <v>44054</v>
      </c>
      <c r="B21" s="8">
        <f t="shared" si="11"/>
        <v>44054</v>
      </c>
      <c r="C21">
        <f>IF($B$3="总和",SUMIFS('8月成交数据'!$P:$P,'8月成交数据'!A:A,$A21),SUMIFS('8月成交数据'!$P:$P,'8月成交数据'!$A:$A,$A21,'8月成交数据'!$C:$C,$B$3))</f>
        <v>69531</v>
      </c>
      <c r="D21">
        <f>IF($B$3="总和",SUMIFS('8月成交数据'!$R:$R,'8月成交数据'!$A:$A,$A21),SUMIFS('8月成交数据'!$R:$R,'8月成交数据'!$A:$A,$A21,'8月成交数据'!$C:$C,$B$3))</f>
        <v>65167</v>
      </c>
      <c r="E21">
        <f>IF($B$3="总和",SUMIFS('8月成交数据'!$S:$S,'8月成交数据'!$A:$A,$A21),SUMIFS('8月成交数据'!$S:$S,'8月成交数据'!$A:$A,$A21,'8月成交数据'!$C:$C,$B$3))</f>
        <v>39192</v>
      </c>
      <c r="F21">
        <f t="shared" si="12"/>
        <v>0.93723662826652865</v>
      </c>
      <c r="G21">
        <f t="shared" si="13"/>
        <v>0.60140868844660644</v>
      </c>
      <c r="H21">
        <f>IF($B$3="总和",SUMIFS('8月成交数据'!$F:$F,'8月成交数据'!$A:$A,$A21),SUMIFS('8月成交数据'!$F:$F,'8月成交数据'!$A:$A,$A21,'8月成交数据'!$C:$C,$B$3))</f>
        <v>1624037</v>
      </c>
      <c r="I21">
        <f>IF($B$3="总和",SUMIFS('8月成交数据'!$T:$T,'8月成交数据'!$A:$A,$A21),SUMIFS('8月成交数据'!$T:$T,'8月成交数据'!$A:$A,$A21,'8月成交数据'!$C:$C,$B$3))</f>
        <v>21535</v>
      </c>
      <c r="J21">
        <f t="shared" si="14"/>
        <v>0.54947438252704639</v>
      </c>
      <c r="K21">
        <f t="shared" si="15"/>
        <v>0.30971796752527647</v>
      </c>
      <c r="L21">
        <f t="shared" si="16"/>
        <v>48721.11</v>
      </c>
      <c r="M21">
        <f t="shared" si="17"/>
        <v>34765.5</v>
      </c>
      <c r="N21">
        <f>IF($B$3="总和",SUMIFS('8月成交数据'!$H:$H,'8月成交数据'!$A:$A,$A21),SUMIFS('8月成交数据'!$H:$H,'8月成交数据'!$A:$A,$A21,'8月成交数据'!$C:$C,$B$3))</f>
        <v>8974</v>
      </c>
      <c r="O21">
        <f>IF($B$3="总和",SUMIFS('8月成交数据'!$G:$G,'8月成交数据'!$A:$A,$A21),SUMIFS('8月成交数据'!$G:$G,'8月成交数据'!$A:$A,$A21,'8月成交数据'!$C:$C,$B$3))</f>
        <v>78285</v>
      </c>
      <c r="P21" s="10">
        <f t="shared" si="18"/>
        <v>-14175.61</v>
      </c>
      <c r="Q21" s="6"/>
      <c r="S21" s="6">
        <f t="shared" si="0"/>
        <v>44063</v>
      </c>
    </row>
    <row r="22" spans="1:19" x14ac:dyDescent="0.3">
      <c r="A22" s="6">
        <f t="shared" si="19"/>
        <v>44055</v>
      </c>
      <c r="B22" s="8">
        <f t="shared" si="11"/>
        <v>44055</v>
      </c>
      <c r="C22">
        <f>IF($B$3="总和",SUMIFS('8月成交数据'!$P:$P,'8月成交数据'!A:A,$A22),SUMIFS('8月成交数据'!$P:$P,'8月成交数据'!$A:$A,$A22,'8月成交数据'!$C:$C,$B$3))</f>
        <v>85105</v>
      </c>
      <c r="D22">
        <f>IF($B$3="总和",SUMIFS('8月成交数据'!$R:$R,'8月成交数据'!$A:$A,$A22),SUMIFS('8月成交数据'!$R:$R,'8月成交数据'!$A:$A,$A22,'8月成交数据'!$C:$C,$B$3))</f>
        <v>79427</v>
      </c>
      <c r="E22">
        <f>IF($B$3="总和",SUMIFS('8月成交数据'!$S:$S,'8月成交数据'!$A:$A,$A22),SUMIFS('8月成交数据'!$S:$S,'8月成交数据'!$A:$A,$A22,'8月成交数据'!$C:$C,$B$3))</f>
        <v>48069</v>
      </c>
      <c r="F22">
        <f t="shared" si="12"/>
        <v>0.93328241583925742</v>
      </c>
      <c r="G22">
        <f t="shared" si="13"/>
        <v>0.60519722512495755</v>
      </c>
      <c r="H22">
        <f>IF($B$3="总和",SUMIFS('8月成交数据'!$F:$F,'8月成交数据'!$A:$A,$A22),SUMIFS('8月成交数据'!$F:$F,'8月成交数据'!$A:$A,$A22,'8月成交数据'!$C:$C,$B$3))</f>
        <v>2916602</v>
      </c>
      <c r="I22">
        <f>IF($B$3="总和",SUMIFS('8月成交数据'!$T:$T,'8月成交数据'!$A:$A,$A22),SUMIFS('8月成交数据'!$T:$T,'8月成交数据'!$A:$A,$A22,'8月成交数据'!$C:$C,$B$3))</f>
        <v>25956</v>
      </c>
      <c r="J22">
        <f t="shared" si="14"/>
        <v>0.53997378768020965</v>
      </c>
      <c r="K22">
        <f t="shared" si="15"/>
        <v>0.30498795605428586</v>
      </c>
      <c r="L22">
        <f t="shared" si="16"/>
        <v>87498.06</v>
      </c>
      <c r="M22">
        <f t="shared" si="17"/>
        <v>42552.5</v>
      </c>
      <c r="N22">
        <f>IF($B$3="总和",SUMIFS('8月成交数据'!$H:$H,'8月成交数据'!$A:$A,$A22),SUMIFS('8月成交数据'!$H:$H,'8月成交数据'!$A:$A,$A22,'8月成交数据'!$C:$C,$B$3))</f>
        <v>64830</v>
      </c>
      <c r="O22">
        <f>IF($B$3="总和",SUMIFS('8月成交数据'!$G:$G,'8月成交数据'!$A:$A,$A22),SUMIFS('8月成交数据'!$G:$G,'8月成交数据'!$A:$A,$A22,'8月成交数据'!$C:$C,$B$3))</f>
        <v>145958</v>
      </c>
      <c r="P22" s="10">
        <f t="shared" si="18"/>
        <v>-48922.559999999998</v>
      </c>
      <c r="Q22" s="6"/>
      <c r="S22" s="6">
        <f t="shared" si="0"/>
        <v>44064</v>
      </c>
    </row>
    <row r="23" spans="1:19" x14ac:dyDescent="0.3">
      <c r="A23" s="6">
        <f t="shared" si="19"/>
        <v>44056</v>
      </c>
      <c r="B23" s="8">
        <f t="shared" si="11"/>
        <v>44056</v>
      </c>
      <c r="C23">
        <f>IF($B$3="总和",SUMIFS('8月成交数据'!$P:$P,'8月成交数据'!A:A,$A23),SUMIFS('8月成交数据'!$P:$P,'8月成交数据'!$A:$A,$A23,'8月成交数据'!$C:$C,$B$3))</f>
        <v>78514</v>
      </c>
      <c r="D23">
        <f>IF($B$3="总和",SUMIFS('8月成交数据'!$R:$R,'8月成交数据'!$A:$A,$A23),SUMIFS('8月成交数据'!$R:$R,'8月成交数据'!$A:$A,$A23,'8月成交数据'!$C:$C,$B$3))</f>
        <v>73252</v>
      </c>
      <c r="E23">
        <f>IF($B$3="总和",SUMIFS('8月成交数据'!$S:$S,'8月成交数据'!$A:$A,$A23),SUMIFS('8月成交数据'!$S:$S,'8月成交数据'!$A:$A,$A23,'8月成交数据'!$C:$C,$B$3))</f>
        <v>44164</v>
      </c>
      <c r="F23">
        <f t="shared" si="12"/>
        <v>0.93298010545889909</v>
      </c>
      <c r="G23">
        <f t="shared" si="13"/>
        <v>0.6029050401354229</v>
      </c>
      <c r="H23">
        <f>IF($B$3="总和",SUMIFS('8月成交数据'!$F:$F,'8月成交数据'!$A:$A,$A23),SUMIFS('8月成交数据'!$F:$F,'8月成交数据'!$A:$A,$A23,'8月成交数据'!$C:$C,$B$3))</f>
        <v>2801941</v>
      </c>
      <c r="I23">
        <f>IF($B$3="总和",SUMIFS('8月成交数据'!$T:$T,'8月成交数据'!$A:$A,$A23),SUMIFS('8月成交数据'!$T:$T,'8月成交数据'!$A:$A,$A23,'8月成交数据'!$C:$C,$B$3))</f>
        <v>24133</v>
      </c>
      <c r="J23">
        <f t="shared" si="14"/>
        <v>0.54644053980617702</v>
      </c>
      <c r="K23">
        <f t="shared" si="15"/>
        <v>0.3073719336678809</v>
      </c>
      <c r="L23">
        <f t="shared" si="16"/>
        <v>84058.23</v>
      </c>
      <c r="M23">
        <f t="shared" si="17"/>
        <v>39257</v>
      </c>
      <c r="N23">
        <f>IF($B$3="总和",SUMIFS('8月成交数据'!$H:$H,'8月成交数据'!$A:$A,$A23),SUMIFS('8月成交数据'!$H:$H,'8月成交数据'!$A:$A,$A23,'8月成交数据'!$C:$C,$B$3))</f>
        <v>35669</v>
      </c>
      <c r="O23">
        <f>IF($B$3="总和",SUMIFS('8月成交数据'!$G:$G,'8月成交数据'!$A:$A,$A23),SUMIFS('8月成交数据'!$G:$G,'8月成交数据'!$A:$A,$A23,'8月成交数据'!$C:$C,$B$3))</f>
        <v>143257</v>
      </c>
      <c r="P23" s="10">
        <f t="shared" si="18"/>
        <v>-15727.229999999996</v>
      </c>
      <c r="Q23" s="6"/>
      <c r="S23" s="6">
        <f t="shared" si="0"/>
        <v>44065</v>
      </c>
    </row>
    <row r="24" spans="1:19" x14ac:dyDescent="0.3">
      <c r="A24" s="6">
        <f t="shared" si="19"/>
        <v>44057</v>
      </c>
      <c r="B24" s="8">
        <f t="shared" si="11"/>
        <v>44057</v>
      </c>
      <c r="C24">
        <f>IF($B$3="总和",SUMIFS('8月成交数据'!$P:$P,'8月成交数据'!A:A,$A24),SUMIFS('8月成交数据'!$P:$P,'8月成交数据'!$A:$A,$A24,'8月成交数据'!$C:$C,$B$3))</f>
        <v>86306</v>
      </c>
      <c r="D24">
        <f>IF($B$3="总和",SUMIFS('8月成交数据'!$R:$R,'8月成交数据'!$A:$A,$A24),SUMIFS('8月成交数据'!$R:$R,'8月成交数据'!$A:$A,$A24,'8月成交数据'!$C:$C,$B$3))</f>
        <v>80638</v>
      </c>
      <c r="E24">
        <f>IF($B$3="总和",SUMIFS('8月成交数据'!$S:$S,'8月成交数据'!$A:$A,$A24),SUMIFS('8月成交数据'!$S:$S,'8月成交数据'!$A:$A,$A24,'8月成交数据'!$C:$C,$B$3))</f>
        <v>48927</v>
      </c>
      <c r="F24">
        <f t="shared" si="12"/>
        <v>0.9343266980279471</v>
      </c>
      <c r="G24">
        <f t="shared" si="13"/>
        <v>0.60674867928272036</v>
      </c>
      <c r="H24">
        <f>IF($B$3="总和",SUMIFS('8月成交数据'!$F:$F,'8月成交数据'!$A:$A,$A24),SUMIFS('8月成交数据'!$F:$F,'8月成交数据'!$A:$A,$A24,'8月成交数据'!$C:$C,$B$3))</f>
        <v>3641364</v>
      </c>
      <c r="I24">
        <f>IF($B$3="总和",SUMIFS('8月成交数据'!$T:$T,'8月成交数据'!$A:$A,$A24),SUMIFS('8月成交数据'!$T:$T,'8月成交数据'!$A:$A,$A24,'8月成交数据'!$C:$C,$B$3))</f>
        <v>26744</v>
      </c>
      <c r="J24">
        <f t="shared" si="14"/>
        <v>0.54661025609581626</v>
      </c>
      <c r="K24">
        <f t="shared" si="15"/>
        <v>0.30987416865571338</v>
      </c>
      <c r="L24">
        <f t="shared" si="16"/>
        <v>109240.92</v>
      </c>
      <c r="M24">
        <f t="shared" si="17"/>
        <v>43153</v>
      </c>
      <c r="N24">
        <f>IF($B$3="总和",SUMIFS('8月成交数据'!$H:$H,'8月成交数据'!$A:$A,$A24),SUMIFS('8月成交数据'!$H:$H,'8月成交数据'!$A:$A,$A24,'8月成交数据'!$C:$C,$B$3))</f>
        <v>86343</v>
      </c>
      <c r="O24">
        <f>IF($B$3="总和",SUMIFS('8月成交数据'!$G:$G,'8月成交数据'!$A:$A,$A24),SUMIFS('8月成交数据'!$G:$G,'8月成交数据'!$A:$A,$A24,'8月成交数据'!$C:$C,$B$3))</f>
        <v>191912</v>
      </c>
      <c r="P24" s="10">
        <f t="shared" si="18"/>
        <v>-46824.92</v>
      </c>
      <c r="Q24" s="6"/>
      <c r="S24" s="6">
        <f t="shared" si="0"/>
        <v>44066</v>
      </c>
    </row>
    <row r="25" spans="1:19" x14ac:dyDescent="0.3">
      <c r="A25" s="6">
        <f>A24+1</f>
        <v>44058</v>
      </c>
      <c r="B25" s="8">
        <f t="shared" si="11"/>
        <v>44058</v>
      </c>
      <c r="C25">
        <f>IF($B$3="总和",SUMIFS('8月成交数据'!$P:$P,'8月成交数据'!A:A,$A25),SUMIFS('8月成交数据'!$P:$P,'8月成交数据'!$A:$A,$A25,'8月成交数据'!$C:$C,$B$3))</f>
        <v>86521</v>
      </c>
      <c r="D25">
        <f>IF($B$3="总和",SUMIFS('8月成交数据'!$R:$R,'8月成交数据'!$A:$A,$A25),SUMIFS('8月成交数据'!$R:$R,'8月成交数据'!$A:$A,$A25,'8月成交数据'!$C:$C,$B$3))</f>
        <v>80793</v>
      </c>
      <c r="E25">
        <f>IF($B$3="总和",SUMIFS('8月成交数据'!$S:$S,'8月成交数据'!$A:$A,$A25),SUMIFS('8月成交数据'!$S:$S,'8月成交数据'!$A:$A,$A25,'8月成交数据'!$C:$C,$B$3))</f>
        <v>48812</v>
      </c>
      <c r="F25">
        <f t="shared" si="12"/>
        <v>0.93379641936639657</v>
      </c>
      <c r="G25">
        <f t="shared" si="13"/>
        <v>0.6041612515935787</v>
      </c>
      <c r="H25">
        <f>IF($B$3="总和",SUMIFS('8月成交数据'!$F:$F,'8月成交数据'!$A:$A,$A25),SUMIFS('8月成交数据'!$F:$F,'8月成交数据'!$A:$A,$A25,'8月成交数据'!$C:$C,$B$3))</f>
        <v>3472219</v>
      </c>
      <c r="I25">
        <f>IF($B$3="总和",SUMIFS('8月成交数据'!$T:$T,'8月成交数据'!$A:$A,$A25),SUMIFS('8月成交数据'!$T:$T,'8月成交数据'!$A:$A,$A25,'8月成交数据'!$C:$C,$B$3))</f>
        <v>26612</v>
      </c>
      <c r="J25">
        <f t="shared" si="14"/>
        <v>0.54519380480209789</v>
      </c>
      <c r="K25">
        <f t="shared" si="15"/>
        <v>0.30757850695206945</v>
      </c>
      <c r="L25">
        <f t="shared" si="16"/>
        <v>104166.56999999999</v>
      </c>
      <c r="M25">
        <f t="shared" si="17"/>
        <v>43260.5</v>
      </c>
      <c r="N25">
        <f>IF($B$3="总和",SUMIFS('8月成交数据'!$H:$H,'8月成交数据'!$A:$A,$A25),SUMIFS('8月成交数据'!$H:$H,'8月成交数据'!$A:$A,$A25,'8月成交数据'!$C:$C,$B$3))</f>
        <v>32544</v>
      </c>
      <c r="O25">
        <f>IF($B$3="总和",SUMIFS('8月成交数据'!$G:$G,'8月成交数据'!$A:$A,$A25),SUMIFS('8月成交数据'!$G:$G,'8月成交数据'!$A:$A,$A25,'8月成交数据'!$C:$C,$B$3))</f>
        <v>311708</v>
      </c>
      <c r="P25" s="10">
        <f t="shared" si="18"/>
        <v>131736.93</v>
      </c>
      <c r="Q25" s="6"/>
      <c r="S25" s="6">
        <f t="shared" si="0"/>
        <v>44067</v>
      </c>
    </row>
    <row r="26" spans="1:19" x14ac:dyDescent="0.3">
      <c r="A26" t="s">
        <v>147</v>
      </c>
      <c r="C26">
        <f>SUM(C19:C25)</f>
        <v>569082</v>
      </c>
      <c r="D26">
        <f t="shared" ref="D26" si="20">SUM(D19:D25)</f>
        <v>531799</v>
      </c>
      <c r="E26">
        <f t="shared" ref="E26" si="21">SUM(E19:E25)</f>
        <v>321185</v>
      </c>
      <c r="F26">
        <f t="shared" si="12"/>
        <v>0.93448571559107474</v>
      </c>
      <c r="G26">
        <f t="shared" si="13"/>
        <v>0.60395939067203963</v>
      </c>
      <c r="H26">
        <f t="shared" ref="H26" si="22">SUM(H19:H25)</f>
        <v>19314421</v>
      </c>
      <c r="I26">
        <f t="shared" ref="I26" si="23">SUM(I19:I25)</f>
        <v>175103</v>
      </c>
      <c r="J26">
        <f t="shared" si="14"/>
        <v>0.54517801267182464</v>
      </c>
      <c r="K26">
        <f t="shared" si="15"/>
        <v>0.30769379456739099</v>
      </c>
      <c r="L26">
        <f t="shared" ref="L26" si="24">SUM(L19:L25)</f>
        <v>579432.62999999989</v>
      </c>
      <c r="M26">
        <f t="shared" ref="M26" si="25">SUM(M19:M25)</f>
        <v>284541</v>
      </c>
      <c r="N26">
        <f t="shared" ref="N26" si="26">SUM(N19:N25)</f>
        <v>344488</v>
      </c>
      <c r="O26">
        <f t="shared" ref="O26" si="27">SUM(O19:O25)</f>
        <v>1127955</v>
      </c>
      <c r="P26" s="11">
        <f>SUM(P19:P25)</f>
        <v>-80506.629999999946</v>
      </c>
      <c r="Q26" s="6"/>
      <c r="S26" s="6">
        <f t="shared" si="0"/>
        <v>44068</v>
      </c>
    </row>
    <row r="27" spans="1:19" x14ac:dyDescent="0.3">
      <c r="Q27" s="6"/>
      <c r="S27" s="6">
        <f t="shared" si="0"/>
        <v>44069</v>
      </c>
    </row>
    <row r="28" spans="1:19" x14ac:dyDescent="0.3">
      <c r="Q28" s="6"/>
      <c r="S28" s="6">
        <f t="shared" si="0"/>
        <v>44070</v>
      </c>
    </row>
    <row r="29" spans="1:19" x14ac:dyDescent="0.3">
      <c r="Q29" s="6"/>
      <c r="S29" s="6">
        <f t="shared" si="0"/>
        <v>44071</v>
      </c>
    </row>
    <row r="30" spans="1:19" x14ac:dyDescent="0.3">
      <c r="Q30" s="6"/>
      <c r="S30" s="6">
        <f t="shared" si="0"/>
        <v>44072</v>
      </c>
    </row>
    <row r="31" spans="1:19" x14ac:dyDescent="0.3">
      <c r="Q31" s="6"/>
      <c r="S31" s="6">
        <f t="shared" si="0"/>
        <v>44073</v>
      </c>
    </row>
    <row r="32" spans="1:19" x14ac:dyDescent="0.3">
      <c r="Q32" s="6"/>
      <c r="S32" s="6">
        <f t="shared" si="0"/>
        <v>44074</v>
      </c>
    </row>
    <row r="33" spans="17:19" x14ac:dyDescent="0.3">
      <c r="Q33" s="6"/>
      <c r="S33" s="6"/>
    </row>
    <row r="34" spans="17:19" x14ac:dyDescent="0.3">
      <c r="Q34" s="6"/>
      <c r="S34" s="6"/>
    </row>
    <row r="35" spans="17:19" x14ac:dyDescent="0.3">
      <c r="Q35" s="6"/>
      <c r="S35" s="6"/>
    </row>
    <row r="36" spans="17:19" x14ac:dyDescent="0.3">
      <c r="Q36" s="6"/>
      <c r="S36" s="6"/>
    </row>
    <row r="37" spans="17:19" x14ac:dyDescent="0.3">
      <c r="Q37" s="6"/>
      <c r="S37" s="6"/>
    </row>
    <row r="38" spans="17:19" x14ac:dyDescent="0.3">
      <c r="Q38" s="6"/>
      <c r="S38" s="6"/>
    </row>
    <row r="39" spans="17:19" x14ac:dyDescent="0.3">
      <c r="Q39" s="6"/>
      <c r="S39" s="6"/>
    </row>
    <row r="40" spans="17:19" x14ac:dyDescent="0.3">
      <c r="Q40" s="6"/>
      <c r="S40" s="6"/>
    </row>
    <row r="41" spans="17:19" x14ac:dyDescent="0.3">
      <c r="Q41" s="6"/>
      <c r="S41" s="6"/>
    </row>
    <row r="42" spans="17:19" x14ac:dyDescent="0.3">
      <c r="Q42" s="6"/>
      <c r="S42" s="6"/>
    </row>
  </sheetData>
  <phoneticPr fontId="2" type="noConversion"/>
  <dataValidations count="2">
    <dataValidation type="list" allowBlank="1" showInputMessage="1" showErrorMessage="1" sqref="B2" xr:uid="{8CE5508F-FEDA-4FA9-B5C9-EBFE94693232}">
      <formula1>$S$2:$S$32</formula1>
    </dataValidation>
    <dataValidation type="list" allowBlank="1" showInputMessage="1" showErrorMessage="1" sqref="B3" xr:uid="{AFB1DFFF-55BD-404D-BF53-5800BA872814}">
      <formula1>"总和,东部战区,西部战区,南部战区,北部战区"</formula1>
    </dataValidation>
  </dataValidation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42C2133-F129-48BA-B978-FD8745CF6D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自动化报表!J8:J14</xm:f>
              <xm:sqref>P4</xm:sqref>
            </x14:sparkline>
          </x14:sparklines>
        </x14:sparklineGroup>
        <x14:sparklineGroup displayEmptyCellsAs="gap" xr2:uid="{9EB8A3DB-AC64-4364-A5D1-361678D397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自动化报表!C8:C14</xm:f>
              <xm:sqref>N4</xm:sqref>
            </x14:sparkline>
          </x14:sparklines>
        </x14:sparklineGroup>
        <x14:sparklineGroup displayEmptyCellsAs="gap" xr2:uid="{B80F2C71-D327-4DD3-B4D6-493137744F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自动化报表!I8:I14</xm:f>
              <xm:sqref>L4</xm:sqref>
            </x14:sparkline>
          </x14:sparklines>
        </x14:sparklineGroup>
        <x14:sparklineGroup displayEmptyCellsAs="gap" xr2:uid="{FBDE1722-5219-430B-8B4A-B846079D0B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自动化报表!H8:H14</xm:f>
              <xm:sqref>J4</xm:sqref>
            </x14:sparkline>
          </x14:sparklines>
        </x14:sparklineGroup>
        <x14:sparklineGroup displayEmptyCellsAs="gap" xr2:uid="{BCD9D16A-07C7-4C4D-B06E-2652554076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自动化报表!N8:N14</xm:f>
              <xm:sqref>H4</xm:sqref>
            </x14:sparkline>
          </x14:sparklines>
        </x14:sparklineGroup>
        <x14:sparklineGroup type="column" displayEmptyCellsAs="gap" xr2:uid="{359D5BBA-A13F-478F-BFC9-ADAE4D0E8E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自动化报表!P8:P14</xm:f>
              <xm:sqref>F4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1146-3470-4BF9-BE5F-39F007F4328A}">
  <dimension ref="A1:V42"/>
  <sheetViews>
    <sheetView showGridLines="0" tabSelected="1" workbookViewId="0">
      <selection activeCell="C3" sqref="C3"/>
    </sheetView>
  </sheetViews>
  <sheetFormatPr defaultRowHeight="14" x14ac:dyDescent="0.3"/>
  <cols>
    <col min="2" max="2" width="12.08203125" customWidth="1"/>
    <col min="3" max="3" width="11.83203125" customWidth="1"/>
    <col min="4" max="4" width="10.1640625" customWidth="1"/>
    <col min="5" max="5" width="13.75" bestFit="1" customWidth="1"/>
    <col min="6" max="6" width="16" bestFit="1" customWidth="1"/>
    <col min="7" max="7" width="12.1640625" bestFit="1" customWidth="1"/>
    <col min="8" max="16" width="10.1640625" customWidth="1"/>
    <col min="17" max="17" width="10.1640625" style="7" customWidth="1"/>
    <col min="18" max="18" width="11.33203125" bestFit="1" customWidth="1"/>
    <col min="19" max="19" width="4.83203125" bestFit="1" customWidth="1"/>
    <col min="20" max="20" width="11.33203125" hidden="1" customWidth="1"/>
    <col min="21" max="21" width="9.58203125" hidden="1" customWidth="1"/>
    <col min="22" max="22" width="12.1640625" hidden="1" customWidth="1"/>
    <col min="23" max="23" width="7.1640625" bestFit="1" customWidth="1"/>
    <col min="24" max="24" width="12.33203125" bestFit="1" customWidth="1"/>
  </cols>
  <sheetData>
    <row r="1" spans="1:22" ht="28" customHeight="1" x14ac:dyDescent="0.6">
      <c r="A1" s="55" t="s">
        <v>139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T1" t="s">
        <v>142</v>
      </c>
      <c r="U1" t="s">
        <v>133</v>
      </c>
      <c r="V1" s="7" t="s">
        <v>145</v>
      </c>
    </row>
    <row r="2" spans="1:22" ht="19" customHeight="1" x14ac:dyDescent="0.45">
      <c r="B2" s="45" t="s">
        <v>140</v>
      </c>
      <c r="C2" s="46">
        <v>44059</v>
      </c>
      <c r="D2" s="47" t="s">
        <v>141</v>
      </c>
      <c r="E2" s="48">
        <f>C2+6</f>
        <v>44065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6"/>
      <c r="T2" s="6">
        <v>44044</v>
      </c>
      <c r="U2" t="s">
        <v>147</v>
      </c>
      <c r="V2" s="7">
        <v>103000000</v>
      </c>
    </row>
    <row r="3" spans="1:22" ht="19" customHeight="1" x14ac:dyDescent="0.45">
      <c r="B3" s="42" t="s">
        <v>133</v>
      </c>
      <c r="C3" s="53" t="s">
        <v>108</v>
      </c>
      <c r="D3" s="17"/>
      <c r="E3" s="17"/>
      <c r="F3" s="31" t="str">
        <f>D7</f>
        <v>前台毛利</v>
      </c>
      <c r="G3" s="17"/>
      <c r="H3" s="32" t="str">
        <f>G7</f>
        <v>逾期金额</v>
      </c>
      <c r="I3" s="17"/>
      <c r="J3" s="32" t="str">
        <f>F7</f>
        <v>成交额</v>
      </c>
      <c r="K3" s="17"/>
      <c r="L3" s="32" t="str">
        <f>J7</f>
        <v>成交人数</v>
      </c>
      <c r="M3" s="17"/>
      <c r="N3" s="32" t="str">
        <f>'8月成交数据'!P1</f>
        <v>注册人数</v>
      </c>
      <c r="O3" s="17"/>
      <c r="P3" s="32" t="str">
        <f>N7</f>
        <v>注册成交率</v>
      </c>
      <c r="Q3" s="33"/>
      <c r="R3" s="6"/>
      <c r="T3" s="6">
        <f>T2+1</f>
        <v>44045</v>
      </c>
      <c r="U3" t="s">
        <v>34</v>
      </c>
      <c r="V3" s="7">
        <v>65000000</v>
      </c>
    </row>
    <row r="4" spans="1:22" ht="19" customHeight="1" x14ac:dyDescent="0.45">
      <c r="B4" s="43" t="s">
        <v>143</v>
      </c>
      <c r="C4" s="34" cm="1">
        <f t="array" ref="C4">_xlfn.IFS(C3=U2,V2,C3="东部战区",V3,C3="西部战区",V4,C3="南部战区",V5,C3="北部战区",V6)</f>
        <v>65000000</v>
      </c>
      <c r="D4" s="35">
        <f>IF($C$3="总和",SUMIFS('8月成交数据'!$F:$F,'8月成交数据'!$A:$A,"&gt;="&amp;EOMONTH(B8,-1)+1,'8月成交数据'!$A:$A,"&lt;="&amp;B14),SUMIFS('8月成交数据'!$F:$F,'8月成交数据'!$A:$A,"&gt;="&amp;EOMONTH(B8,-1)+1,'8月成交数据'!$A:$A,"&lt;="&amp;B14,'8月成交数据'!$C:$C,$C$3))/C4</f>
        <v>0.58182390769230774</v>
      </c>
      <c r="E4" s="19">
        <f>D4-1</f>
        <v>-0.41817609230769226</v>
      </c>
      <c r="F4" s="36">
        <f>D15</f>
        <v>28052.160000000011</v>
      </c>
      <c r="G4" s="34"/>
      <c r="H4" s="36">
        <f>G15</f>
        <v>180040</v>
      </c>
      <c r="I4" s="34"/>
      <c r="J4" s="36">
        <f>F15</f>
        <v>13899978</v>
      </c>
      <c r="K4" s="34"/>
      <c r="L4" s="36">
        <f>K15</f>
        <v>197647</v>
      </c>
      <c r="M4" s="34"/>
      <c r="N4" s="36">
        <f>V15</f>
        <v>355321</v>
      </c>
      <c r="O4" s="34"/>
      <c r="P4" s="37">
        <f>N15</f>
        <v>0.29723264315928416</v>
      </c>
      <c r="Q4" s="38"/>
      <c r="R4" s="6"/>
      <c r="T4" s="6">
        <f t="shared" ref="T4:T32" si="0">T3+1</f>
        <v>44046</v>
      </c>
      <c r="U4" t="s">
        <v>36</v>
      </c>
      <c r="V4" s="7">
        <v>13000000</v>
      </c>
    </row>
    <row r="5" spans="1:22" ht="19" customHeight="1" x14ac:dyDescent="0.45">
      <c r="B5" s="44" t="s">
        <v>144</v>
      </c>
      <c r="C5" s="21">
        <f>C4/4</f>
        <v>16250000</v>
      </c>
      <c r="D5" s="39">
        <f>F15/C5</f>
        <v>0.85538326153846156</v>
      </c>
      <c r="E5" s="22">
        <f>D5-1</f>
        <v>-0.14461673846153844</v>
      </c>
      <c r="F5" s="40">
        <f>D26</f>
        <v>-15028.859999999986</v>
      </c>
      <c r="G5" s="22">
        <f>F4/F5-1</f>
        <v>-2.8665527525041847</v>
      </c>
      <c r="H5" s="40">
        <f>G26</f>
        <v>160001</v>
      </c>
      <c r="I5" s="22">
        <f>H4/H5-1</f>
        <v>0.12524296723145478</v>
      </c>
      <c r="J5" s="40">
        <f>F26</f>
        <v>11147612</v>
      </c>
      <c r="K5" s="22">
        <f>J4/J5-1</f>
        <v>0.2469018476782292</v>
      </c>
      <c r="L5" s="40">
        <f>J26</f>
        <v>101135</v>
      </c>
      <c r="M5" s="22">
        <f>L4/L5</f>
        <v>1.9542888218717556</v>
      </c>
      <c r="N5" s="40">
        <f>V26</f>
        <v>338347</v>
      </c>
      <c r="O5" s="22">
        <f>N4/N5-1</f>
        <v>5.0167431660395945E-2</v>
      </c>
      <c r="P5" s="41">
        <f>N26</f>
        <v>0.29890910810499283</v>
      </c>
      <c r="Q5" s="23">
        <f>P4/P5-1</f>
        <v>-5.6086111137162442E-3</v>
      </c>
      <c r="R5" s="6"/>
      <c r="T5" s="6">
        <f t="shared" si="0"/>
        <v>44047</v>
      </c>
      <c r="U5" t="s">
        <v>37</v>
      </c>
      <c r="V5" s="7">
        <v>5000000</v>
      </c>
    </row>
    <row r="6" spans="1:22" ht="19" customHeight="1" x14ac:dyDescent="0.45">
      <c r="B6" s="14" t="s">
        <v>166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6"/>
      <c r="T6" s="6">
        <f t="shared" si="0"/>
        <v>44048</v>
      </c>
      <c r="U6" t="s">
        <v>35</v>
      </c>
      <c r="V6" s="7">
        <v>20000000</v>
      </c>
    </row>
    <row r="7" spans="1:22" ht="19" customHeight="1" x14ac:dyDescent="0.45">
      <c r="B7" s="49" t="s">
        <v>0</v>
      </c>
      <c r="C7" s="49" t="s">
        <v>148</v>
      </c>
      <c r="D7" s="50" t="s">
        <v>165</v>
      </c>
      <c r="E7" s="51" t="s">
        <v>164</v>
      </c>
      <c r="F7" s="51" t="s">
        <v>155</v>
      </c>
      <c r="G7" s="51" t="s">
        <v>4</v>
      </c>
      <c r="H7" s="51" t="s">
        <v>160</v>
      </c>
      <c r="I7" s="51" t="s">
        <v>161</v>
      </c>
      <c r="J7" s="51" t="s">
        <v>156</v>
      </c>
      <c r="K7" s="51" t="s">
        <v>150</v>
      </c>
      <c r="L7" s="51" t="str">
        <f>'8月成交数据'!R1</f>
        <v>戳额人数</v>
      </c>
      <c r="M7" s="51" t="s">
        <v>138</v>
      </c>
      <c r="N7" s="51" t="s">
        <v>158</v>
      </c>
      <c r="O7" s="51" t="s">
        <v>157</v>
      </c>
      <c r="P7" s="51" t="s">
        <v>153</v>
      </c>
      <c r="Q7" s="52" t="s">
        <v>152</v>
      </c>
      <c r="R7" s="6"/>
      <c r="V7" t="str">
        <f>'8月成交数据'!P1</f>
        <v>注册人数</v>
      </c>
    </row>
    <row r="8" spans="1:22" ht="19" customHeight="1" x14ac:dyDescent="0.45">
      <c r="B8" s="29">
        <f>C2</f>
        <v>44059</v>
      </c>
      <c r="C8" s="30">
        <f>B8</f>
        <v>44059</v>
      </c>
      <c r="D8" s="18">
        <f>E8-H8-I8-G8</f>
        <v>5210.320000000007</v>
      </c>
      <c r="E8" s="18">
        <f>IF($C$3="总和",SUMIFS('8月成交数据'!$G:$G,'8月成交数据'!$A:$A,$B8),SUMIFS('8月成交数据'!$G:$G,'8月成交数据'!$A:$A,$B8,'8月成交数据'!$C:$C,$C$3))</f>
        <v>140871</v>
      </c>
      <c r="F8" s="18">
        <f>IF($C$3="总和",SUMIFS('8月成交数据'!$F:$F,'8月成交数据'!$A:$A,$B8),SUMIFS('8月成交数据'!$F:$F,'8月成交数据'!$A:$A,$B8,'8月成交数据'!$C:$C,$C$3))</f>
        <v>2058356</v>
      </c>
      <c r="G8" s="18">
        <f>IF($C$3="总和",SUMIFS('8月成交数据'!$H:$H,'8月成交数据'!$A:$A,$B8),SUMIFS('8月成交数据'!$H:$H,'8月成交数据'!$A:$A,$B8,'8月成交数据'!$C:$C,$C$3))</f>
        <v>49808</v>
      </c>
      <c r="H8" s="18">
        <f t="shared" ref="H8:H14" si="1">F8*0.03</f>
        <v>61750.68</v>
      </c>
      <c r="I8" s="18">
        <f t="shared" ref="I8:I14" si="2">V8*0.5</f>
        <v>24102</v>
      </c>
      <c r="J8" s="18">
        <f>IF($C$3="总和",SUMIFS('8月成交数据'!$T:$T,'8月成交数据'!$A:$A,$B8),SUMIFS('8月成交数据'!$T:$T,'8月成交数据'!$A:$A,$B8,'8月成交数据'!$C:$C,$C$3))</f>
        <v>14549</v>
      </c>
      <c r="K8" s="18">
        <f>IF($C$3="总和",SUMIFS('8月成交数据'!$S:$S,'8月成交数据'!$A:$A,$B8),SUMIFS('8月成交数据'!$S:$S,'8月成交数据'!$A:$A,$B8,'8月成交数据'!$C:$C,$C$3))</f>
        <v>26763</v>
      </c>
      <c r="L8" s="18">
        <f>IF($C$3="总和",SUMIFS('8月成交数据'!$R:$R,'8月成交数据'!$A:$A,$B8),SUMIFS('8月成交数据'!$R:$R,'8月成交数据'!$A:$A,$B8,'8月成交数据'!$C:$C,$C$3))</f>
        <v>44676</v>
      </c>
      <c r="M8" s="18">
        <f>IF($C$3="总和",SUMIFS('8月成交数据'!$P:$P,'8月成交数据'!A:A,$B8),SUMIFS('8月成交数据'!$P:$P,'8月成交数据'!$A:$A,$B8,'8月成交数据'!$C:$C,$C$3))</f>
        <v>48204</v>
      </c>
      <c r="N8" s="19">
        <f>J8/V8</f>
        <v>0.30182142560783337</v>
      </c>
      <c r="O8" s="19">
        <f t="shared" ref="O8:P15" si="3">J8/K8</f>
        <v>0.54362365952994807</v>
      </c>
      <c r="P8" s="19">
        <f t="shared" si="3"/>
        <v>0.59904646790222937</v>
      </c>
      <c r="Q8" s="20">
        <f t="shared" ref="Q8:Q15" si="4">L8/V8</f>
        <v>0.92681105302464528</v>
      </c>
      <c r="R8" s="6"/>
      <c r="S8" s="8"/>
      <c r="V8">
        <f>IF($C$3="总和",SUMIFS('8月成交数据'!$P:$P,'8月成交数据'!A:A,$B8),SUMIFS('8月成交数据'!$P:$P,'8月成交数据'!$A:$A,$B8,'8月成交数据'!$C:$C,$C$3))</f>
        <v>48204</v>
      </c>
    </row>
    <row r="9" spans="1:22" ht="19" customHeight="1" x14ac:dyDescent="0.45">
      <c r="B9" s="29">
        <f>B8+1</f>
        <v>44060</v>
      </c>
      <c r="C9" s="30">
        <f t="shared" ref="C9:C14" si="5">B9</f>
        <v>44060</v>
      </c>
      <c r="D9" s="18">
        <f t="shared" ref="D9:D14" si="6">E9-H9-I9-G9</f>
        <v>7079.9000000000015</v>
      </c>
      <c r="E9" s="18">
        <f>IF($C$3="总和",SUMIFS('8月成交数据'!$G:$G,'8月成交数据'!$A:$A,$B9),SUMIFS('8月成交数据'!$G:$G,'8月成交数据'!$A:$A,$B9,'8月成交数据'!$C:$C,$C$3))</f>
        <v>94768</v>
      </c>
      <c r="F9" s="18">
        <f>IF($C$3="总和",SUMIFS('8月成交数据'!$F:$F,'8月成交数据'!$A:$A,$B9),SUMIFS('8月成交数据'!$F:$F,'8月成交数据'!$A:$A,$B9,'8月成交数据'!$C:$C,$C$3))</f>
        <v>1944020</v>
      </c>
      <c r="G9" s="18">
        <f>IF($C$3="总和",SUMIFS('8月成交数据'!$H:$H,'8月成交数据'!$A:$A,$B9),SUMIFS('8月成交数据'!$H:$H,'8月成交数据'!$A:$A,$B9,'8月成交数据'!$C:$C,$C$3))</f>
        <v>3811</v>
      </c>
      <c r="H9" s="18">
        <f t="shared" si="1"/>
        <v>58320.6</v>
      </c>
      <c r="I9" s="18">
        <f t="shared" si="2"/>
        <v>25556.5</v>
      </c>
      <c r="J9" s="18">
        <f>IF($C$3="总和",SUMIFS('8月成交数据'!$T:$T,'8月成交数据'!$A:$A,$B9),SUMIFS('8月成交数据'!$T:$T,'8月成交数据'!$A:$A,$B9,'8月成交数据'!$C:$C,$C$3))</f>
        <v>15086</v>
      </c>
      <c r="K9" s="18">
        <f>IF($C$3="总和",SUMIFS('8月成交数据'!$S:$S,'8月成交数据'!$A:$A,$B9),SUMIFS('8月成交数据'!$S:$S,'8月成交数据'!$A:$A,$B9,'8月成交数据'!$C:$C,$C$3))</f>
        <v>28423</v>
      </c>
      <c r="L9" s="18">
        <f>IF($C$3="总和",SUMIFS('8月成交数据'!$R:$R,'8月成交数据'!$A:$A,$B9),SUMIFS('8月成交数据'!$R:$R,'8月成交数据'!$A:$A,$B9,'8月成交数据'!$C:$C,$C$3))</f>
        <v>47479</v>
      </c>
      <c r="M9" s="18">
        <f>IF($C$3="总和",SUMIFS('8月成交数据'!$P:$P,'8月成交数据'!A:A,$B9),SUMIFS('8月成交数据'!$P:$P,'8月成交数据'!$A:$A,$B9,'8月成交数据'!$C:$C,$C$3))</f>
        <v>51113</v>
      </c>
      <c r="N9" s="19">
        <f t="shared" ref="N9:N15" si="7">J9/V9</f>
        <v>0.29514996184923603</v>
      </c>
      <c r="O9" s="19">
        <f t="shared" si="3"/>
        <v>0.53076733631214157</v>
      </c>
      <c r="P9" s="19">
        <f t="shared" si="3"/>
        <v>0.59864361085953788</v>
      </c>
      <c r="Q9" s="20">
        <f t="shared" si="4"/>
        <v>0.92890262751159192</v>
      </c>
      <c r="R9" s="6"/>
      <c r="S9" s="8"/>
      <c r="V9">
        <f>IF($C$3="总和",SUMIFS('8月成交数据'!$P:$P,'8月成交数据'!A:A,$B9),SUMIFS('8月成交数据'!$P:$P,'8月成交数据'!$A:$A,$B9,'8月成交数据'!$C:$C,$C$3))</f>
        <v>51113</v>
      </c>
    </row>
    <row r="10" spans="1:22" ht="19" customHeight="1" x14ac:dyDescent="0.45">
      <c r="B10" s="29">
        <f t="shared" ref="B10:B13" si="8">B9+1</f>
        <v>44061</v>
      </c>
      <c r="C10" s="30">
        <f t="shared" si="5"/>
        <v>44061</v>
      </c>
      <c r="D10" s="18">
        <f t="shared" si="6"/>
        <v>-3908.8600000000006</v>
      </c>
      <c r="E10" s="18">
        <f>IF($C$3="总和",SUMIFS('8月成交数据'!$G:$G,'8月成交数据'!$A:$A,$B10),SUMIFS('8月成交数据'!$G:$G,'8月成交数据'!$A:$A,$B10,'8月成交数据'!$C:$C,$C$3))</f>
        <v>55733</v>
      </c>
      <c r="F10" s="18">
        <f>IF($C$3="总和",SUMIFS('8月成交数据'!$F:$F,'8月成交数据'!$A:$A,$B10),SUMIFS('8月成交数据'!$F:$F,'8月成交数据'!$A:$A,$B10,'8月成交数据'!$C:$C,$C$3))</f>
        <v>1093712</v>
      </c>
      <c r="G10" s="18">
        <f>IF($C$3="总和",SUMIFS('8月成交数据'!$H:$H,'8月成交数据'!$A:$A,$B10),SUMIFS('8月成交数据'!$H:$H,'8月成交数据'!$A:$A,$B10,'8月成交数据'!$C:$C,$C$3))</f>
        <v>4004</v>
      </c>
      <c r="H10" s="18">
        <f t="shared" si="1"/>
        <v>32811.360000000001</v>
      </c>
      <c r="I10" s="18">
        <f t="shared" si="2"/>
        <v>22826.5</v>
      </c>
      <c r="J10" s="18">
        <f>IF($C$3="总和",SUMIFS('8月成交数据'!$T:$T,'8月成交数据'!$A:$A,$B10),SUMIFS('8月成交数据'!$T:$T,'8月成交数据'!$A:$A,$B10,'8月成交数据'!$C:$C,$C$3))</f>
        <v>13633</v>
      </c>
      <c r="K10" s="18">
        <f>IF($C$3="总和",SUMIFS('8月成交数据'!$S:$S,'8月成交数据'!$A:$A,$B10),SUMIFS('8月成交数据'!$S:$S,'8月成交数据'!$A:$A,$B10,'8月成交数据'!$C:$C,$C$3))</f>
        <v>25292</v>
      </c>
      <c r="L10" s="18">
        <f>IF($C$3="总和",SUMIFS('8月成交数据'!$R:$R,'8月成交数据'!$A:$A,$B10),SUMIFS('8月成交数据'!$R:$R,'8月成交数据'!$A:$A,$B10,'8月成交数据'!$C:$C,$C$3))</f>
        <v>42395</v>
      </c>
      <c r="M10" s="18">
        <f>IF($C$3="总和",SUMIFS('8月成交数据'!$P:$P,'8月成交数据'!A:A,$B10),SUMIFS('8月成交数据'!$P:$P,'8月成交数据'!$A:$A,$B10,'8月成交数据'!$C:$C,$C$3))</f>
        <v>45653</v>
      </c>
      <c r="N10" s="19">
        <f t="shared" si="7"/>
        <v>0.2986222154075307</v>
      </c>
      <c r="O10" s="19">
        <f t="shared" si="3"/>
        <v>0.53902419737466389</v>
      </c>
      <c r="P10" s="19">
        <f t="shared" si="3"/>
        <v>0.59657978535204625</v>
      </c>
      <c r="Q10" s="20">
        <f t="shared" si="4"/>
        <v>0.92863557707051014</v>
      </c>
      <c r="R10" s="6"/>
      <c r="S10" s="8"/>
      <c r="V10">
        <f>IF($C$3="总和",SUMIFS('8月成交数据'!$P:$P,'8月成交数据'!A:A,$B10),SUMIFS('8月成交数据'!$P:$P,'8月成交数据'!$A:$A,$B10,'8月成交数据'!$C:$C,$C$3))</f>
        <v>45653</v>
      </c>
    </row>
    <row r="11" spans="1:22" ht="19" customHeight="1" x14ac:dyDescent="0.45">
      <c r="B11" s="29">
        <f t="shared" si="8"/>
        <v>44062</v>
      </c>
      <c r="C11" s="30">
        <f t="shared" si="5"/>
        <v>44062</v>
      </c>
      <c r="D11" s="18">
        <f t="shared" si="6"/>
        <v>10635.11</v>
      </c>
      <c r="E11" s="18">
        <f>IF($C$3="总和",SUMIFS('8月成交数据'!$G:$G,'8月成交数据'!$A:$A,$B11),SUMIFS('8月成交数据'!$G:$G,'8月成交数据'!$A:$A,$B11,'8月成交数据'!$C:$C,$C$3))</f>
        <v>134876</v>
      </c>
      <c r="F11" s="18">
        <f>IF($C$3="总和",SUMIFS('8月成交数据'!$F:$F,'8月成交数据'!$A:$A,$B11),SUMIFS('8月成交数据'!$F:$F,'8月成交数据'!$A:$A,$B11,'8月成交数据'!$C:$C,$C$3))</f>
        <v>2155313</v>
      </c>
      <c r="G11" s="18">
        <f>IF($C$3="总和",SUMIFS('8月成交数据'!$H:$H,'8月成交数据'!$A:$A,$B11),SUMIFS('8月成交数据'!$H:$H,'8月成交数据'!$A:$A,$B11,'8月成交数据'!$C:$C,$C$3))</f>
        <v>33964</v>
      </c>
      <c r="H11" s="18">
        <f t="shared" si="1"/>
        <v>64659.39</v>
      </c>
      <c r="I11" s="18">
        <f t="shared" si="2"/>
        <v>25617.5</v>
      </c>
      <c r="J11" s="18">
        <f>IF($C$3="总和",SUMIFS('8月成交数据'!$T:$T,'8月成交数据'!$A:$A,$B11),SUMIFS('8月成交数据'!$T:$T,'8月成交数据'!$A:$A,$B11,'8月成交数据'!$C:$C,$C$3))</f>
        <v>15115</v>
      </c>
      <c r="K11" s="18">
        <f>IF($C$3="总和",SUMIFS('8月成交数据'!$S:$S,'8月成交数据'!$A:$A,$B11),SUMIFS('8月成交数据'!$S:$S,'8月成交数据'!$A:$A,$B11,'8月成交数据'!$C:$C,$C$3))</f>
        <v>28524</v>
      </c>
      <c r="L11" s="18">
        <f>IF($C$3="总和",SUMIFS('8月成交数据'!$R:$R,'8月成交数据'!$A:$A,$B11),SUMIFS('8月成交数据'!$R:$R,'8月成交数据'!$A:$A,$B11,'8月成交数据'!$C:$C,$C$3))</f>
        <v>47565</v>
      </c>
      <c r="M11" s="18">
        <f>IF($C$3="总和",SUMIFS('8月成交数据'!$P:$P,'8月成交数据'!A:A,$B11),SUMIFS('8月成交数据'!$P:$P,'8月成交数据'!$A:$A,$B11,'8月成交数据'!$C:$C,$C$3))</f>
        <v>51235</v>
      </c>
      <c r="N11" s="19">
        <f t="shared" si="7"/>
        <v>0.29501317458768422</v>
      </c>
      <c r="O11" s="19">
        <f t="shared" si="3"/>
        <v>0.52990464170523066</v>
      </c>
      <c r="P11" s="19">
        <f t="shared" si="3"/>
        <v>0.59968464206874805</v>
      </c>
      <c r="Q11" s="20">
        <f t="shared" si="4"/>
        <v>0.92836927881331122</v>
      </c>
      <c r="R11" s="6"/>
      <c r="S11" s="8"/>
      <c r="V11">
        <f>IF($C$3="总和",SUMIFS('8月成交数据'!$P:$P,'8月成交数据'!A:A,$B11),SUMIFS('8月成交数据'!$P:$P,'8月成交数据'!$A:$A,$B11,'8月成交数据'!$C:$C,$C$3))</f>
        <v>51235</v>
      </c>
    </row>
    <row r="12" spans="1:22" ht="19" customHeight="1" x14ac:dyDescent="0.45">
      <c r="B12" s="29">
        <f t="shared" si="8"/>
        <v>44063</v>
      </c>
      <c r="C12" s="30">
        <f t="shared" si="5"/>
        <v>44063</v>
      </c>
      <c r="D12" s="18">
        <f t="shared" si="6"/>
        <v>19865.97</v>
      </c>
      <c r="E12" s="18">
        <f>IF($C$3="总和",SUMIFS('8月成交数据'!$G:$G,'8月成交数据'!$A:$A,$B12),SUMIFS('8月成交数据'!$G:$G,'8月成交数据'!$A:$A,$B12,'8月成交数据'!$C:$C,$C$3))</f>
        <v>110457</v>
      </c>
      <c r="F12" s="18">
        <f>IF($C$3="总和",SUMIFS('8月成交数据'!$F:$F,'8月成交数据'!$A:$A,$B12),SUMIFS('8月成交数据'!$F:$F,'8月成交数据'!$A:$A,$B12,'8月成交数据'!$C:$C,$C$3))</f>
        <v>2041301</v>
      </c>
      <c r="G12" s="18">
        <f>IF($C$3="总和",SUMIFS('8月成交数据'!$H:$H,'8月成交数据'!$A:$A,$B12),SUMIFS('8月成交数据'!$H:$H,'8月成交数据'!$A:$A,$B12,'8月成交数据'!$C:$C,$C$3))</f>
        <v>3099</v>
      </c>
      <c r="H12" s="18">
        <f t="shared" si="1"/>
        <v>61239.03</v>
      </c>
      <c r="I12" s="18">
        <f t="shared" si="2"/>
        <v>26253</v>
      </c>
      <c r="J12" s="18">
        <f>IF($C$3="总和",SUMIFS('8月成交数据'!$T:$T,'8月成交数据'!$A:$A,$B12),SUMIFS('8月成交数据'!$T:$T,'8月成交数据'!$A:$A,$B12,'8月成交数据'!$C:$C,$C$3))</f>
        <v>15561</v>
      </c>
      <c r="K12" s="18">
        <f>IF($C$3="总和",SUMIFS('8月成交数据'!$S:$S,'8月成交数据'!$A:$A,$B12),SUMIFS('8月成交数据'!$S:$S,'8月成交数据'!$A:$A,$B12,'8月成交数据'!$C:$C,$C$3))</f>
        <v>29219</v>
      </c>
      <c r="L12" s="18">
        <f>IF($C$3="总和",SUMIFS('8月成交数据'!$R:$R,'8月成交数据'!$A:$A,$B12),SUMIFS('8月成交数据'!$R:$R,'8月成交数据'!$A:$A,$B12,'8月成交数据'!$C:$C,$C$3))</f>
        <v>48717</v>
      </c>
      <c r="M12" s="18">
        <f>IF($C$3="总和",SUMIFS('8月成交数据'!$P:$P,'8月成交数据'!A:A,$B12),SUMIFS('8月成交数据'!$P:$P,'8月成交数据'!$A:$A,$B12,'8月成交数据'!$C:$C,$C$3))</f>
        <v>52506</v>
      </c>
      <c r="N12" s="19">
        <f t="shared" si="7"/>
        <v>0.29636612958519026</v>
      </c>
      <c r="O12" s="19">
        <f t="shared" si="3"/>
        <v>0.53256442725623743</v>
      </c>
      <c r="P12" s="19">
        <f t="shared" si="3"/>
        <v>0.59977010078617321</v>
      </c>
      <c r="Q12" s="20">
        <f t="shared" si="4"/>
        <v>0.92783681864929723</v>
      </c>
      <c r="R12" s="6"/>
      <c r="S12" s="8"/>
      <c r="V12">
        <f>IF($C$3="总和",SUMIFS('8月成交数据'!$P:$P,'8月成交数据'!A:A,$B12),SUMIFS('8月成交数据'!$P:$P,'8月成交数据'!$A:$A,$B12,'8月成交数据'!$C:$C,$C$3))</f>
        <v>52506</v>
      </c>
    </row>
    <row r="13" spans="1:22" ht="19" customHeight="1" x14ac:dyDescent="0.45">
      <c r="B13" s="29">
        <f t="shared" si="8"/>
        <v>44064</v>
      </c>
      <c r="C13" s="30">
        <f t="shared" si="5"/>
        <v>44064</v>
      </c>
      <c r="D13" s="18">
        <f t="shared" si="6"/>
        <v>-3964.3300000000017</v>
      </c>
      <c r="E13" s="18">
        <f>IF($C$3="总和",SUMIFS('8月成交数据'!$G:$G,'8月成交数据'!$A:$A,$B13),SUMIFS('8月成交数据'!$G:$G,'8月成交数据'!$A:$A,$B13,'8月成交数据'!$C:$C,$C$3))</f>
        <v>121901</v>
      </c>
      <c r="F13" s="18">
        <f>IF($C$3="总和",SUMIFS('8月成交数据'!$F:$F,'8月成交数据'!$A:$A,$B13),SUMIFS('8月成交数据'!$F:$F,'8月成交数据'!$A:$A,$B13,'8月成交数据'!$C:$C,$C$3))</f>
        <v>2369311</v>
      </c>
      <c r="G13" s="18">
        <f>IF($C$3="总和",SUMIFS('8月成交数据'!$H:$H,'8月成交数据'!$A:$A,$B13),SUMIFS('8月成交数据'!$H:$H,'8月成交数据'!$A:$A,$B13,'8月成交数据'!$C:$C,$C$3))</f>
        <v>28301</v>
      </c>
      <c r="H13" s="18">
        <f t="shared" si="1"/>
        <v>71079.33</v>
      </c>
      <c r="I13" s="18">
        <f t="shared" si="2"/>
        <v>26485</v>
      </c>
      <c r="J13" s="18">
        <f>IF($C$3="总和",SUMIFS('8月成交数据'!$T:$T,'8月成交数据'!$A:$A,$B13),SUMIFS('8月成交数据'!$T:$T,'8月成交数据'!$A:$A,$B13,'8月成交数据'!$C:$C,$C$3))</f>
        <v>15772</v>
      </c>
      <c r="K13" s="18">
        <f>IF($C$3="总和",SUMIFS('8月成交数据'!$S:$S,'8月成交数据'!$A:$A,$B13),SUMIFS('8月成交数据'!$S:$S,'8月成交数据'!$A:$A,$B13,'8月成交数据'!$C:$C,$C$3))</f>
        <v>29498</v>
      </c>
      <c r="L13" s="18">
        <f>IF($C$3="总和",SUMIFS('8月成交数据'!$R:$R,'8月成交数据'!$A:$A,$B13),SUMIFS('8月成交数据'!$R:$R,'8月成交数据'!$A:$A,$B13,'8月成交数据'!$C:$C,$C$3))</f>
        <v>49254</v>
      </c>
      <c r="M13" s="18">
        <f>IF($C$3="总和",SUMIFS('8月成交数据'!$P:$P,'8月成交数据'!A:A,$B13),SUMIFS('8月成交数据'!$P:$P,'8月成交数据'!$A:$A,$B13,'8月成交数据'!$C:$C,$C$3))</f>
        <v>52970</v>
      </c>
      <c r="N13" s="19">
        <f t="shared" si="7"/>
        <v>0.29775344534642251</v>
      </c>
      <c r="O13" s="19">
        <f t="shared" si="3"/>
        <v>0.53468031730964816</v>
      </c>
      <c r="P13" s="19">
        <f t="shared" si="3"/>
        <v>0.59889552117594513</v>
      </c>
      <c r="Q13" s="20">
        <f t="shared" si="4"/>
        <v>0.92984708325467247</v>
      </c>
      <c r="R13" s="6"/>
      <c r="S13" s="8"/>
      <c r="V13">
        <f>IF($C$3="总和",SUMIFS('8月成交数据'!$P:$P,'8月成交数据'!A:A,$B13),SUMIFS('8月成交数据'!$P:$P,'8月成交数据'!$A:$A,$B13,'8月成交数据'!$C:$C,$C$3))</f>
        <v>52970</v>
      </c>
    </row>
    <row r="14" spans="1:22" ht="19" customHeight="1" x14ac:dyDescent="0.45">
      <c r="B14" s="29">
        <f>B13+1</f>
        <v>44065</v>
      </c>
      <c r="C14" s="30">
        <f t="shared" si="5"/>
        <v>44065</v>
      </c>
      <c r="D14" s="18">
        <f t="shared" si="6"/>
        <v>-6865.9499999999971</v>
      </c>
      <c r="E14" s="18">
        <f>IF($C$3="总和",SUMIFS('8月成交数据'!$G:$G,'8月成交数据'!$A:$A,$B14),SUMIFS('8月成交数据'!$G:$G,'8月成交数据'!$A:$A,$B14,'8月成交数据'!$C:$C,$C$3))</f>
        <v>144146</v>
      </c>
      <c r="F14" s="18">
        <f>IF($C$3="总和",SUMIFS('8月成交数据'!$F:$F,'8月成交数据'!$A:$A,$B14),SUMIFS('8月成交数据'!$F:$F,'8月成交数据'!$A:$A,$B14,'8月成交数据'!$C:$C,$C$3))</f>
        <v>2237965</v>
      </c>
      <c r="G14" s="18">
        <f>IF($C$3="总和",SUMIFS('8月成交数据'!$H:$H,'8月成交数据'!$A:$A,$B14),SUMIFS('8月成交数据'!$H:$H,'8月成交数据'!$A:$A,$B14,'8月成交数据'!$C:$C,$C$3))</f>
        <v>57053</v>
      </c>
      <c r="H14" s="18">
        <f t="shared" si="1"/>
        <v>67138.95</v>
      </c>
      <c r="I14" s="18">
        <f t="shared" si="2"/>
        <v>26820</v>
      </c>
      <c r="J14" s="18">
        <f>IF($C$3="总和",SUMIFS('8月成交数据'!$T:$T,'8月成交数据'!$A:$A,$B14),SUMIFS('8月成交数据'!$T:$T,'8月成交数据'!$A:$A,$B14,'8月成交数据'!$C:$C,$C$3))</f>
        <v>15897</v>
      </c>
      <c r="K14" s="18">
        <f>IF($C$3="总和",SUMIFS('8月成交数据'!$S:$S,'8月成交数据'!$A:$A,$B14),SUMIFS('8月成交数据'!$S:$S,'8月成交数据'!$A:$A,$B14,'8月成交数据'!$C:$C,$C$3))</f>
        <v>29928</v>
      </c>
      <c r="L14" s="18">
        <f>IF($C$3="总和",SUMIFS('8月成交数据'!$R:$R,'8月成交数据'!$A:$A,$B14),SUMIFS('8月成交数据'!$R:$R,'8月成交数据'!$A:$A,$B14,'8月成交数据'!$C:$C,$C$3))</f>
        <v>49785</v>
      </c>
      <c r="M14" s="18">
        <f>IF($C$3="总和",SUMIFS('8月成交数据'!$P:$P,'8月成交数据'!A:A,$B14),SUMIFS('8月成交数据'!$P:$P,'8月成交数据'!$A:$A,$B14,'8月成交数据'!$C:$C,$C$3))</f>
        <v>53640</v>
      </c>
      <c r="N14" s="19">
        <f t="shared" si="7"/>
        <v>0.29636465324384786</v>
      </c>
      <c r="O14" s="19">
        <f t="shared" si="3"/>
        <v>0.53117481956696067</v>
      </c>
      <c r="P14" s="19">
        <f t="shared" si="3"/>
        <v>0.60114492316962942</v>
      </c>
      <c r="Q14" s="20">
        <f t="shared" si="4"/>
        <v>0.92813199105145416</v>
      </c>
      <c r="R14" s="6"/>
      <c r="S14" s="8"/>
      <c r="V14">
        <f>IF($C$3="总和",SUMIFS('8月成交数据'!$P:$P,'8月成交数据'!A:A,$B14),SUMIFS('8月成交数据'!$P:$P,'8月成交数据'!$A:$A,$B14,'8月成交数据'!$C:$C,$C$3))</f>
        <v>53640</v>
      </c>
    </row>
    <row r="15" spans="1:22" ht="19" customHeight="1" x14ac:dyDescent="0.45">
      <c r="B15" s="28" t="s">
        <v>147</v>
      </c>
      <c r="C15" s="28"/>
      <c r="D15" s="24">
        <f t="shared" ref="D15:M15" si="9">SUM(D8:D14)</f>
        <v>28052.160000000011</v>
      </c>
      <c r="E15" s="24">
        <f t="shared" si="9"/>
        <v>802752</v>
      </c>
      <c r="F15" s="24">
        <f t="shared" si="9"/>
        <v>13899978</v>
      </c>
      <c r="G15" s="24">
        <f t="shared" si="9"/>
        <v>180040</v>
      </c>
      <c r="H15" s="24">
        <f t="shared" si="9"/>
        <v>416999.34000000008</v>
      </c>
      <c r="I15" s="24">
        <f t="shared" si="9"/>
        <v>177660.5</v>
      </c>
      <c r="J15" s="24">
        <f t="shared" si="9"/>
        <v>105613</v>
      </c>
      <c r="K15" s="24">
        <f t="shared" si="9"/>
        <v>197647</v>
      </c>
      <c r="L15" s="24">
        <f t="shared" si="9"/>
        <v>329871</v>
      </c>
      <c r="M15" s="24">
        <f t="shared" si="9"/>
        <v>355321</v>
      </c>
      <c r="N15" s="25">
        <f t="shared" si="7"/>
        <v>0.29723264315928416</v>
      </c>
      <c r="O15" s="25">
        <f t="shared" si="3"/>
        <v>0.53435164712846639</v>
      </c>
      <c r="P15" s="25">
        <f t="shared" si="3"/>
        <v>0.5991645218888596</v>
      </c>
      <c r="Q15" s="26">
        <f t="shared" si="4"/>
        <v>0.92837462463518905</v>
      </c>
      <c r="R15" s="6"/>
      <c r="V15">
        <f>SUM(V8:V14)</f>
        <v>355321</v>
      </c>
    </row>
    <row r="16" spans="1:22" ht="19" customHeight="1" x14ac:dyDescent="0.45">
      <c r="B16" s="14"/>
      <c r="C16" s="14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6"/>
    </row>
    <row r="17" spans="2:22" ht="19" customHeight="1" x14ac:dyDescent="0.45">
      <c r="B17" s="14" t="s">
        <v>167</v>
      </c>
      <c r="C17" s="14"/>
      <c r="D17" s="15"/>
      <c r="E17" s="14"/>
      <c r="F17" s="14"/>
      <c r="G17" s="16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6"/>
      <c r="V17" t="s">
        <v>151</v>
      </c>
    </row>
    <row r="18" spans="2:22" ht="19" customHeight="1" x14ac:dyDescent="0.45">
      <c r="B18" s="49" t="s">
        <v>0</v>
      </c>
      <c r="C18" s="49" t="s">
        <v>0</v>
      </c>
      <c r="D18" s="50" t="s">
        <v>165</v>
      </c>
      <c r="E18" s="51" t="s">
        <v>164</v>
      </c>
      <c r="F18" s="51" t="s">
        <v>155</v>
      </c>
      <c r="G18" s="51" t="s">
        <v>4</v>
      </c>
      <c r="H18" s="51" t="s">
        <v>160</v>
      </c>
      <c r="I18" s="51" t="s">
        <v>161</v>
      </c>
      <c r="J18" s="51" t="s">
        <v>156</v>
      </c>
      <c r="K18" s="51" t="s">
        <v>150</v>
      </c>
      <c r="L18" s="51" t="str">
        <f>L7</f>
        <v>戳额人数</v>
      </c>
      <c r="M18" s="51" t="str">
        <f>M7</f>
        <v>注册人数</v>
      </c>
      <c r="N18" s="51" t="s">
        <v>158</v>
      </c>
      <c r="O18" s="51" t="s">
        <v>157</v>
      </c>
      <c r="P18" s="51" t="s">
        <v>153</v>
      </c>
      <c r="Q18" s="52" t="s">
        <v>152</v>
      </c>
      <c r="R18" s="6"/>
      <c r="V18" t="str">
        <f>V7</f>
        <v>注册人数</v>
      </c>
    </row>
    <row r="19" spans="2:22" ht="19" customHeight="1" x14ac:dyDescent="0.45">
      <c r="B19" s="29">
        <f>B8-7</f>
        <v>44052</v>
      </c>
      <c r="C19" s="30">
        <f>B19</f>
        <v>44052</v>
      </c>
      <c r="D19" s="18">
        <f t="shared" ref="D19:D25" si="10">E19-H19-I19-G19</f>
        <v>-20522.03</v>
      </c>
      <c r="E19" s="27">
        <f>IF($C$3="总和",SUMIFS('8月成交数据'!$G:$G,'8月成交数据'!$A:$A,$B19),SUMIFS('8月成交数据'!$G:$G,'8月成交数据'!$A:$A,$B19,'8月成交数据'!$C:$C,$C$3))</f>
        <v>97633</v>
      </c>
      <c r="F19" s="18">
        <f>IF($C$3="总和",SUMIFS('8月成交数据'!$F:$F,'8月成交数据'!$A:$A,$B19),SUMIFS('8月成交数据'!$F:$F,'8月成交数据'!$A:$A,$B19,'8月成交数据'!$C:$C,$C$3))</f>
        <v>1808401</v>
      </c>
      <c r="G19" s="18">
        <f>IF($C$3="总和",SUMIFS('8月成交数据'!$H:$H,'8月成交数据'!$A:$A,$B19),SUMIFS('8月成交数据'!$H:$H,'8月成交数据'!$A:$A,$B19,'8月成交数据'!$C:$C,$C$3))</f>
        <v>37555</v>
      </c>
      <c r="H19" s="18">
        <f t="shared" ref="H19:H25" si="11">F19*0.03</f>
        <v>54252.03</v>
      </c>
      <c r="I19" s="18">
        <f t="shared" ref="I19:I25" si="12">V19*0.5</f>
        <v>26348</v>
      </c>
      <c r="J19" s="18">
        <f>IF($C$3="总和",SUMIFS('8月成交数据'!$T:$T,'8月成交数据'!$A:$A,$B19),SUMIFS('8月成交数据'!$T:$T,'8月成交数据'!$A:$A,$B19,'8月成交数据'!$C:$C,$C$3))</f>
        <v>15563</v>
      </c>
      <c r="K19" s="18">
        <f>IF($C$3="总和",SUMIFS('8月成交数据'!$S:$S,'8月成交数据'!$A:$A,$B19),SUMIFS('8月成交数据'!$S:$S,'8月成交数据'!$A:$A,$B19,'8月成交数据'!$C:$C,$C$3))</f>
        <v>29382</v>
      </c>
      <c r="L19" s="18">
        <f>IF($C$3="总和",SUMIFS('8月成交数据'!$R:$R,'8月成交数据'!$A:$A,$B19),SUMIFS('8月成交数据'!$R:$R,'8月成交数据'!$A:$A,$B19,'8月成交数据'!$C:$C,$C$3))</f>
        <v>49043</v>
      </c>
      <c r="M19" s="18">
        <f>IF($C$3="总和",SUMIFS('8月成交数据'!$P:$P,'8月成交数据'!A:A,$B19),SUMIFS('8月成交数据'!$P:$P,'8月成交数据'!$A:$A,$B19,'8月成交数据'!$C:$C,$C$3))</f>
        <v>52696</v>
      </c>
      <c r="N19" s="19">
        <f t="shared" ref="N19:N26" si="13">J19/V19</f>
        <v>0.29533550933657204</v>
      </c>
      <c r="O19" s="19">
        <f t="shared" ref="O19:P26" si="14">J19/K19</f>
        <v>0.52967803417058068</v>
      </c>
      <c r="P19" s="19">
        <f t="shared" si="14"/>
        <v>0.59910690618436879</v>
      </c>
      <c r="Q19" s="20">
        <f t="shared" ref="Q19:Q26" si="15">L19/V19</f>
        <v>0.93067785031121908</v>
      </c>
      <c r="R19" s="6"/>
      <c r="S19" s="8"/>
      <c r="V19">
        <f>IF($C$3="总和",SUMIFS('8月成交数据'!$P:$P,'8月成交数据'!A:A,$B19),SUMIFS('8月成交数据'!$P:$P,'8月成交数据'!$A:$A,$B19,'8月成交数据'!$C:$C,$C$3))</f>
        <v>52696</v>
      </c>
    </row>
    <row r="20" spans="2:22" ht="19" customHeight="1" x14ac:dyDescent="0.45">
      <c r="B20" s="29">
        <f>B19+1</f>
        <v>44053</v>
      </c>
      <c r="C20" s="30">
        <f t="shared" ref="C20:C25" si="16">B20</f>
        <v>44053</v>
      </c>
      <c r="D20" s="18">
        <f t="shared" si="10"/>
        <v>-25266.41</v>
      </c>
      <c r="E20" s="18">
        <f>IF($C$3="总和",SUMIFS('8月成交数据'!$G:$G,'8月成交数据'!$A:$A,$B20),SUMIFS('8月成交数据'!$G:$G,'8月成交数据'!$A:$A,$B20,'8月成交数据'!$C:$C,$C$3))</f>
        <v>41948</v>
      </c>
      <c r="F20" s="18">
        <f>IF($C$3="总和",SUMIFS('8月成交数据'!$F:$F,'8月成交数据'!$A:$A,$B20),SUMIFS('8月成交数据'!$F:$F,'8月成交数据'!$A:$A,$B20,'8月成交数据'!$C:$C,$C$3))</f>
        <v>822347</v>
      </c>
      <c r="G20" s="18">
        <f>IF($C$3="总和",SUMIFS('8月成交数据'!$H:$H,'8月成交数据'!$A:$A,$B20),SUMIFS('8月成交数据'!$H:$H,'8月成交数据'!$A:$A,$B20,'8月成交数据'!$C:$C,$C$3))</f>
        <v>20159</v>
      </c>
      <c r="H20" s="18">
        <f t="shared" si="11"/>
        <v>24670.41</v>
      </c>
      <c r="I20" s="18">
        <f t="shared" si="12"/>
        <v>22385</v>
      </c>
      <c r="J20" s="18">
        <f>IF($C$3="总和",SUMIFS('8月成交数据'!$T:$T,'8月成交数据'!$A:$A,$B20),SUMIFS('8月成交数据'!$T:$T,'8月成交数据'!$A:$A,$B20,'8月成交数据'!$C:$C,$C$3))</f>
        <v>13494</v>
      </c>
      <c r="K20" s="18">
        <f>IF($C$3="总和",SUMIFS('8月成交数据'!$S:$S,'8月成交数据'!$A:$A,$B20),SUMIFS('8月成交数据'!$S:$S,'8月成交数据'!$A:$A,$B20,'8月成交数据'!$C:$C,$C$3))</f>
        <v>24881</v>
      </c>
      <c r="L20" s="18">
        <f>IF($C$3="总和",SUMIFS('8月成交数据'!$R:$R,'8月成交数据'!$A:$A,$B20),SUMIFS('8月成交数据'!$R:$R,'8月成交数据'!$A:$A,$B20,'8月成交数据'!$C:$C,$C$3))</f>
        <v>41784</v>
      </c>
      <c r="M20" s="18">
        <f>IF($C$3="总和",SUMIFS('8月成交数据'!$P:$P,'8月成交数据'!A:A,$B20),SUMIFS('8月成交数据'!$P:$P,'8月成交数据'!$A:$A,$B20,'8月成交数据'!$C:$C,$C$3))</f>
        <v>44770</v>
      </c>
      <c r="N20" s="19">
        <f t="shared" si="13"/>
        <v>0.30140719231628321</v>
      </c>
      <c r="O20" s="19">
        <f t="shared" si="14"/>
        <v>0.54234154575780713</v>
      </c>
      <c r="P20" s="19">
        <f t="shared" si="14"/>
        <v>0.59546716446486692</v>
      </c>
      <c r="Q20" s="20">
        <f t="shared" si="15"/>
        <v>0.9333035514853697</v>
      </c>
      <c r="R20" s="6"/>
      <c r="S20" s="8"/>
      <c r="V20">
        <f>IF($C$3="总和",SUMIFS('8月成交数据'!$P:$P,'8月成交数据'!A:A,$B20),SUMIFS('8月成交数据'!$P:$P,'8月成交数据'!$A:$A,$B20,'8月成交数据'!$C:$C,$C$3))</f>
        <v>44770</v>
      </c>
    </row>
    <row r="21" spans="2:22" ht="19" customHeight="1" x14ac:dyDescent="0.45">
      <c r="B21" s="29">
        <f t="shared" ref="B21:B24" si="17">B20+1</f>
        <v>44054</v>
      </c>
      <c r="C21" s="30">
        <f t="shared" si="16"/>
        <v>44054</v>
      </c>
      <c r="D21" s="18">
        <f t="shared" si="10"/>
        <v>-6285.4399999999987</v>
      </c>
      <c r="E21" s="18">
        <f>IF($C$3="总和",SUMIFS('8月成交数据'!$G:$G,'8月成交数据'!$A:$A,$B21),SUMIFS('8月成交数据'!$G:$G,'8月成交数据'!$A:$A,$B21,'8月成交数据'!$C:$C,$C$3))</f>
        <v>43160</v>
      </c>
      <c r="F21" s="18">
        <f>IF($C$3="总和",SUMIFS('8月成交数据'!$F:$F,'8月成交数据'!$A:$A,$B21),SUMIFS('8月成交数据'!$F:$F,'8月成交数据'!$A:$A,$B21,'8月成交数据'!$C:$C,$C$3))</f>
        <v>937698</v>
      </c>
      <c r="G21" s="18">
        <f>IF($C$3="总和",SUMIFS('8月成交数据'!$H:$H,'8月成交数据'!$A:$A,$B21),SUMIFS('8月成交数据'!$H:$H,'8月成交数据'!$A:$A,$B21,'8月成交数据'!$C:$C,$C$3))</f>
        <v>1252</v>
      </c>
      <c r="H21" s="18">
        <f t="shared" si="11"/>
        <v>28130.94</v>
      </c>
      <c r="I21" s="18">
        <f t="shared" si="12"/>
        <v>20062.5</v>
      </c>
      <c r="J21" s="18">
        <f>IF($C$3="总和",SUMIFS('8月成交数据'!$T:$T,'8月成交数据'!$A:$A,$B21),SUMIFS('8月成交数据'!$T:$T,'8月成交数据'!$A:$A,$B21,'8月成交数据'!$C:$C,$C$3))</f>
        <v>12131</v>
      </c>
      <c r="K21" s="18">
        <f>IF($C$3="总和",SUMIFS('8月成交数据'!$S:$S,'8月成交数据'!$A:$A,$B21),SUMIFS('8月成交数据'!$S:$S,'8月成交数据'!$A:$A,$B21,'8月成交数据'!$C:$C,$C$3))</f>
        <v>22382</v>
      </c>
      <c r="L21" s="18">
        <f>IF($C$3="总和",SUMIFS('8月成交数据'!$R:$R,'8月成交数据'!$A:$A,$B21),SUMIFS('8月成交数据'!$R:$R,'8月成交数据'!$A:$A,$B21,'8月成交数据'!$C:$C,$C$3))</f>
        <v>37476</v>
      </c>
      <c r="M21" s="18">
        <f>IF($C$3="总和",SUMIFS('8月成交数据'!$P:$P,'8月成交数据'!A:A,$B21),SUMIFS('8月成交数据'!$P:$P,'8月成交数据'!$A:$A,$B21,'8月成交数据'!$C:$C,$C$3))</f>
        <v>40125</v>
      </c>
      <c r="N21" s="19">
        <f t="shared" si="13"/>
        <v>0.30233021806853583</v>
      </c>
      <c r="O21" s="19">
        <f t="shared" si="14"/>
        <v>0.54199803413457237</v>
      </c>
      <c r="P21" s="19">
        <f t="shared" si="14"/>
        <v>0.59723556409435374</v>
      </c>
      <c r="Q21" s="20">
        <f t="shared" si="15"/>
        <v>0.93398130841121496</v>
      </c>
      <c r="R21" s="6"/>
      <c r="S21" s="8"/>
      <c r="V21">
        <f>IF($C$3="总和",SUMIFS('8月成交数据'!$P:$P,'8月成交数据'!A:A,$B21),SUMIFS('8月成交数据'!$P:$P,'8月成交数据'!$A:$A,$B21,'8月成交数据'!$C:$C,$C$3))</f>
        <v>40125</v>
      </c>
    </row>
    <row r="22" spans="2:22" ht="19" customHeight="1" x14ac:dyDescent="0.45">
      <c r="B22" s="29">
        <f t="shared" si="17"/>
        <v>44055</v>
      </c>
      <c r="C22" s="30">
        <f t="shared" si="16"/>
        <v>44055</v>
      </c>
      <c r="D22" s="18">
        <f t="shared" si="10"/>
        <v>-12853.809999999998</v>
      </c>
      <c r="E22" s="18">
        <f>IF($C$3="总和",SUMIFS('8月成交数据'!$G:$G,'8月成交数据'!$A:$A,$B22),SUMIFS('8月成交数据'!$G:$G,'8月成交数据'!$A:$A,$B22,'8月成交数据'!$C:$C,$C$3))</f>
        <v>92846</v>
      </c>
      <c r="F22" s="18">
        <f>IF($C$3="总和",SUMIFS('8月成交数据'!$F:$F,'8月成交数据'!$A:$A,$B22),SUMIFS('8月成交数据'!$F:$F,'8月成交数据'!$A:$A,$B22,'8月成交数据'!$C:$C,$C$3))</f>
        <v>1880377</v>
      </c>
      <c r="G22" s="18">
        <f>IF($C$3="总和",SUMIFS('8月成交数据'!$H:$H,'8月成交数据'!$A:$A,$B22),SUMIFS('8月成交数据'!$H:$H,'8月成交数据'!$A:$A,$B22,'8月成交数据'!$C:$C,$C$3))</f>
        <v>24439</v>
      </c>
      <c r="H22" s="18">
        <f t="shared" si="11"/>
        <v>56411.31</v>
      </c>
      <c r="I22" s="18">
        <f t="shared" si="12"/>
        <v>24849.5</v>
      </c>
      <c r="J22" s="18">
        <f>IF($C$3="总和",SUMIFS('8月成交数据'!$T:$T,'8月成交数据'!$A:$A,$B22),SUMIFS('8月成交数据'!$T:$T,'8月成交数据'!$A:$A,$B22,'8月成交数据'!$C:$C,$C$3))</f>
        <v>14638</v>
      </c>
      <c r="K22" s="18">
        <f>IF($C$3="总和",SUMIFS('8月成交数据'!$S:$S,'8月成交数据'!$A:$A,$B22),SUMIFS('8月成交数据'!$S:$S,'8月成交数据'!$A:$A,$B22,'8月成交数据'!$C:$C,$C$3))</f>
        <v>27653</v>
      </c>
      <c r="L22" s="18">
        <f>IF($C$3="总和",SUMIFS('8月成交数据'!$R:$R,'8月成交数据'!$A:$A,$B22),SUMIFS('8月成交数据'!$R:$R,'8月成交数据'!$A:$A,$B22,'8月成交数据'!$C:$C,$C$3))</f>
        <v>46133</v>
      </c>
      <c r="M22" s="18">
        <f>IF($C$3="总和",SUMIFS('8月成交数据'!$P:$P,'8月成交数据'!A:A,$B22),SUMIFS('8月成交数据'!$P:$P,'8月成交数据'!$A:$A,$B22,'8月成交数据'!$C:$C,$C$3))</f>
        <v>49699</v>
      </c>
      <c r="N22" s="19">
        <f t="shared" si="13"/>
        <v>0.29453308919696575</v>
      </c>
      <c r="O22" s="19">
        <f t="shared" si="14"/>
        <v>0.52934582142986297</v>
      </c>
      <c r="P22" s="19">
        <f t="shared" si="14"/>
        <v>0.59941907094704439</v>
      </c>
      <c r="Q22" s="20">
        <f t="shared" si="15"/>
        <v>0.92824805328075011</v>
      </c>
      <c r="R22" s="6"/>
      <c r="S22" s="8"/>
      <c r="V22">
        <f>IF($C$3="总和",SUMIFS('8月成交数据'!$P:$P,'8月成交数据'!A:A,$B22),SUMIFS('8月成交数据'!$P:$P,'8月成交数据'!$A:$A,$B22,'8月成交数据'!$C:$C,$C$3))</f>
        <v>49699</v>
      </c>
    </row>
    <row r="23" spans="2:22" ht="19" customHeight="1" x14ac:dyDescent="0.45">
      <c r="B23" s="29">
        <f t="shared" si="17"/>
        <v>44056</v>
      </c>
      <c r="C23" s="30">
        <f t="shared" si="16"/>
        <v>44056</v>
      </c>
      <c r="D23" s="18">
        <f t="shared" si="10"/>
        <v>3452.3400000000038</v>
      </c>
      <c r="E23" s="18">
        <f>IF($C$3="总和",SUMIFS('8月成交数据'!$G:$G,'8月成交数据'!$A:$A,$B23),SUMIFS('8月成交数据'!$G:$G,'8月成交数据'!$A:$A,$B23,'8月成交数据'!$C:$C,$C$3))</f>
        <v>78998</v>
      </c>
      <c r="F23" s="18">
        <f>IF($C$3="总和",SUMIFS('8月成交数据'!$F:$F,'8月成交数据'!$A:$A,$B23),SUMIFS('8月成交数据'!$F:$F,'8月成交数据'!$A:$A,$B23,'8月成交数据'!$C:$C,$C$3))</f>
        <v>1501422</v>
      </c>
      <c r="G23" s="18">
        <f>IF($C$3="总和",SUMIFS('8月成交数据'!$H:$H,'8月成交数据'!$A:$A,$B23),SUMIFS('8月成交数据'!$H:$H,'8月成交数据'!$A:$A,$B23,'8月成交数据'!$C:$C,$C$3))</f>
        <v>6804</v>
      </c>
      <c r="H23" s="18">
        <f t="shared" si="11"/>
        <v>45042.659999999996</v>
      </c>
      <c r="I23" s="18">
        <f t="shared" si="12"/>
        <v>23699</v>
      </c>
      <c r="J23" s="18">
        <f>IF($C$3="总和",SUMIFS('8月成交数据'!$T:$T,'8月成交数据'!$A:$A,$B23),SUMIFS('8月成交数据'!$T:$T,'8月成交数据'!$A:$A,$B23,'8月成交数据'!$C:$C,$C$3))</f>
        <v>14260</v>
      </c>
      <c r="K23" s="18">
        <f>IF($C$3="总和",SUMIFS('8月成交数据'!$S:$S,'8月成交数据'!$A:$A,$B23),SUMIFS('8月成交数据'!$S:$S,'8月成交数据'!$A:$A,$B23,'8月成交数据'!$C:$C,$C$3))</f>
        <v>26297</v>
      </c>
      <c r="L23" s="18">
        <f>IF($C$3="总和",SUMIFS('8月成交数据'!$R:$R,'8月成交数据'!$A:$A,$B23),SUMIFS('8月成交数据'!$R:$R,'8月成交数据'!$A:$A,$B23,'8月成交数据'!$C:$C,$C$3))</f>
        <v>44053</v>
      </c>
      <c r="M23" s="18">
        <f>IF($C$3="总和",SUMIFS('8月成交数据'!$P:$P,'8月成交数据'!A:A,$B23),SUMIFS('8月成交数据'!$P:$P,'8月成交数据'!$A:$A,$B23,'8月成交数据'!$C:$C,$C$3))</f>
        <v>47398</v>
      </c>
      <c r="N23" s="19">
        <f t="shared" si="13"/>
        <v>0.30085657622684503</v>
      </c>
      <c r="O23" s="19">
        <f t="shared" si="14"/>
        <v>0.54226717876563868</v>
      </c>
      <c r="P23" s="19">
        <f t="shared" si="14"/>
        <v>0.59694004948584656</v>
      </c>
      <c r="Q23" s="20">
        <f t="shared" si="15"/>
        <v>0.92942740200008445</v>
      </c>
      <c r="R23" s="6"/>
      <c r="S23" s="8"/>
      <c r="V23">
        <f>IF($C$3="总和",SUMIFS('8月成交数据'!$P:$P,'8月成交数据'!A:A,$B23),SUMIFS('8月成交数据'!$P:$P,'8月成交数据'!$A:$A,$B23,'8月成交数据'!$C:$C,$C$3))</f>
        <v>47398</v>
      </c>
    </row>
    <row r="24" spans="2:22" ht="19" customHeight="1" x14ac:dyDescent="0.45">
      <c r="B24" s="29">
        <f t="shared" si="17"/>
        <v>44057</v>
      </c>
      <c r="C24" s="30">
        <f t="shared" si="16"/>
        <v>44057</v>
      </c>
      <c r="D24" s="18">
        <f t="shared" si="10"/>
        <v>-27531.549999999996</v>
      </c>
      <c r="E24" s="18">
        <f>IF($C$3="总和",SUMIFS('8月成交数据'!$G:$G,'8月成交数据'!$A:$A,$B24),SUMIFS('8月成交数据'!$G:$G,'8月成交数据'!$A:$A,$B24,'8月成交数据'!$C:$C,$C$3))</f>
        <v>111981</v>
      </c>
      <c r="F24" s="18">
        <f>IF($C$3="总和",SUMIFS('8月成交数据'!$F:$F,'8月成交数据'!$A:$A,$B24),SUMIFS('8月成交数据'!$F:$F,'8月成交数据'!$A:$A,$B24,'8月成交数据'!$C:$C,$C$3))</f>
        <v>2139185</v>
      </c>
      <c r="G24" s="18">
        <f>IF($C$3="总和",SUMIFS('8月成交数据'!$H:$H,'8月成交数据'!$A:$A,$B24),SUMIFS('8月成交数据'!$H:$H,'8月成交数据'!$A:$A,$B24,'8月成交数据'!$C:$C,$C$3))</f>
        <v>50649</v>
      </c>
      <c r="H24" s="18">
        <f t="shared" si="11"/>
        <v>64175.549999999996</v>
      </c>
      <c r="I24" s="18">
        <f t="shared" si="12"/>
        <v>24688</v>
      </c>
      <c r="J24" s="18">
        <f>IF($C$3="总和",SUMIFS('8月成交数据'!$T:$T,'8月成交数据'!$A:$A,$B24),SUMIFS('8月成交数据'!$T:$T,'8月成交数据'!$A:$A,$B24,'8月成交数据'!$C:$C,$C$3))</f>
        <v>14843</v>
      </c>
      <c r="K24" s="18">
        <f>IF($C$3="总和",SUMIFS('8月成交数据'!$S:$S,'8月成交数据'!$A:$A,$B24),SUMIFS('8月成交数据'!$S:$S,'8月成交数据'!$A:$A,$B24,'8月成交数据'!$C:$C,$C$3))</f>
        <v>27586</v>
      </c>
      <c r="L24" s="18">
        <f>IF($C$3="总和",SUMIFS('8月成交数据'!$R:$R,'8月成交数据'!$A:$A,$B24),SUMIFS('8月成交数据'!$R:$R,'8月成交数据'!$A:$A,$B24,'8月成交数据'!$C:$C,$C$3))</f>
        <v>45917</v>
      </c>
      <c r="M24" s="18">
        <f>IF($C$3="总和",SUMIFS('8月成交数据'!$P:$P,'8月成交数据'!A:A,$B24),SUMIFS('8月成交数据'!$P:$P,'8月成交数据'!$A:$A,$B24,'8月成交数据'!$C:$C,$C$3))</f>
        <v>49376</v>
      </c>
      <c r="N24" s="19">
        <f t="shared" si="13"/>
        <v>0.30061163318211276</v>
      </c>
      <c r="O24" s="19">
        <f t="shared" si="14"/>
        <v>0.53806278547089104</v>
      </c>
      <c r="P24" s="19">
        <f t="shared" si="14"/>
        <v>0.60077966766121482</v>
      </c>
      <c r="Q24" s="20">
        <f t="shared" si="15"/>
        <v>0.92994572261827613</v>
      </c>
      <c r="R24" s="6"/>
      <c r="S24" s="8"/>
      <c r="V24">
        <f>IF($C$3="总和",SUMIFS('8月成交数据'!$P:$P,'8月成交数据'!A:A,$B24),SUMIFS('8月成交数据'!$P:$P,'8月成交数据'!$A:$A,$B24,'8月成交数据'!$C:$C,$C$3))</f>
        <v>49376</v>
      </c>
    </row>
    <row r="25" spans="2:22" ht="19" customHeight="1" x14ac:dyDescent="0.45">
      <c r="B25" s="29">
        <f>B24+1</f>
        <v>44058</v>
      </c>
      <c r="C25" s="30">
        <f t="shared" si="16"/>
        <v>44058</v>
      </c>
      <c r="D25" s="18">
        <f t="shared" si="10"/>
        <v>73978.040000000008</v>
      </c>
      <c r="E25" s="18">
        <f>IF($C$3="总和",SUMIFS('8月成交数据'!$G:$G,'8月成交数据'!$A:$A,$B25),SUMIFS('8月成交数据'!$G:$G,'8月成交数据'!$A:$A,$B25,'8月成交数据'!$C:$C,$C$3))</f>
        <v>182008</v>
      </c>
      <c r="F25" s="18">
        <f>IF($C$3="总和",SUMIFS('8月成交数据'!$F:$F,'8月成交数据'!$A:$A,$B25),SUMIFS('8月成交数据'!$F:$F,'8月成交数据'!$A:$A,$B25,'8月成交数据'!$C:$C,$C$3))</f>
        <v>2058182</v>
      </c>
      <c r="G25" s="18">
        <f>IF($C$3="总和",SUMIFS('8月成交数据'!$H:$H,'8月成交数据'!$A:$A,$B25),SUMIFS('8月成交数据'!$H:$H,'8月成交数据'!$A:$A,$B25,'8月成交数据'!$C:$C,$C$3))</f>
        <v>19143</v>
      </c>
      <c r="H25" s="18">
        <f t="shared" si="11"/>
        <v>61745.46</v>
      </c>
      <c r="I25" s="18">
        <f t="shared" si="12"/>
        <v>27141.5</v>
      </c>
      <c r="J25" s="18">
        <f>IF($C$3="总和",SUMIFS('8月成交数据'!$T:$T,'8月成交数据'!$A:$A,$B25),SUMIFS('8月成交数据'!$T:$T,'8月成交数据'!$A:$A,$B25,'8月成交数据'!$C:$C,$C$3))</f>
        <v>16206</v>
      </c>
      <c r="K25" s="18">
        <f>IF($C$3="总和",SUMIFS('8月成交数据'!$S:$S,'8月成交数据'!$A:$A,$B25),SUMIFS('8月成交数据'!$S:$S,'8月成交数据'!$A:$A,$B25,'8月成交数据'!$C:$C,$C$3))</f>
        <v>30233</v>
      </c>
      <c r="L25" s="18">
        <f>IF($C$3="总和",SUMIFS('8月成交数据'!$R:$R,'8月成交数据'!$A:$A,$B25),SUMIFS('8月成交数据'!$R:$R,'8月成交数据'!$A:$A,$B25,'8月成交数据'!$C:$C,$C$3))</f>
        <v>50470</v>
      </c>
      <c r="M25" s="18">
        <f>IF($C$3="总和",SUMIFS('8月成交数据'!$P:$P,'8月成交数据'!A:A,$B25),SUMIFS('8月成交数据'!$P:$P,'8月成交数据'!$A:$A,$B25,'8月成交数据'!$C:$C,$C$3))</f>
        <v>54283</v>
      </c>
      <c r="N25" s="19">
        <f t="shared" si="13"/>
        <v>0.29854650627268203</v>
      </c>
      <c r="O25" s="19">
        <f t="shared" si="14"/>
        <v>0.53603678100089303</v>
      </c>
      <c r="P25" s="19">
        <f t="shared" si="14"/>
        <v>0.59902912621359228</v>
      </c>
      <c r="Q25" s="20">
        <f t="shared" si="15"/>
        <v>0.92975701416649781</v>
      </c>
      <c r="R25" s="6"/>
      <c r="S25" s="8"/>
      <c r="V25">
        <f>IF($C$3="总和",SUMIFS('8月成交数据'!$P:$P,'8月成交数据'!A:A,$B25),SUMIFS('8月成交数据'!$P:$P,'8月成交数据'!$A:$A,$B25,'8月成交数据'!$C:$C,$C$3))</f>
        <v>54283</v>
      </c>
    </row>
    <row r="26" spans="2:22" ht="19" customHeight="1" x14ac:dyDescent="0.45">
      <c r="B26" s="28" t="s">
        <v>147</v>
      </c>
      <c r="C26" s="28"/>
      <c r="D26" s="24">
        <f>SUM(D19:D25)</f>
        <v>-15028.859999999986</v>
      </c>
      <c r="E26" s="24">
        <f t="shared" ref="E26:G26" si="18">SUM(E19:E25)</f>
        <v>648574</v>
      </c>
      <c r="F26" s="24">
        <f t="shared" si="18"/>
        <v>11147612</v>
      </c>
      <c r="G26" s="24">
        <f t="shared" si="18"/>
        <v>160001</v>
      </c>
      <c r="H26" s="24">
        <f t="shared" ref="H26:I26" si="19">SUM(H19:H25)</f>
        <v>334428.36000000004</v>
      </c>
      <c r="I26" s="24">
        <f t="shared" si="19"/>
        <v>169173.5</v>
      </c>
      <c r="J26" s="24">
        <f t="shared" ref="J26" si="20">SUM(J19:J25)</f>
        <v>101135</v>
      </c>
      <c r="K26" s="24">
        <f>SUM(K19:K25)</f>
        <v>188414</v>
      </c>
      <c r="L26" s="24">
        <f>SUM(L19:L25)</f>
        <v>314876</v>
      </c>
      <c r="M26" s="24">
        <f>SUM(M19:M25)</f>
        <v>338347</v>
      </c>
      <c r="N26" s="25">
        <f t="shared" si="13"/>
        <v>0.29890910810499283</v>
      </c>
      <c r="O26" s="25">
        <f t="shared" si="14"/>
        <v>0.5367700913944824</v>
      </c>
      <c r="P26" s="25">
        <f t="shared" si="14"/>
        <v>0.59837523342522136</v>
      </c>
      <c r="Q26" s="26">
        <f t="shared" si="15"/>
        <v>0.93063038832914136</v>
      </c>
      <c r="R26" s="6"/>
      <c r="V26">
        <f>SUM(V19:V25)</f>
        <v>338347</v>
      </c>
    </row>
    <row r="27" spans="2:22" x14ac:dyDescent="0.3">
      <c r="R27" s="6"/>
      <c r="T27" s="6">
        <f>Z46+1</f>
        <v>1</v>
      </c>
    </row>
    <row r="28" spans="2:22" x14ac:dyDescent="0.3">
      <c r="R28" s="6"/>
      <c r="T28" s="6">
        <f t="shared" si="0"/>
        <v>2</v>
      </c>
    </row>
    <row r="29" spans="2:22" x14ac:dyDescent="0.3">
      <c r="R29" s="6"/>
      <c r="T29" s="6">
        <f t="shared" si="0"/>
        <v>3</v>
      </c>
    </row>
    <row r="30" spans="2:22" x14ac:dyDescent="0.3">
      <c r="R30" s="6"/>
      <c r="T30" s="6">
        <f t="shared" si="0"/>
        <v>4</v>
      </c>
    </row>
    <row r="31" spans="2:22" x14ac:dyDescent="0.3">
      <c r="R31" s="6"/>
      <c r="T31" s="6">
        <f t="shared" si="0"/>
        <v>5</v>
      </c>
    </row>
    <row r="32" spans="2:22" x14ac:dyDescent="0.3">
      <c r="R32" s="6"/>
      <c r="T32" s="6">
        <f t="shared" si="0"/>
        <v>6</v>
      </c>
    </row>
    <row r="33" spans="18:20" x14ac:dyDescent="0.3">
      <c r="R33" s="6"/>
      <c r="T33" s="6"/>
    </row>
    <row r="34" spans="18:20" x14ac:dyDescent="0.3">
      <c r="R34" s="6"/>
      <c r="T34" s="6"/>
    </row>
    <row r="35" spans="18:20" x14ac:dyDescent="0.3">
      <c r="R35" s="6"/>
      <c r="T35" s="6"/>
    </row>
    <row r="36" spans="18:20" x14ac:dyDescent="0.3">
      <c r="R36" s="6"/>
      <c r="T36" s="6"/>
    </row>
    <row r="37" spans="18:20" x14ac:dyDescent="0.3">
      <c r="R37" s="6"/>
      <c r="T37" s="6"/>
    </row>
    <row r="38" spans="18:20" x14ac:dyDescent="0.3">
      <c r="R38" s="6"/>
      <c r="T38" s="6"/>
    </row>
    <row r="39" spans="18:20" x14ac:dyDescent="0.3">
      <c r="R39" s="6"/>
      <c r="T39" s="6"/>
    </row>
    <row r="40" spans="18:20" x14ac:dyDescent="0.3">
      <c r="R40" s="6"/>
      <c r="T40" s="6"/>
    </row>
    <row r="41" spans="18:20" x14ac:dyDescent="0.3">
      <c r="R41" s="6"/>
      <c r="T41" s="6"/>
    </row>
    <row r="42" spans="18:20" x14ac:dyDescent="0.3">
      <c r="R42" s="6"/>
      <c r="T42" s="6"/>
    </row>
  </sheetData>
  <mergeCells count="1">
    <mergeCell ref="A1:Q1"/>
  </mergeCells>
  <phoneticPr fontId="2" type="noConversion"/>
  <conditionalFormatting sqref="D4:D5"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{7B845F03-691E-47AF-B5D1-5D36161BFB2B}</x14:id>
        </ext>
      </extLst>
    </cfRule>
  </conditionalFormatting>
  <conditionalFormatting sqref="E4:E5">
    <cfRule type="cellIs" dxfId="18" priority="71" operator="lessThan">
      <formula>0</formula>
    </cfRule>
    <cfRule type="cellIs" dxfId="17" priority="72" operator="greaterThanOrEqual">
      <formula>0</formula>
    </cfRule>
    <cfRule type="iconSet" priority="73">
      <iconSet>
        <cfvo type="percent" val="0"/>
        <cfvo type="num" val="0"/>
        <cfvo type="num" val="0"/>
      </iconSet>
    </cfRule>
  </conditionalFormatting>
  <conditionalFormatting sqref="G5">
    <cfRule type="cellIs" dxfId="16" priority="68" operator="lessThan">
      <formula>0</formula>
    </cfRule>
    <cfRule type="cellIs" dxfId="15" priority="69" operator="greaterThanOrEqual">
      <formula>0</formula>
    </cfRule>
  </conditionalFormatting>
  <conditionalFormatting sqref="I5">
    <cfRule type="cellIs" dxfId="14" priority="62" operator="lessThan">
      <formula>0</formula>
    </cfRule>
    <cfRule type="cellIs" dxfId="13" priority="63" operator="greaterThanOrEqual">
      <formula>0</formula>
    </cfRule>
  </conditionalFormatting>
  <conditionalFormatting sqref="K5">
    <cfRule type="cellIs" dxfId="12" priority="56" operator="lessThan">
      <formula>0</formula>
    </cfRule>
    <cfRule type="cellIs" dxfId="11" priority="57" operator="greaterThanOrEqual">
      <formula>0</formula>
    </cfRule>
  </conditionalFormatting>
  <conditionalFormatting sqref="M5">
    <cfRule type="cellIs" dxfId="10" priority="50" operator="lessThan">
      <formula>0</formula>
    </cfRule>
    <cfRule type="cellIs" dxfId="9" priority="51" operator="greaterThanOrEqual">
      <formula>0</formula>
    </cfRule>
  </conditionalFormatting>
  <conditionalFormatting sqref="O5">
    <cfRule type="cellIs" dxfId="8" priority="44" operator="lessThan">
      <formula>0</formula>
    </cfRule>
    <cfRule type="cellIs" dxfId="7" priority="45" operator="greaterThanOrEqual">
      <formula>0</formula>
    </cfRule>
  </conditionalFormatting>
  <conditionalFormatting sqref="Q5">
    <cfRule type="cellIs" dxfId="6" priority="38" operator="lessThan">
      <formula>0</formula>
    </cfRule>
    <cfRule type="cellIs" dxfId="5" priority="39" operator="greaterThanOrEqual">
      <formula>0</formula>
    </cfRule>
  </conditionalFormatting>
  <conditionalFormatting sqref="D8:E14 D19:E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{5D4CF14A-D173-47F7-B2F0-2AC31AA5EEF7}</x14:id>
        </ext>
      </extLst>
    </cfRule>
  </conditionalFormatting>
  <conditionalFormatting sqref="F8:F14 F19:F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{D0325F65-5349-4113-9F5B-9156C7769781}</x14:id>
        </ext>
      </extLst>
    </cfRule>
  </conditionalFormatting>
  <conditionalFormatting sqref="G9:I14 H19:I25 H8:I8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{D10CDB2A-3DCD-4955-9A30-FD1A1D5A424C}</x14:id>
        </ext>
      </extLst>
    </cfRule>
  </conditionalFormatting>
  <conditionalFormatting sqref="J8:M14 J19:M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{F05503E2-BD2E-4975-9967-1C182F402881}</x14:id>
        </ext>
      </extLst>
    </cfRule>
  </conditionalFormatting>
  <conditionalFormatting sqref="F8:F14">
    <cfRule type="expression" dxfId="4" priority="31">
      <formula>$F8&lt;AVERAGE($F$8:$F$14)</formula>
    </cfRule>
  </conditionalFormatting>
  <conditionalFormatting sqref="F19:F25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{35821F02-F190-4627-9563-0A0C083940DC}</x14:id>
        </ext>
      </extLst>
    </cfRule>
  </conditionalFormatting>
  <conditionalFormatting sqref="J8:M14 D4 J19:M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{FDB777A1-6039-4B52-AA48-BD3ACF87B898}</x14:id>
        </ext>
      </extLst>
    </cfRule>
  </conditionalFormatting>
  <conditionalFormatting sqref="H19:I25 H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{4E87B73D-2703-4E33-9287-B93ECF2ED3C6}</x14:id>
        </ext>
      </extLst>
    </cfRule>
  </conditionalFormatting>
  <conditionalFormatting sqref="G9:I14 H8:I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{9344D82A-544F-4A88-87FD-B57CFED293D6}</x14:id>
        </ext>
      </extLst>
    </cfRule>
  </conditionalFormatting>
  <conditionalFormatting sqref="N8:N14 N19:N25">
    <cfRule type="colorScale" priority="23">
      <colorScale>
        <cfvo type="min"/>
        <cfvo type="max"/>
        <color rgb="FF63BE7B"/>
        <color rgb="FFFCFCFF"/>
      </colorScale>
    </cfRule>
  </conditionalFormatting>
  <conditionalFormatting sqref="O8:O14 O19:O25">
    <cfRule type="colorScale" priority="22">
      <colorScale>
        <cfvo type="min"/>
        <cfvo type="max"/>
        <color rgb="FF63BE7B"/>
        <color rgb="FFFCFCFF"/>
      </colorScale>
    </cfRule>
  </conditionalFormatting>
  <conditionalFormatting sqref="N8:N14">
    <cfRule type="colorScale" priority="21">
      <colorScale>
        <cfvo type="min"/>
        <cfvo type="max"/>
        <color rgb="FF63BE7B"/>
        <color rgb="FFFCFCFF"/>
      </colorScale>
    </cfRule>
  </conditionalFormatting>
  <conditionalFormatting sqref="P8:P14 P19:P25">
    <cfRule type="colorScale" priority="20">
      <colorScale>
        <cfvo type="min"/>
        <cfvo type="max"/>
        <color rgb="FF63BE7B"/>
        <color rgb="FFFCFCFF"/>
      </colorScale>
    </cfRule>
  </conditionalFormatting>
  <conditionalFormatting sqref="Q8:Q14 Q19:Q25">
    <cfRule type="colorScale" priority="19">
      <colorScale>
        <cfvo type="min"/>
        <cfvo type="max"/>
        <color rgb="FF63BE7B"/>
        <color rgb="FFFCFCFF"/>
      </colorScale>
    </cfRule>
  </conditionalFormatting>
  <conditionalFormatting sqref="W15">
    <cfRule type="expression" dxfId="3" priority="18">
      <formula>F9&lt;AVERAGE($F$8:$F$14)</formula>
    </cfRule>
  </conditionalFormatting>
  <conditionalFormatting sqref="F19:F25">
    <cfRule type="expression" dxfId="2" priority="16">
      <formula>$F19&lt;AVERAGE($F$19:$F$25)</formula>
    </cfRule>
  </conditionalFormatting>
  <conditionalFormatting sqref="G19:G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{E9732F9F-DDFF-4341-ACBD-2D44A4C96A93}</x14:id>
        </ext>
      </extLst>
    </cfRule>
  </conditionalFormatting>
  <conditionalFormatting sqref="G19:G25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{BDFD522D-37CA-4F9C-ADD3-A3811D1552FE}</x14:id>
        </ext>
      </extLst>
    </cfRule>
  </conditionalFormatting>
  <conditionalFormatting sqref="G19:G25">
    <cfRule type="expression" dxfId="1" priority="4">
      <formula>$G19&lt;AVERAGE($G$19:$G$25)</formula>
    </cfRule>
  </conditionalFormatting>
  <conditionalFormatting sqref="G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{CC9F9FAB-E265-4901-9C9E-C14EA50683D1}</x14:id>
        </ext>
      </extLst>
    </cfRule>
  </conditionalFormatting>
  <conditionalFormatting sqref="G8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{DBF69ACF-EE7B-425C-95E3-E08D4A82CC42}</x14:id>
        </ext>
      </extLst>
    </cfRule>
  </conditionalFormatting>
  <conditionalFormatting sqref="G8">
    <cfRule type="expression" dxfId="0" priority="1">
      <formula>$G8&lt;AVERAGE($G$8:$G$14)</formula>
    </cfRule>
  </conditionalFormatting>
  <dataValidations count="2">
    <dataValidation type="list" allowBlank="1" showInputMessage="1" showErrorMessage="1" sqref="C3" xr:uid="{E000D311-E02C-47B6-BD15-92C1F511E4B6}">
      <formula1>"总和,东部战区,西部战区,南部战区,北部战区"</formula1>
    </dataValidation>
    <dataValidation type="list" allowBlank="1" showInputMessage="1" showErrorMessage="1" sqref="C2" xr:uid="{E08EBBCC-C82E-4D95-934C-D5452DBDE028}">
      <formula1>$T$2:$T$32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845F03-691E-47AF-B5D1-5D36161BFB2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D4:D5</xm:sqref>
        </x14:conditionalFormatting>
        <x14:conditionalFormatting xmlns:xm="http://schemas.microsoft.com/office/excel/2006/main">
          <x14:cfRule type="iconSet" priority="70" id="{85FEA048-7C4E-42A7-882F-29759EAB0F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G5</xm:sqref>
        </x14:conditionalFormatting>
        <x14:conditionalFormatting xmlns:xm="http://schemas.microsoft.com/office/excel/2006/main">
          <x14:cfRule type="iconSet" priority="64" id="{51CEF06F-CD24-4FCE-B905-80C228EF0C0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58" id="{B16A3B0C-935B-4668-B031-BAE6FE9B90B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K5</xm:sqref>
        </x14:conditionalFormatting>
        <x14:conditionalFormatting xmlns:xm="http://schemas.microsoft.com/office/excel/2006/main">
          <x14:cfRule type="iconSet" priority="52" id="{47E9E29B-8926-441F-9686-DBAA4B898E8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M5</xm:sqref>
        </x14:conditionalFormatting>
        <x14:conditionalFormatting xmlns:xm="http://schemas.microsoft.com/office/excel/2006/main">
          <x14:cfRule type="iconSet" priority="46" id="{F2768178-7D64-436D-8574-0CC7F496BB8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O5</xm:sqref>
        </x14:conditionalFormatting>
        <x14:conditionalFormatting xmlns:xm="http://schemas.microsoft.com/office/excel/2006/main">
          <x14:cfRule type="iconSet" priority="40" id="{D74F737F-1422-4277-92EB-2147BD3348A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Q5</xm:sqref>
        </x14:conditionalFormatting>
        <x14:conditionalFormatting xmlns:xm="http://schemas.microsoft.com/office/excel/2006/main">
          <x14:cfRule type="dataBar" id="{5D4CF14A-D173-47F7-B2F0-2AC31AA5EE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D8:E14 D19:E25</xm:sqref>
        </x14:conditionalFormatting>
        <x14:conditionalFormatting xmlns:xm="http://schemas.microsoft.com/office/excel/2006/main">
          <x14:cfRule type="dataBar" id="{D0325F65-5349-4113-9F5B-9156C77697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F8:F14 F19:F25</xm:sqref>
        </x14:conditionalFormatting>
        <x14:conditionalFormatting xmlns:xm="http://schemas.microsoft.com/office/excel/2006/main">
          <x14:cfRule type="dataBar" id="{D10CDB2A-3DCD-4955-9A30-FD1A1D5A42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G9:I14 H19:I25 H8:I8</xm:sqref>
        </x14:conditionalFormatting>
        <x14:conditionalFormatting xmlns:xm="http://schemas.microsoft.com/office/excel/2006/main">
          <x14:cfRule type="dataBar" id="{F05503E2-BD2E-4975-9967-1C182F4028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J8:M14 J19:M25</xm:sqref>
        </x14:conditionalFormatting>
        <x14:conditionalFormatting xmlns:xm="http://schemas.microsoft.com/office/excel/2006/main">
          <x14:cfRule type="dataBar" id="{35821F02-F190-4627-9563-0A0C083940D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F19:F25</xm:sqref>
        </x14:conditionalFormatting>
        <x14:conditionalFormatting xmlns:xm="http://schemas.microsoft.com/office/excel/2006/main">
          <x14:cfRule type="dataBar" id="{FDB777A1-6039-4B52-AA48-BD3ACF87B8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J8:M14 D4 J19:M25</xm:sqref>
        </x14:conditionalFormatting>
        <x14:conditionalFormatting xmlns:xm="http://schemas.microsoft.com/office/excel/2006/main">
          <x14:cfRule type="dataBar" id="{4E87B73D-2703-4E33-9287-B93ECF2ED3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H19:I25 H9</xm:sqref>
        </x14:conditionalFormatting>
        <x14:conditionalFormatting xmlns:xm="http://schemas.microsoft.com/office/excel/2006/main">
          <x14:cfRule type="dataBar" id="{9344D82A-544F-4A88-87FD-B57CFED29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G9:I14 H8:I8</xm:sqref>
        </x14:conditionalFormatting>
        <x14:conditionalFormatting xmlns:xm="http://schemas.microsoft.com/office/excel/2006/main">
          <x14:cfRule type="dataBar" id="{E9732F9F-DDFF-4341-ACBD-2D44A4C96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G19:G25</xm:sqref>
        </x14:conditionalFormatting>
        <x14:conditionalFormatting xmlns:xm="http://schemas.microsoft.com/office/excel/2006/main">
          <x14:cfRule type="dataBar" id="{BDFD522D-37CA-4F9C-ADD3-A3811D1552F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G19:G25</xm:sqref>
        </x14:conditionalFormatting>
        <x14:conditionalFormatting xmlns:xm="http://schemas.microsoft.com/office/excel/2006/main">
          <x14:cfRule type="dataBar" id="{CC9F9FAB-E265-4901-9C9E-C14EA50683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</xm:sqref>
        </x14:conditionalFormatting>
        <x14:conditionalFormatting xmlns:xm="http://schemas.microsoft.com/office/excel/2006/main">
          <x14:cfRule type="dataBar" id="{DBF69ACF-EE7B-425C-95E3-E08D4A82CC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first="1" last="1" negative="1" xr2:uid="{55E26BD4-8D8E-4A7E-BA24-3DD61AD39A87}">
          <x14:colorSeries theme="7"/>
          <x14:colorNegative theme="7"/>
          <x14:colorAxis rgb="FF000000"/>
          <x14:colorMarkers rgb="FFD00000"/>
          <x14:colorFirst theme="9"/>
          <x14:colorLast theme="9"/>
          <x14:colorHigh theme="5"/>
          <x14:colorLow theme="5"/>
          <x14:sparklines>
            <x14:sparkline>
              <xm:f>'自动化报表 (最终版)'!D8:D14</xm:f>
              <xm:sqref>G4</xm:sqref>
            </x14:sparkline>
          </x14:sparklines>
        </x14:sparklineGroup>
        <x14:sparklineGroup displayEmptyCellsAs="gap" markers="1" high="1" low="1" xr2:uid="{1C5D7F33-E201-46AA-8424-017A5179CD70}">
          <x14:colorSeries theme="9"/>
          <x14:colorNegative rgb="FFD00000"/>
          <x14:colorAxis rgb="FF000000"/>
          <x14:colorMarkers theme="9"/>
          <x14:colorFirst rgb="FFD00000"/>
          <x14:colorLast rgb="FFD00000"/>
          <x14:colorHigh theme="5"/>
          <x14:colorLow theme="7"/>
          <x14:sparklines>
            <x14:sparkline>
              <xm:f>'自动化报表 (最终版)'!G8:G14</xm:f>
              <xm:sqref>I4</xm:sqref>
            </x14:sparkline>
          </x14:sparklines>
        </x14:sparklineGroup>
        <x14:sparklineGroup displayEmptyCellsAs="gap" markers="1" high="1" low="1" xr2:uid="{34B1CFEB-A08C-4E2D-B719-27BCB50419B4}">
          <x14:colorSeries theme="9"/>
          <x14:colorNegative rgb="FFD00000"/>
          <x14:colorAxis rgb="FF000000"/>
          <x14:colorMarkers theme="9"/>
          <x14:colorFirst rgb="FFD00000"/>
          <x14:colorLast rgb="FFD00000"/>
          <x14:colorHigh theme="5"/>
          <x14:colorLow theme="7"/>
          <x14:sparklines>
            <x14:sparkline>
              <xm:f>'自动化报表 (最终版)'!F8:F14</xm:f>
              <xm:sqref>K4</xm:sqref>
            </x14:sparkline>
          </x14:sparklines>
        </x14:sparklineGroup>
        <x14:sparklineGroup displayEmptyCellsAs="gap" markers="1" high="1" low="1" xr2:uid="{D735D3CA-E0CF-4981-A8BD-3ABC50D62324}">
          <x14:colorSeries theme="9"/>
          <x14:colorNegative rgb="FFD00000"/>
          <x14:colorAxis rgb="FF000000"/>
          <x14:colorMarkers theme="9"/>
          <x14:colorFirst rgb="FFD00000"/>
          <x14:colorLast rgb="FFD00000"/>
          <x14:colorHigh theme="5"/>
          <x14:colorLow theme="7"/>
          <x14:sparklines>
            <x14:sparkline>
              <xm:f>'自动化报表 (最终版)'!J8:J14</xm:f>
              <xm:sqref>M4</xm:sqref>
            </x14:sparkline>
          </x14:sparklines>
        </x14:sparklineGroup>
        <x14:sparklineGroup displayEmptyCellsAs="gap" markers="1" high="1" low="1" xr2:uid="{C4552A76-9798-47F9-BEE9-3F8A164552A0}">
          <x14:colorSeries theme="9"/>
          <x14:colorNegative rgb="FFD00000"/>
          <x14:colorAxis rgb="FF000000"/>
          <x14:colorMarkers theme="9"/>
          <x14:colorFirst rgb="FFD00000"/>
          <x14:colorLast rgb="FFD00000"/>
          <x14:colorHigh theme="5"/>
          <x14:colorLow theme="7"/>
          <x14:sparklines>
            <x14:sparkline>
              <xm:f>'自动化报表 (最终版)'!M8:M14</xm:f>
              <xm:sqref>O4</xm:sqref>
            </x14:sparkline>
          </x14:sparklines>
        </x14:sparklineGroup>
        <x14:sparklineGroup displayEmptyCellsAs="gap" markers="1" high="1" low="1" xr2:uid="{CE7AAD02-92EA-49A6-9091-2EE322972431}">
          <x14:colorSeries theme="9"/>
          <x14:colorNegative rgb="FFD00000"/>
          <x14:colorAxis rgb="FF000000"/>
          <x14:colorMarkers theme="9"/>
          <x14:colorFirst rgb="FFD00000"/>
          <x14:colorLast rgb="FFD00000"/>
          <x14:colorHigh theme="5"/>
          <x14:colorLow theme="7"/>
          <x14:sparklines>
            <x14:sparkline>
              <xm:f>'自动化报表 (最终版)'!O8:O14</xm:f>
              <xm:sqref>Q4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8月成交数据</vt:lpstr>
      <vt:lpstr>战区信息</vt:lpstr>
      <vt:lpstr>城市信息</vt:lpstr>
      <vt:lpstr>自动化报表</vt:lpstr>
      <vt:lpstr>自动化报表 (最终版)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戴程</dc:creator>
  <cp:lastModifiedBy>Excelsior</cp:lastModifiedBy>
  <dcterms:created xsi:type="dcterms:W3CDTF">2015-06-05T18:19:34Z</dcterms:created>
  <dcterms:modified xsi:type="dcterms:W3CDTF">2026-05-01T04:08:11Z</dcterms:modified>
</cp:coreProperties>
</file>